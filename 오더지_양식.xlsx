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55\volume2_public\02.오더지\2026년 오더지\"/>
    </mc:Choice>
  </mc:AlternateContent>
  <xr:revisionPtr revIDLastSave="0" documentId="13_ncr:1_{1831D180-8E78-46B5-AC44-23888553F5EE}" xr6:coauthVersionLast="47" xr6:coauthVersionMax="47" xr10:uidLastSave="{00000000-0000-0000-0000-000000000000}"/>
  <bookViews>
    <workbookView xWindow="-120" yWindow="-120" windowWidth="29040" windowHeight="15840" xr2:uid="{194A3F15-AE5E-420E-9811-76084B4798D7}"/>
  </bookViews>
  <sheets>
    <sheet name="오더지(양식)" sheetId="1" r:id="rId1"/>
    <sheet name="매출(양식)" sheetId="2" r:id="rId2"/>
  </sheets>
  <definedNames>
    <definedName name="_xlnm.Print_Area" localSheetId="1">'매출(양식)'!$C$1:$M$19</definedName>
    <definedName name="_xlnm.Print_Area" localSheetId="0">'오더지(양식)'!$A$3:$IM$63</definedName>
    <definedName name="_xlnm.Print_Titles" localSheetId="1">'매출(양식)'!$5:$5</definedName>
    <definedName name="_xlnm.Print_Titles" localSheetId="0">'오더지(양식)'!$3:$11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H65" i="1" l="1"/>
  <c r="IH73" i="1" s="1"/>
  <c r="IH11" i="1"/>
  <c r="IF11" i="1"/>
  <c r="IF65" i="1"/>
  <c r="IF73" i="1" s="1"/>
  <c r="IC65" i="1"/>
  <c r="IC73" i="1" s="1"/>
  <c r="IB65" i="1"/>
  <c r="IB73" i="1" s="1"/>
  <c r="IA65" i="1"/>
  <c r="IA73" i="1" s="1"/>
  <c r="HZ65" i="1"/>
  <c r="HZ73" i="1" s="1"/>
  <c r="HY65" i="1"/>
  <c r="HY73" i="1" s="1"/>
  <c r="HX65" i="1"/>
  <c r="HX73" i="1" s="1"/>
  <c r="IC11" i="1"/>
  <c r="IB11" i="1"/>
  <c r="IA11" i="1"/>
  <c r="HZ11" i="1"/>
  <c r="HY11" i="1"/>
  <c r="HX11" i="1"/>
  <c r="HQ65" i="1"/>
  <c r="HQ73" i="1" s="1"/>
  <c r="HP65" i="1"/>
  <c r="HP73" i="1" s="1"/>
  <c r="HO65" i="1"/>
  <c r="HO73" i="1" s="1"/>
  <c r="HN65" i="1"/>
  <c r="HN73" i="1" s="1"/>
  <c r="HM65" i="1"/>
  <c r="HM73" i="1" s="1"/>
  <c r="HL65" i="1"/>
  <c r="HL73" i="1" s="1"/>
  <c r="HK65" i="1"/>
  <c r="HK73" i="1" s="1"/>
  <c r="HJ65" i="1"/>
  <c r="HJ73" i="1" s="1"/>
  <c r="HI65" i="1"/>
  <c r="HI73" i="1" s="1"/>
  <c r="HH65" i="1"/>
  <c r="HH73" i="1" s="1"/>
  <c r="HG65" i="1"/>
  <c r="HG73" i="1" s="1"/>
  <c r="HF65" i="1"/>
  <c r="HF73" i="1" s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T65" i="1"/>
  <c r="HT73" i="1" s="1"/>
  <c r="HS65" i="1"/>
  <c r="HS73" i="1" s="1"/>
  <c r="HR65" i="1"/>
  <c r="HR73" i="1" s="1"/>
  <c r="HE65" i="1"/>
  <c r="HE73" i="1" s="1"/>
  <c r="HD65" i="1"/>
  <c r="HD73" i="1" s="1"/>
  <c r="HC65" i="1"/>
  <c r="HC73" i="1" s="1"/>
  <c r="HT11" i="1"/>
  <c r="HS11" i="1"/>
  <c r="HR11" i="1"/>
  <c r="HE11" i="1"/>
  <c r="HD11" i="1"/>
  <c r="HC11" i="1"/>
  <c r="HW65" i="1"/>
  <c r="HW73" i="1" s="1"/>
  <c r="HV65" i="1"/>
  <c r="HV73" i="1" s="1"/>
  <c r="HU65" i="1"/>
  <c r="HU73" i="1" s="1"/>
  <c r="HW11" i="1"/>
  <c r="HV11" i="1"/>
  <c r="HU11" i="1"/>
  <c r="IE65" i="1"/>
  <c r="IE73" i="1" s="1"/>
  <c r="ID65" i="1"/>
  <c r="ID73" i="1" s="1"/>
  <c r="IE11" i="1"/>
  <c r="ID11" i="1"/>
  <c r="GZ65" i="1"/>
  <c r="GZ73" i="1" s="1"/>
  <c r="GZ11" i="1"/>
  <c r="GV65" i="1"/>
  <c r="GV73" i="1" s="1"/>
  <c r="GU65" i="1"/>
  <c r="GU73" i="1" s="1"/>
  <c r="GV11" i="1"/>
  <c r="GU11" i="1"/>
  <c r="GS65" i="1"/>
  <c r="GS73" i="1" s="1"/>
  <c r="GR65" i="1"/>
  <c r="GR73" i="1" s="1"/>
  <c r="GQ65" i="1"/>
  <c r="GQ73" i="1" s="1"/>
  <c r="GS11" i="1"/>
  <c r="GR11" i="1"/>
  <c r="GQ11" i="1"/>
  <c r="GT65" i="1"/>
  <c r="GT73" i="1" s="1"/>
  <c r="GT11" i="1"/>
  <c r="GW65" i="1"/>
  <c r="GW73" i="1" s="1"/>
  <c r="GW11" i="1"/>
  <c r="GX65" i="1"/>
  <c r="GX73" i="1" s="1"/>
  <c r="GX11" i="1"/>
  <c r="GO65" i="1"/>
  <c r="GO73" i="1" s="1"/>
  <c r="GO11" i="1"/>
  <c r="GN65" i="1"/>
  <c r="GN73" i="1" s="1"/>
  <c r="GN11" i="1"/>
  <c r="GI65" i="1"/>
  <c r="GI73" i="1" s="1"/>
  <c r="GH65" i="1"/>
  <c r="GH73" i="1" s="1"/>
  <c r="GI11" i="1"/>
  <c r="GH11" i="1"/>
  <c r="GF65" i="1"/>
  <c r="GF73" i="1" s="1"/>
  <c r="GE65" i="1"/>
  <c r="GE73" i="1" s="1"/>
  <c r="GD65" i="1"/>
  <c r="GD73" i="1" s="1"/>
  <c r="GF11" i="1"/>
  <c r="GE11" i="1"/>
  <c r="GD11" i="1"/>
  <c r="GG65" i="1"/>
  <c r="GG73" i="1" s="1"/>
  <c r="GG11" i="1"/>
  <c r="FX65" i="1"/>
  <c r="FX73" i="1" s="1"/>
  <c r="FW65" i="1"/>
  <c r="FW73" i="1" s="1"/>
  <c r="FV65" i="1"/>
  <c r="FV73" i="1" s="1"/>
  <c r="FU65" i="1"/>
  <c r="FU73" i="1" s="1"/>
  <c r="FX11" i="1"/>
  <c r="FW11" i="1"/>
  <c r="FV11" i="1"/>
  <c r="FU11" i="1"/>
  <c r="GB65" i="1"/>
  <c r="GB73" i="1" s="1"/>
  <c r="GA65" i="1"/>
  <c r="GA73" i="1" s="1"/>
  <c r="FZ65" i="1"/>
  <c r="FZ73" i="1" s="1"/>
  <c r="FY65" i="1"/>
  <c r="FY73" i="1" s="1"/>
  <c r="GB11" i="1"/>
  <c r="GA11" i="1"/>
  <c r="FZ11" i="1"/>
  <c r="FY11" i="1"/>
  <c r="GC65" i="1"/>
  <c r="GC73" i="1" s="1"/>
  <c r="GC11" i="1"/>
  <c r="FS65" i="1"/>
  <c r="FS73" i="1" s="1"/>
  <c r="FS11" i="1"/>
  <c r="FR65" i="1"/>
  <c r="FR73" i="1" s="1"/>
  <c r="FR11" i="1"/>
  <c r="FP65" i="1"/>
  <c r="FP73" i="1" s="1"/>
  <c r="FP11" i="1"/>
  <c r="FN65" i="1"/>
  <c r="FN73" i="1" s="1"/>
  <c r="FN11" i="1"/>
  <c r="FO65" i="1"/>
  <c r="FO73" i="1" s="1"/>
  <c r="FO11" i="1"/>
  <c r="FQ65" i="1"/>
  <c r="FQ73" i="1" s="1"/>
  <c r="FQ11" i="1"/>
  <c r="FK65" i="1"/>
  <c r="FK73" i="1" s="1"/>
  <c r="FK11" i="1"/>
  <c r="FH65" i="1"/>
  <c r="FH73" i="1" s="1"/>
  <c r="FH11" i="1"/>
  <c r="EV65" i="1"/>
  <c r="EV73" i="1" s="1"/>
  <c r="EV11" i="1"/>
  <c r="FC65" i="1"/>
  <c r="FC73" i="1" s="1"/>
  <c r="FB65" i="1"/>
  <c r="FB73" i="1" s="1"/>
  <c r="FA65" i="1"/>
  <c r="FA73" i="1" s="1"/>
  <c r="FC11" i="1"/>
  <c r="FB11" i="1"/>
  <c r="FA11" i="1"/>
  <c r="FF65" i="1"/>
  <c r="FF73" i="1" s="1"/>
  <c r="FE65" i="1"/>
  <c r="FE73" i="1" s="1"/>
  <c r="FD65" i="1"/>
  <c r="FD73" i="1" s="1"/>
  <c r="FF11" i="1"/>
  <c r="FE11" i="1"/>
  <c r="FD11" i="1"/>
  <c r="FG65" i="1"/>
  <c r="FG73" i="1" s="1"/>
  <c r="FG11" i="1"/>
  <c r="FI65" i="1"/>
  <c r="FI73" i="1" s="1"/>
  <c r="FI11" i="1"/>
  <c r="EW65" i="1"/>
  <c r="EW73" i="1" s="1"/>
  <c r="EU65" i="1"/>
  <c r="EU73" i="1" s="1"/>
  <c r="EW11" i="1"/>
  <c r="EU11" i="1"/>
  <c r="EY65" i="1"/>
  <c r="EY73" i="1" s="1"/>
  <c r="EX65" i="1"/>
  <c r="EX73" i="1" s="1"/>
  <c r="EY11" i="1"/>
  <c r="EX11" i="1"/>
  <c r="EZ65" i="1"/>
  <c r="EZ73" i="1" s="1"/>
  <c r="EZ11" i="1"/>
  <c r="FJ65" i="1"/>
  <c r="FJ73" i="1" s="1"/>
  <c r="FJ11" i="1"/>
  <c r="ES65" i="1"/>
  <c r="ES73" i="1" s="1"/>
  <c r="ES11" i="1"/>
  <c r="EH65" i="1"/>
  <c r="EH73" i="1" s="1"/>
  <c r="EH11" i="1"/>
  <c r="EF65" i="1"/>
  <c r="EF73" i="1" s="1"/>
  <c r="EF11" i="1"/>
  <c r="EJ65" i="1"/>
  <c r="EJ73" i="1" s="1"/>
  <c r="EI65" i="1"/>
  <c r="EI73" i="1" s="1"/>
  <c r="EG65" i="1"/>
  <c r="EG73" i="1" s="1"/>
  <c r="EJ11" i="1"/>
  <c r="EI11" i="1"/>
  <c r="EG11" i="1"/>
  <c r="EM65" i="1"/>
  <c r="EM73" i="1" s="1"/>
  <c r="EL65" i="1"/>
  <c r="EL73" i="1" s="1"/>
  <c r="EK65" i="1"/>
  <c r="EK73" i="1" s="1"/>
  <c r="EM11" i="1"/>
  <c r="EL11" i="1"/>
  <c r="EK11" i="1"/>
  <c r="EB65" i="1"/>
  <c r="EB73" i="1" s="1"/>
  <c r="EB11" i="1"/>
  <c r="DZ65" i="1"/>
  <c r="DZ73" i="1" s="1"/>
  <c r="DZ11" i="1"/>
  <c r="EA65" i="1"/>
  <c r="EA73" i="1" s="1"/>
  <c r="DY65" i="1"/>
  <c r="DY73" i="1" s="1"/>
  <c r="DX65" i="1"/>
  <c r="DX73" i="1" s="1"/>
  <c r="EA11" i="1"/>
  <c r="DY11" i="1"/>
  <c r="DX11" i="1"/>
  <c r="EE65" i="1"/>
  <c r="EE73" i="1" s="1"/>
  <c r="ED65" i="1"/>
  <c r="ED73" i="1" s="1"/>
  <c r="EC65" i="1"/>
  <c r="EC73" i="1" s="1"/>
  <c r="EE11" i="1"/>
  <c r="ED11" i="1"/>
  <c r="EC11" i="1"/>
  <c r="EN65" i="1"/>
  <c r="EN73" i="1" s="1"/>
  <c r="EN11" i="1"/>
  <c r="EO65" i="1"/>
  <c r="EO73" i="1" s="1"/>
  <c r="EO11" i="1"/>
  <c r="DV65" i="1"/>
  <c r="DV73" i="1" s="1"/>
  <c r="DV11" i="1"/>
  <c r="DS65" i="1"/>
  <c r="DS73" i="1" s="1"/>
  <c r="DS11" i="1"/>
  <c r="DT65" i="1"/>
  <c r="DT73" i="1" s="1"/>
  <c r="DT11" i="1"/>
  <c r="DQ65" i="1"/>
  <c r="DQ73" i="1" s="1"/>
  <c r="DQ11" i="1"/>
  <c r="DO65" i="1"/>
  <c r="DO73" i="1" s="1"/>
  <c r="DO11" i="1"/>
  <c r="DP65" i="1"/>
  <c r="DP73" i="1" s="1"/>
  <c r="DP11" i="1"/>
  <c r="DR65" i="1"/>
  <c r="DR73" i="1" s="1"/>
  <c r="DR11" i="1"/>
  <c r="DU65" i="1"/>
  <c r="DU73" i="1" s="1"/>
  <c r="DU11" i="1"/>
  <c r="DW65" i="1"/>
  <c r="DW73" i="1" s="1"/>
  <c r="DW11" i="1"/>
  <c r="DL65" i="1"/>
  <c r="DL73" i="1" s="1"/>
  <c r="DK65" i="1"/>
  <c r="DK73" i="1" s="1"/>
  <c r="DL11" i="1"/>
  <c r="DK11" i="1"/>
  <c r="DM65" i="1"/>
  <c r="DM73" i="1" s="1"/>
  <c r="DM11" i="1"/>
  <c r="DJ65" i="1"/>
  <c r="DJ73" i="1" s="1"/>
  <c r="DJ11" i="1"/>
  <c r="DI65" i="1"/>
  <c r="DI73" i="1" s="1"/>
  <c r="DI11" i="1"/>
  <c r="DB65" i="1"/>
  <c r="DB73" i="1" s="1"/>
  <c r="DB11" i="1"/>
  <c r="DC65" i="1"/>
  <c r="DC73" i="1" s="1"/>
  <c r="DC11" i="1"/>
  <c r="DD65" i="1"/>
  <c r="DD73" i="1" s="1"/>
  <c r="DD11" i="1"/>
  <c r="DA65" i="1"/>
  <c r="DA73" i="1" s="1"/>
  <c r="DA11" i="1"/>
  <c r="CU65" i="1"/>
  <c r="CU73" i="1" s="1"/>
  <c r="CU11" i="1"/>
  <c r="CV65" i="1"/>
  <c r="CV73" i="1" s="1"/>
  <c r="CV11" i="1"/>
  <c r="CQ65" i="1"/>
  <c r="CQ73" i="1" s="1"/>
  <c r="CQ11" i="1"/>
  <c r="CR65" i="1"/>
  <c r="CR73" i="1" s="1"/>
  <c r="CR11" i="1"/>
  <c r="CO65" i="1"/>
  <c r="CO73" i="1" s="1"/>
  <c r="CO11" i="1"/>
  <c r="CN65" i="1"/>
  <c r="CN73" i="1" s="1"/>
  <c r="CN11" i="1"/>
  <c r="CM65" i="1"/>
  <c r="CM73" i="1" s="1"/>
  <c r="CL65" i="1"/>
  <c r="CL73" i="1" s="1"/>
  <c r="CK65" i="1"/>
  <c r="CK73" i="1" s="1"/>
  <c r="CJ65" i="1"/>
  <c r="CJ73" i="1" s="1"/>
  <c r="CM11" i="1"/>
  <c r="CL11" i="1"/>
  <c r="CK11" i="1"/>
  <c r="CJ11" i="1"/>
  <c r="CD11" i="1"/>
  <c r="CF65" i="1"/>
  <c r="CF73" i="1" s="1"/>
  <c r="CF11" i="1"/>
  <c r="CG65" i="1"/>
  <c r="CG73" i="1" s="1"/>
  <c r="CG11" i="1"/>
  <c r="CH65" i="1"/>
  <c r="CH73" i="1" s="1"/>
  <c r="CH11" i="1"/>
  <c r="CB65" i="1"/>
  <c r="CB73" i="1" s="1"/>
  <c r="CB11" i="1"/>
  <c r="CC65" i="1"/>
  <c r="CC73" i="1" s="1"/>
  <c r="CC11" i="1"/>
  <c r="BY65" i="1"/>
  <c r="BY73" i="1" s="1"/>
  <c r="BY11" i="1"/>
  <c r="BZ65" i="1"/>
  <c r="BZ73" i="1" s="1"/>
  <c r="BZ11" i="1"/>
  <c r="BV65" i="1"/>
  <c r="BV73" i="1" s="1"/>
  <c r="BV11" i="1"/>
  <c r="BX65" i="1"/>
  <c r="BX73" i="1" s="1"/>
  <c r="BW65" i="1"/>
  <c r="BW73" i="1" s="1"/>
  <c r="BX11" i="1"/>
  <c r="BW11" i="1"/>
  <c r="BT65" i="1"/>
  <c r="BT73" i="1" s="1"/>
  <c r="BT11" i="1"/>
  <c r="BU65" i="1"/>
  <c r="BU73" i="1" s="1"/>
  <c r="BU11" i="1"/>
  <c r="BS65" i="1"/>
  <c r="BS73" i="1" s="1"/>
  <c r="BS11" i="1"/>
  <c r="BN65" i="1"/>
  <c r="BN73" i="1" s="1"/>
  <c r="BN11" i="1"/>
  <c r="BO65" i="1"/>
  <c r="BO73" i="1" s="1"/>
  <c r="BO11" i="1"/>
  <c r="BL65" i="1"/>
  <c r="BL73" i="1" s="1"/>
  <c r="BL11" i="1"/>
  <c r="BP65" i="1"/>
  <c r="BP73" i="1" s="1"/>
  <c r="BP11" i="1"/>
  <c r="BE65" i="1"/>
  <c r="BE73" i="1" s="1"/>
  <c r="BE11" i="1"/>
  <c r="BF65" i="1"/>
  <c r="BF73" i="1" s="1"/>
  <c r="BF11" i="1"/>
  <c r="BG65" i="1"/>
  <c r="BG73" i="1" s="1"/>
  <c r="BG11" i="1"/>
  <c r="BC65" i="1"/>
  <c r="BC73" i="1" s="1"/>
  <c r="BC11" i="1"/>
  <c r="BD65" i="1"/>
  <c r="BD73" i="1" s="1"/>
  <c r="BD11" i="1"/>
  <c r="BA65" i="1"/>
  <c r="BA73" i="1" s="1"/>
  <c r="BA11" i="1"/>
  <c r="BB65" i="1"/>
  <c r="BB73" i="1" s="1"/>
  <c r="BB11" i="1"/>
  <c r="AX65" i="1"/>
  <c r="AX73" i="1" s="1"/>
  <c r="AX11" i="1"/>
  <c r="AY65" i="1"/>
  <c r="AY73" i="1" s="1"/>
  <c r="AY11" i="1"/>
  <c r="AW65" i="1"/>
  <c r="AW73" i="1" s="1"/>
  <c r="AW11" i="1"/>
  <c r="AU65" i="1"/>
  <c r="AU73" i="1" s="1"/>
  <c r="AU11" i="1"/>
  <c r="AV65" i="1"/>
  <c r="AV73" i="1" s="1"/>
  <c r="AV11" i="1"/>
  <c r="AR65" i="1"/>
  <c r="AR73" i="1" s="1"/>
  <c r="AR11" i="1"/>
  <c r="AK65" i="1"/>
  <c r="AK73" i="1" s="1"/>
  <c r="AK11" i="1"/>
  <c r="AL65" i="1"/>
  <c r="AL73" i="1" s="1"/>
  <c r="AL11" i="1"/>
  <c r="AM65" i="1"/>
  <c r="AM73" i="1" s="1"/>
  <c r="AM11" i="1"/>
  <c r="AN65" i="1"/>
  <c r="AN73" i="1" s="1"/>
  <c r="AN11" i="1"/>
  <c r="AF65" i="1"/>
  <c r="AF73" i="1" s="1"/>
  <c r="AF11" i="1"/>
  <c r="AG65" i="1"/>
  <c r="AG73" i="1" s="1"/>
  <c r="AG11" i="1"/>
  <c r="AH65" i="1"/>
  <c r="AH73" i="1" s="1"/>
  <c r="AH11" i="1"/>
  <c r="AI65" i="1"/>
  <c r="AI73" i="1" s="1"/>
  <c r="AI11" i="1"/>
  <c r="AE65" i="1"/>
  <c r="AE73" i="1" s="1"/>
  <c r="AE11" i="1"/>
  <c r="AA65" i="1"/>
  <c r="AA73" i="1" s="1"/>
  <c r="AA11" i="1"/>
  <c r="AB65" i="1"/>
  <c r="AB73" i="1" s="1"/>
  <c r="AB11" i="1"/>
  <c r="AC65" i="1"/>
  <c r="AC73" i="1" s="1"/>
  <c r="AC11" i="1"/>
  <c r="AD65" i="1"/>
  <c r="AD73" i="1" s="1"/>
  <c r="AD11" i="1"/>
  <c r="Y65" i="1"/>
  <c r="Y73" i="1" s="1"/>
  <c r="Y11" i="1"/>
  <c r="X65" i="1"/>
  <c r="X73" i="1" s="1"/>
  <c r="X11" i="1"/>
  <c r="W65" i="1"/>
  <c r="W73" i="1" s="1"/>
  <c r="W11" i="1"/>
  <c r="Z65" i="1"/>
  <c r="Z73" i="1" s="1"/>
  <c r="Z11" i="1"/>
  <c r="P36" i="2"/>
  <c r="N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Q19" i="2"/>
  <c r="P19" i="2"/>
  <c r="O19" i="2"/>
  <c r="N19" i="2"/>
  <c r="M19" i="2"/>
  <c r="L19" i="2"/>
  <c r="K19" i="2"/>
  <c r="J19" i="2"/>
  <c r="I19" i="2"/>
  <c r="H19" i="2"/>
  <c r="G19" i="2"/>
  <c r="F81" i="1"/>
  <c r="E81" i="1"/>
  <c r="D81" i="1"/>
  <c r="IK80" i="1"/>
  <c r="F80" i="1"/>
  <c r="E80" i="1"/>
  <c r="D80" i="1"/>
  <c r="IK79" i="1"/>
  <c r="F79" i="1"/>
  <c r="E79" i="1"/>
  <c r="D79" i="1"/>
  <c r="IK78" i="1"/>
  <c r="F78" i="1"/>
  <c r="E78" i="1"/>
  <c r="D78" i="1"/>
  <c r="IK77" i="1"/>
  <c r="F77" i="1"/>
  <c r="E77" i="1"/>
  <c r="D77" i="1"/>
  <c r="IL76" i="1"/>
  <c r="IL82" i="1" s="1"/>
  <c r="IK76" i="1"/>
  <c r="F76" i="1"/>
  <c r="IN76" i="1" s="1"/>
  <c r="IN83" i="1" s="1"/>
  <c r="E76" i="1"/>
  <c r="D76" i="1"/>
  <c r="IL83" i="1" s="1"/>
  <c r="IN71" i="1"/>
  <c r="IO71" i="1" s="1"/>
  <c r="H71" i="1"/>
  <c r="G71" i="1"/>
  <c r="E71" i="1"/>
  <c r="IN70" i="1"/>
  <c r="IO70" i="1" s="1"/>
  <c r="H70" i="1"/>
  <c r="G70" i="1"/>
  <c r="E70" i="1"/>
  <c r="IN69" i="1"/>
  <c r="IO69" i="1" s="1"/>
  <c r="H69" i="1"/>
  <c r="G69" i="1"/>
  <c r="E69" i="1"/>
  <c r="IN68" i="1"/>
  <c r="IO68" i="1" s="1"/>
  <c r="H68" i="1"/>
  <c r="G68" i="1"/>
  <c r="E68" i="1"/>
  <c r="IN67" i="1"/>
  <c r="IO67" i="1" s="1"/>
  <c r="H67" i="1"/>
  <c r="G67" i="1"/>
  <c r="E67" i="1"/>
  <c r="II65" i="1"/>
  <c r="II73" i="1" s="1"/>
  <c r="IG65" i="1"/>
  <c r="IG73" i="1" s="1"/>
  <c r="HB65" i="1"/>
  <c r="HB73" i="1" s="1"/>
  <c r="HA65" i="1"/>
  <c r="HA73" i="1" s="1"/>
  <c r="GY65" i="1"/>
  <c r="GY73" i="1" s="1"/>
  <c r="GP65" i="1"/>
  <c r="GP73" i="1" s="1"/>
  <c r="GM65" i="1"/>
  <c r="GM73" i="1" s="1"/>
  <c r="GL65" i="1"/>
  <c r="GL73" i="1" s="1"/>
  <c r="GK65" i="1"/>
  <c r="GK73" i="1" s="1"/>
  <c r="GJ65" i="1"/>
  <c r="GJ73" i="1" s="1"/>
  <c r="FT65" i="1"/>
  <c r="FT73" i="1" s="1"/>
  <c r="FM65" i="1"/>
  <c r="FM73" i="1" s="1"/>
  <c r="FL65" i="1"/>
  <c r="FL73" i="1" s="1"/>
  <c r="ET65" i="1"/>
  <c r="ET73" i="1" s="1"/>
  <c r="ER65" i="1"/>
  <c r="ER73" i="1" s="1"/>
  <c r="EQ65" i="1"/>
  <c r="EQ73" i="1" s="1"/>
  <c r="EP65" i="1"/>
  <c r="EP73" i="1" s="1"/>
  <c r="DN65" i="1"/>
  <c r="DN73" i="1" s="1"/>
  <c r="DH65" i="1"/>
  <c r="DH73" i="1" s="1"/>
  <c r="DG65" i="1"/>
  <c r="DG73" i="1" s="1"/>
  <c r="DF65" i="1"/>
  <c r="DF73" i="1" s="1"/>
  <c r="DE65" i="1"/>
  <c r="DE73" i="1" s="1"/>
  <c r="CZ65" i="1"/>
  <c r="CZ73" i="1" s="1"/>
  <c r="CY65" i="1"/>
  <c r="CY73" i="1" s="1"/>
  <c r="CX65" i="1"/>
  <c r="CX73" i="1" s="1"/>
  <c r="CW65" i="1"/>
  <c r="CW73" i="1" s="1"/>
  <c r="CT65" i="1"/>
  <c r="CT73" i="1" s="1"/>
  <c r="CS65" i="1"/>
  <c r="CS73" i="1" s="1"/>
  <c r="CP65" i="1"/>
  <c r="CP73" i="1" s="1"/>
  <c r="CI65" i="1"/>
  <c r="CI73" i="1" s="1"/>
  <c r="CE65" i="1"/>
  <c r="CE73" i="1" s="1"/>
  <c r="CD65" i="1"/>
  <c r="CD73" i="1" s="1"/>
  <c r="CA65" i="1"/>
  <c r="CA73" i="1" s="1"/>
  <c r="BR65" i="1"/>
  <c r="BR73" i="1" s="1"/>
  <c r="BQ65" i="1"/>
  <c r="BQ73" i="1" s="1"/>
  <c r="BM65" i="1"/>
  <c r="BM73" i="1" s="1"/>
  <c r="BK65" i="1"/>
  <c r="BK73" i="1" s="1"/>
  <c r="BJ65" i="1"/>
  <c r="BJ73" i="1" s="1"/>
  <c r="BI65" i="1"/>
  <c r="BI73" i="1" s="1"/>
  <c r="BH65" i="1"/>
  <c r="BH73" i="1" s="1"/>
  <c r="AZ65" i="1"/>
  <c r="AZ73" i="1" s="1"/>
  <c r="AT65" i="1"/>
  <c r="AT73" i="1" s="1"/>
  <c r="AS65" i="1"/>
  <c r="AS73" i="1" s="1"/>
  <c r="AQ65" i="1"/>
  <c r="AQ73" i="1" s="1"/>
  <c r="AP65" i="1"/>
  <c r="AP73" i="1" s="1"/>
  <c r="AO65" i="1"/>
  <c r="AO73" i="1" s="1"/>
  <c r="AJ65" i="1"/>
  <c r="AJ73" i="1" s="1"/>
  <c r="V65" i="1"/>
  <c r="V73" i="1" s="1"/>
  <c r="U65" i="1"/>
  <c r="U73" i="1" s="1"/>
  <c r="T65" i="1"/>
  <c r="T73" i="1" s="1"/>
  <c r="S65" i="1"/>
  <c r="S73" i="1" s="1"/>
  <c r="R65" i="1"/>
  <c r="R73" i="1" s="1"/>
  <c r="Q65" i="1"/>
  <c r="Q73" i="1" s="1"/>
  <c r="P65" i="1"/>
  <c r="P73" i="1" s="1"/>
  <c r="O65" i="1"/>
  <c r="O73" i="1" s="1"/>
  <c r="N65" i="1"/>
  <c r="N73" i="1" s="1"/>
  <c r="M65" i="1"/>
  <c r="M73" i="1" s="1"/>
  <c r="L65" i="1"/>
  <c r="L73" i="1" s="1"/>
  <c r="K65" i="1"/>
  <c r="K73" i="1" s="1"/>
  <c r="J65" i="1"/>
  <c r="I65" i="1"/>
  <c r="I73" i="1" s="1"/>
  <c r="B65" i="1"/>
  <c r="IN62" i="1"/>
  <c r="IO62" i="1" s="1"/>
  <c r="H62" i="1"/>
  <c r="G62" i="1"/>
  <c r="E62" i="1"/>
  <c r="IN61" i="1"/>
  <c r="IO61" i="1" s="1"/>
  <c r="H61" i="1"/>
  <c r="G61" i="1"/>
  <c r="E61" i="1"/>
  <c r="IN60" i="1"/>
  <c r="IO60" i="1" s="1"/>
  <c r="H60" i="1"/>
  <c r="G60" i="1"/>
  <c r="E60" i="1"/>
  <c r="IN59" i="1"/>
  <c r="IO59" i="1" s="1"/>
  <c r="H59" i="1"/>
  <c r="G59" i="1"/>
  <c r="E59" i="1"/>
  <c r="IN58" i="1"/>
  <c r="IO58" i="1" s="1"/>
  <c r="H58" i="1"/>
  <c r="G58" i="1"/>
  <c r="E58" i="1"/>
  <c r="IN57" i="1"/>
  <c r="IO57" i="1" s="1"/>
  <c r="H57" i="1"/>
  <c r="G57" i="1"/>
  <c r="E57" i="1"/>
  <c r="IN56" i="1"/>
  <c r="IO56" i="1" s="1"/>
  <c r="H56" i="1"/>
  <c r="G56" i="1"/>
  <c r="E56" i="1"/>
  <c r="IN55" i="1"/>
  <c r="IO55" i="1" s="1"/>
  <c r="H55" i="1"/>
  <c r="G55" i="1"/>
  <c r="E55" i="1"/>
  <c r="IN54" i="1"/>
  <c r="IO54" i="1" s="1"/>
  <c r="H54" i="1"/>
  <c r="G54" i="1"/>
  <c r="E54" i="1"/>
  <c r="IN53" i="1"/>
  <c r="IO53" i="1" s="1"/>
  <c r="H53" i="1"/>
  <c r="G53" i="1"/>
  <c r="E53" i="1"/>
  <c r="IN52" i="1"/>
  <c r="IO52" i="1" s="1"/>
  <c r="H52" i="1"/>
  <c r="G52" i="1"/>
  <c r="E52" i="1"/>
  <c r="IN51" i="1"/>
  <c r="IO51" i="1" s="1"/>
  <c r="H51" i="1"/>
  <c r="G51" i="1"/>
  <c r="E51" i="1"/>
  <c r="IN50" i="1"/>
  <c r="IO50" i="1" s="1"/>
  <c r="H50" i="1"/>
  <c r="G50" i="1"/>
  <c r="E50" i="1"/>
  <c r="IN49" i="1"/>
  <c r="IO49" i="1" s="1"/>
  <c r="H49" i="1"/>
  <c r="G49" i="1"/>
  <c r="E49" i="1"/>
  <c r="IN48" i="1"/>
  <c r="IO48" i="1" s="1"/>
  <c r="H48" i="1"/>
  <c r="G48" i="1"/>
  <c r="E48" i="1"/>
  <c r="IN47" i="1"/>
  <c r="IO47" i="1" s="1"/>
  <c r="H47" i="1"/>
  <c r="G47" i="1"/>
  <c r="E47" i="1"/>
  <c r="IN46" i="1"/>
  <c r="IO46" i="1" s="1"/>
  <c r="H46" i="1"/>
  <c r="G46" i="1"/>
  <c r="E46" i="1"/>
  <c r="IN45" i="1"/>
  <c r="IO45" i="1" s="1"/>
  <c r="H45" i="1"/>
  <c r="G45" i="1"/>
  <c r="E45" i="1"/>
  <c r="IN44" i="1"/>
  <c r="IO44" i="1" s="1"/>
  <c r="H44" i="1"/>
  <c r="G44" i="1"/>
  <c r="E44" i="1"/>
  <c r="IN43" i="1"/>
  <c r="IO43" i="1" s="1"/>
  <c r="H43" i="1"/>
  <c r="G43" i="1"/>
  <c r="E43" i="1"/>
  <c r="IN42" i="1"/>
  <c r="IO42" i="1" s="1"/>
  <c r="H42" i="1"/>
  <c r="G42" i="1"/>
  <c r="E42" i="1"/>
  <c r="IN41" i="1"/>
  <c r="IO41" i="1" s="1"/>
  <c r="H41" i="1"/>
  <c r="G41" i="1"/>
  <c r="E41" i="1"/>
  <c r="IN40" i="1"/>
  <c r="IO40" i="1" s="1"/>
  <c r="H40" i="1"/>
  <c r="G40" i="1"/>
  <c r="E40" i="1"/>
  <c r="IN39" i="1"/>
  <c r="IO39" i="1" s="1"/>
  <c r="H39" i="1"/>
  <c r="G39" i="1"/>
  <c r="E39" i="1"/>
  <c r="IN38" i="1"/>
  <c r="IO38" i="1" s="1"/>
  <c r="H38" i="1"/>
  <c r="G38" i="1"/>
  <c r="E38" i="1"/>
  <c r="IN37" i="1"/>
  <c r="IO37" i="1" s="1"/>
  <c r="H37" i="1"/>
  <c r="G37" i="1"/>
  <c r="E37" i="1"/>
  <c r="IN36" i="1"/>
  <c r="IO36" i="1" s="1"/>
  <c r="H36" i="1"/>
  <c r="G36" i="1"/>
  <c r="E36" i="1"/>
  <c r="IN35" i="1"/>
  <c r="IO35" i="1" s="1"/>
  <c r="H35" i="1"/>
  <c r="G35" i="1"/>
  <c r="E35" i="1"/>
  <c r="IN34" i="1"/>
  <c r="IO34" i="1" s="1"/>
  <c r="H34" i="1"/>
  <c r="G34" i="1"/>
  <c r="E34" i="1"/>
  <c r="IN33" i="1"/>
  <c r="IO33" i="1" s="1"/>
  <c r="H33" i="1"/>
  <c r="G33" i="1"/>
  <c r="E33" i="1"/>
  <c r="IN32" i="1"/>
  <c r="IO32" i="1" s="1"/>
  <c r="H32" i="1"/>
  <c r="G32" i="1"/>
  <c r="E32" i="1"/>
  <c r="IN31" i="1"/>
  <c r="IO31" i="1" s="1"/>
  <c r="H31" i="1"/>
  <c r="G31" i="1"/>
  <c r="E31" i="1"/>
  <c r="IN30" i="1"/>
  <c r="IO30" i="1" s="1"/>
  <c r="H30" i="1"/>
  <c r="G30" i="1"/>
  <c r="E30" i="1"/>
  <c r="IN29" i="1"/>
  <c r="IO29" i="1" s="1"/>
  <c r="H29" i="1"/>
  <c r="G29" i="1"/>
  <c r="E29" i="1"/>
  <c r="IN28" i="1"/>
  <c r="IO28" i="1" s="1"/>
  <c r="H28" i="1"/>
  <c r="G28" i="1"/>
  <c r="E28" i="1"/>
  <c r="IN27" i="1"/>
  <c r="IO27" i="1" s="1"/>
  <c r="H27" i="1"/>
  <c r="G27" i="1"/>
  <c r="E27" i="1"/>
  <c r="IN26" i="1"/>
  <c r="IO26" i="1" s="1"/>
  <c r="H26" i="1"/>
  <c r="G26" i="1"/>
  <c r="E26" i="1"/>
  <c r="IN25" i="1"/>
  <c r="IO25" i="1" s="1"/>
  <c r="H25" i="1"/>
  <c r="G25" i="1"/>
  <c r="E25" i="1"/>
  <c r="IN24" i="1"/>
  <c r="IO24" i="1" s="1"/>
  <c r="H24" i="1"/>
  <c r="G24" i="1"/>
  <c r="E24" i="1"/>
  <c r="IN23" i="1"/>
  <c r="IO23" i="1" s="1"/>
  <c r="H23" i="1"/>
  <c r="G23" i="1"/>
  <c r="E23" i="1"/>
  <c r="IN22" i="1"/>
  <c r="IO22" i="1" s="1"/>
  <c r="H22" i="1"/>
  <c r="G22" i="1"/>
  <c r="E22" i="1"/>
  <c r="IN21" i="1"/>
  <c r="IO21" i="1" s="1"/>
  <c r="H21" i="1"/>
  <c r="G21" i="1"/>
  <c r="E21" i="1"/>
  <c r="IN20" i="1"/>
  <c r="IO20" i="1" s="1"/>
  <c r="H20" i="1"/>
  <c r="G20" i="1"/>
  <c r="E20" i="1"/>
  <c r="IN19" i="1"/>
  <c r="IO19" i="1" s="1"/>
  <c r="H19" i="1"/>
  <c r="G19" i="1"/>
  <c r="E19" i="1"/>
  <c r="IN18" i="1"/>
  <c r="IO18" i="1" s="1"/>
  <c r="H18" i="1"/>
  <c r="G18" i="1"/>
  <c r="E18" i="1"/>
  <c r="IN17" i="1"/>
  <c r="IO17" i="1" s="1"/>
  <c r="H17" i="1"/>
  <c r="G17" i="1"/>
  <c r="E17" i="1"/>
  <c r="IN16" i="1"/>
  <c r="IO16" i="1" s="1"/>
  <c r="H16" i="1"/>
  <c r="G16" i="1"/>
  <c r="E16" i="1"/>
  <c r="IN15" i="1"/>
  <c r="IO15" i="1" s="1"/>
  <c r="H15" i="1"/>
  <c r="G15" i="1"/>
  <c r="E15" i="1"/>
  <c r="IN14" i="1"/>
  <c r="IO14" i="1" s="1"/>
  <c r="H14" i="1"/>
  <c r="G14" i="1"/>
  <c r="E14" i="1"/>
  <c r="IN13" i="1"/>
  <c r="E13" i="1"/>
  <c r="II11" i="1"/>
  <c r="IG11" i="1"/>
  <c r="HB11" i="1"/>
  <c r="HA11" i="1"/>
  <c r="GY11" i="1"/>
  <c r="GP11" i="1"/>
  <c r="GM11" i="1"/>
  <c r="GL11" i="1"/>
  <c r="GK11" i="1"/>
  <c r="GJ11" i="1"/>
  <c r="FT11" i="1"/>
  <c r="FM11" i="1"/>
  <c r="FL11" i="1"/>
  <c r="ET11" i="1"/>
  <c r="ER11" i="1"/>
  <c r="EQ11" i="1"/>
  <c r="EP11" i="1"/>
  <c r="DN11" i="1"/>
  <c r="DH11" i="1"/>
  <c r="DG11" i="1"/>
  <c r="DF11" i="1"/>
  <c r="DE11" i="1"/>
  <c r="CZ11" i="1"/>
  <c r="CY11" i="1"/>
  <c r="CX11" i="1"/>
  <c r="CW11" i="1"/>
  <c r="CT11" i="1"/>
  <c r="CS11" i="1"/>
  <c r="CP11" i="1"/>
  <c r="CI11" i="1"/>
  <c r="CE11" i="1"/>
  <c r="CA11" i="1"/>
  <c r="BR11" i="1"/>
  <c r="BQ11" i="1"/>
  <c r="BM11" i="1"/>
  <c r="BK11" i="1"/>
  <c r="BJ11" i="1"/>
  <c r="BI11" i="1"/>
  <c r="BH11" i="1"/>
  <c r="AZ11" i="1"/>
  <c r="AT11" i="1"/>
  <c r="AS11" i="1"/>
  <c r="AQ11" i="1"/>
  <c r="AP11" i="1"/>
  <c r="AO11" i="1"/>
  <c r="AJ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F11" i="1"/>
  <c r="B11" i="1"/>
  <c r="E82" i="1" l="1"/>
  <c r="IK82" i="1"/>
  <c r="IM77" i="1"/>
  <c r="IM78" i="1"/>
  <c r="IM79" i="1"/>
  <c r="H11" i="1"/>
  <c r="G11" i="1"/>
  <c r="F82" i="1"/>
  <c r="H65" i="1"/>
  <c r="G65" i="1"/>
  <c r="IO13" i="1"/>
  <c r="J73" i="1"/>
  <c r="G73" i="1" s="1"/>
  <c r="IM76" i="1"/>
  <c r="IM80" i="1"/>
  <c r="D82" i="1"/>
  <c r="IK83" i="1" s="1"/>
  <c r="H73" i="1" l="1"/>
  <c r="IM83" i="1"/>
  <c r="F73" i="1"/>
  <c r="F65" i="1"/>
  <c r="IN11" i="1"/>
  <c r="IN65" i="1"/>
  <c r="IN73" i="1"/>
  <c r="IO11" i="1"/>
  <c r="IO65" i="1"/>
  <c r="IO73" i="1"/>
</calcChain>
</file>

<file path=xl/sharedStrings.xml><?xml version="1.0" encoding="utf-8"?>
<sst xmlns="http://schemas.openxmlformats.org/spreadsheetml/2006/main" count="643" uniqueCount="445">
  <si>
    <t xml:space="preserve">행사기간 : </t>
    <phoneticPr fontId="10" type="noConversion"/>
  </si>
  <si>
    <t>1M</t>
    <phoneticPr fontId="12" type="noConversion"/>
  </si>
  <si>
    <t>1.5M</t>
    <phoneticPr fontId="10" type="noConversion"/>
  </si>
  <si>
    <t>2M</t>
    <phoneticPr fontId="10" type="noConversion"/>
  </si>
  <si>
    <t>쇼케이스</t>
    <phoneticPr fontId="12" type="noConversion"/>
  </si>
  <si>
    <t>진 열 대</t>
    <phoneticPr fontId="10" type="noConversion"/>
  </si>
  <si>
    <t>원형테이블</t>
    <phoneticPr fontId="10" type="noConversion"/>
  </si>
  <si>
    <t>사각테이블
(다리 : 1)</t>
    <phoneticPr fontId="3" type="noConversion"/>
  </si>
  <si>
    <t>사각테이블
(다리 : 4)</t>
    <phoneticPr fontId="3" type="noConversion"/>
  </si>
  <si>
    <t xml:space="preserve">의 자 </t>
    <phoneticPr fontId="10" type="noConversion"/>
  </si>
  <si>
    <t>비 품</t>
    <phoneticPr fontId="10" type="noConversion"/>
  </si>
  <si>
    <t>기 타</t>
    <phoneticPr fontId="10" type="noConversion"/>
  </si>
  <si>
    <t>패브릭</t>
    <phoneticPr fontId="12" type="noConversion"/>
  </si>
  <si>
    <t>비  고</t>
    <phoneticPr fontId="10" type="noConversion"/>
  </si>
  <si>
    <t>입 금
[카드·현금·
씨티
달러·장치]</t>
    <phoneticPr fontId="12" type="noConversion"/>
  </si>
  <si>
    <t>세금계산서
[세금·
계산서X·
추후정산]</t>
    <phoneticPr fontId="12" type="noConversion"/>
  </si>
  <si>
    <t>담당자</t>
    <phoneticPr fontId="10" type="noConversion"/>
  </si>
  <si>
    <t>no</t>
    <phoneticPr fontId="10" type="noConversion"/>
  </si>
  <si>
    <t>부스
NO</t>
    <phoneticPr fontId="10" type="noConversion"/>
  </si>
  <si>
    <t>업  체  명</t>
  </si>
  <si>
    <t>입금
방법</t>
    <phoneticPr fontId="10" type="noConversion"/>
  </si>
  <si>
    <t>확인</t>
    <phoneticPr fontId="10" type="noConversion"/>
  </si>
  <si>
    <t>소계
(VAT별도)</t>
    <phoneticPr fontId="10" type="noConversion"/>
  </si>
  <si>
    <t>종류</t>
    <phoneticPr fontId="12" type="noConversion"/>
  </si>
  <si>
    <t>수량</t>
    <phoneticPr fontId="12" type="noConversion"/>
  </si>
  <si>
    <t>1단진열대</t>
    <phoneticPr fontId="10" type="noConversion"/>
  </si>
  <si>
    <t>2단진열대</t>
    <phoneticPr fontId="10" type="noConversion"/>
  </si>
  <si>
    <t>3단진열대</t>
    <phoneticPr fontId="10" type="noConversion"/>
  </si>
  <si>
    <t>1단쇼케이스</t>
    <phoneticPr fontId="10" type="noConversion"/>
  </si>
  <si>
    <t>3단쇼테이스</t>
    <phoneticPr fontId="10" type="noConversion"/>
  </si>
  <si>
    <t>쇼케이스</t>
    <phoneticPr fontId="10" type="noConversion"/>
  </si>
  <si>
    <t>진열대</t>
    <phoneticPr fontId="12" type="noConversion"/>
  </si>
  <si>
    <t>선반</t>
    <phoneticPr fontId="10" type="noConversion"/>
  </si>
  <si>
    <t>백색</t>
    <phoneticPr fontId="10" type="noConversion"/>
  </si>
  <si>
    <t>하이그로시</t>
    <phoneticPr fontId="12" type="noConversion"/>
  </si>
  <si>
    <t>무늬목</t>
    <phoneticPr fontId="10" type="noConversion"/>
  </si>
  <si>
    <t>흰색</t>
    <phoneticPr fontId="12" type="noConversion"/>
  </si>
  <si>
    <t>상판하이그로시</t>
    <phoneticPr fontId="12" type="noConversion"/>
  </si>
  <si>
    <t>450*1200</t>
    <phoneticPr fontId="10" type="noConversion"/>
  </si>
  <si>
    <t>700*1200</t>
    <phoneticPr fontId="3" type="noConversion"/>
  </si>
  <si>
    <t>700*1800</t>
    <phoneticPr fontId="3" type="noConversion"/>
  </si>
  <si>
    <t>800*1200</t>
    <phoneticPr fontId="12" type="noConversion"/>
  </si>
  <si>
    <t>듀라테이블</t>
    <phoneticPr fontId="10" type="noConversion"/>
  </si>
  <si>
    <t>테이블보</t>
    <phoneticPr fontId="12" type="noConversion"/>
  </si>
  <si>
    <t>접의자</t>
    <phoneticPr fontId="10" type="noConversion"/>
  </si>
  <si>
    <t>크림접의자</t>
    <phoneticPr fontId="12" type="noConversion"/>
  </si>
  <si>
    <t>피노키오</t>
    <phoneticPr fontId="10" type="noConversion"/>
  </si>
  <si>
    <t>땅콩</t>
    <phoneticPr fontId="10" type="noConversion"/>
  </si>
  <si>
    <t>파워의자</t>
    <phoneticPr fontId="12" type="noConversion"/>
  </si>
  <si>
    <t>일카</t>
    <phoneticPr fontId="10" type="noConversion"/>
  </si>
  <si>
    <t>신카</t>
    <phoneticPr fontId="10" type="noConversion"/>
  </si>
  <si>
    <t>휴지통</t>
    <phoneticPr fontId="12" type="noConversion"/>
  </si>
  <si>
    <t>냉온수기</t>
    <phoneticPr fontId="10" type="noConversion"/>
  </si>
  <si>
    <t>생수</t>
    <phoneticPr fontId="10" type="noConversion"/>
  </si>
  <si>
    <t>냉장고</t>
    <phoneticPr fontId="12" type="noConversion"/>
  </si>
  <si>
    <t>LEDTV</t>
    <phoneticPr fontId="10" type="noConversion"/>
  </si>
  <si>
    <t>패브릭인포</t>
    <phoneticPr fontId="12" type="noConversion"/>
  </si>
  <si>
    <t>(2/1)</t>
    <phoneticPr fontId="12" type="noConversion"/>
  </si>
  <si>
    <t>(타워)</t>
    <phoneticPr fontId="12" type="noConversion"/>
  </si>
  <si>
    <t>560
560
H1000</t>
    <phoneticPr fontId="12" type="noConversion"/>
  </si>
  <si>
    <t>Ø
750</t>
    <phoneticPr fontId="12" type="noConversion"/>
  </si>
  <si>
    <t>Ø
600</t>
    <phoneticPr fontId="12" type="noConversion"/>
  </si>
  <si>
    <t>Ø
700</t>
    <phoneticPr fontId="12" type="noConversion"/>
  </si>
  <si>
    <t>600
*
600</t>
    <phoneticPr fontId="12" type="noConversion"/>
  </si>
  <si>
    <t>750
*
750</t>
    <phoneticPr fontId="12" type="noConversion"/>
  </si>
  <si>
    <t>700
*
700</t>
    <phoneticPr fontId="12" type="noConversion"/>
  </si>
  <si>
    <t>하이
그로시</t>
    <phoneticPr fontId="12" type="noConversion"/>
  </si>
  <si>
    <t>( 검 )</t>
    <phoneticPr fontId="12" type="noConversion"/>
  </si>
  <si>
    <t>( 백 )</t>
    <phoneticPr fontId="12" type="noConversion"/>
  </si>
  <si>
    <t>청색</t>
    <phoneticPr fontId="12" type="noConversion"/>
  </si>
  <si>
    <t>검정</t>
    <phoneticPr fontId="12" type="noConversion"/>
  </si>
  <si>
    <t>50L</t>
    <phoneticPr fontId="12" type="noConversion"/>
  </si>
  <si>
    <t>80L</t>
    <phoneticPr fontId="12" type="noConversion"/>
  </si>
  <si>
    <t>43"</t>
    <phoneticPr fontId="12" type="noConversion"/>
  </si>
  <si>
    <t>50"</t>
    <phoneticPr fontId="12" type="noConversion"/>
  </si>
  <si>
    <t>65"</t>
    <phoneticPr fontId="12" type="noConversion"/>
  </si>
  <si>
    <t>COUNT</t>
    <phoneticPr fontId="12" type="noConversion"/>
  </si>
  <si>
    <t>SUM</t>
    <phoneticPr fontId="12" type="noConversion"/>
  </si>
  <si>
    <t>ED-01</t>
    <phoneticPr fontId="12" type="noConversion"/>
  </si>
  <si>
    <t>ED-02</t>
    <phoneticPr fontId="12" type="noConversion"/>
  </si>
  <si>
    <t>ED-03</t>
    <phoneticPr fontId="12" type="noConversion"/>
  </si>
  <si>
    <t>ED-07</t>
    <phoneticPr fontId="12" type="noConversion"/>
  </si>
  <si>
    <t>ED-08</t>
    <phoneticPr fontId="12" type="noConversion"/>
  </si>
  <si>
    <t>ED-09</t>
    <phoneticPr fontId="12" type="noConversion"/>
  </si>
  <si>
    <t>ED-10</t>
    <phoneticPr fontId="12" type="noConversion"/>
  </si>
  <si>
    <t>ED-18</t>
    <phoneticPr fontId="12" type="noConversion"/>
  </si>
  <si>
    <t>ET-01</t>
    <phoneticPr fontId="10" type="noConversion"/>
  </si>
  <si>
    <t>ET-01-1</t>
    <phoneticPr fontId="12" type="noConversion"/>
  </si>
  <si>
    <t>ET-02</t>
    <phoneticPr fontId="10" type="noConversion"/>
  </si>
  <si>
    <t>ET-09</t>
    <phoneticPr fontId="12" type="noConversion"/>
  </si>
  <si>
    <t>ET-09-1</t>
  </si>
  <si>
    <t>ET-11</t>
    <phoneticPr fontId="10" type="noConversion"/>
  </si>
  <si>
    <t>ET-12</t>
    <phoneticPr fontId="12" type="noConversion"/>
  </si>
  <si>
    <t>ET-12-2</t>
    <phoneticPr fontId="12" type="noConversion"/>
  </si>
  <si>
    <t>ET-14</t>
    <phoneticPr fontId="3" type="noConversion"/>
  </si>
  <si>
    <t>EC-01</t>
    <phoneticPr fontId="12" type="noConversion"/>
  </si>
  <si>
    <t>EC-01-1</t>
    <phoneticPr fontId="12" type="noConversion"/>
  </si>
  <si>
    <t>EC-06</t>
    <phoneticPr fontId="12" type="noConversion"/>
  </si>
  <si>
    <t>EC-07</t>
    <phoneticPr fontId="12" type="noConversion"/>
  </si>
  <si>
    <t>EC-11</t>
    <phoneticPr fontId="12" type="noConversion"/>
  </si>
  <si>
    <t>EB-01</t>
    <phoneticPr fontId="12" type="noConversion"/>
  </si>
  <si>
    <t>EB-02</t>
    <phoneticPr fontId="12" type="noConversion"/>
  </si>
  <si>
    <t>EB-11</t>
    <phoneticPr fontId="12" type="noConversion"/>
  </si>
  <si>
    <t>EB-15</t>
    <phoneticPr fontId="12" type="noConversion"/>
  </si>
  <si>
    <t>EE-01</t>
    <phoneticPr fontId="12" type="noConversion"/>
  </si>
  <si>
    <t>EE-01-1</t>
    <phoneticPr fontId="12" type="noConversion"/>
  </si>
  <si>
    <t>EE-02</t>
    <phoneticPr fontId="12" type="noConversion"/>
  </si>
  <si>
    <t>EE-12</t>
    <phoneticPr fontId="12" type="noConversion"/>
  </si>
  <si>
    <t>설치 :</t>
    <phoneticPr fontId="12" type="noConversion"/>
  </si>
  <si>
    <t>철거 :</t>
    <phoneticPr fontId="12" type="noConversion"/>
  </si>
  <si>
    <t>*달러부분은 삭제</t>
    <phoneticPr fontId="12" type="noConversion"/>
  </si>
  <si>
    <t>담당자 :</t>
    <phoneticPr fontId="12" type="noConversion"/>
  </si>
  <si>
    <t>부가세</t>
    <phoneticPr fontId="12" type="noConversion"/>
  </si>
  <si>
    <t>vat포함가</t>
    <phoneticPr fontId="12" type="noConversion"/>
  </si>
  <si>
    <t>총</t>
    <phoneticPr fontId="12" type="noConversion"/>
  </si>
  <si>
    <t>합      계
(출고물량)</t>
    <phoneticPr fontId="12" type="noConversion"/>
  </si>
  <si>
    <t>오더지 출고 이후 발주내역</t>
    <phoneticPr fontId="12" type="noConversion"/>
  </si>
  <si>
    <t>합      계(총)</t>
    <phoneticPr fontId="10" type="noConversion"/>
  </si>
  <si>
    <t>입금방법</t>
    <phoneticPr fontId="12" type="noConversion"/>
  </si>
  <si>
    <t>방법
별
개수</t>
    <phoneticPr fontId="12" type="noConversion"/>
  </si>
  <si>
    <t>확인
업체
개수</t>
    <phoneticPr fontId="12" type="noConversion"/>
  </si>
  <si>
    <t>결제방법별
금액</t>
    <phoneticPr fontId="12" type="noConversion"/>
  </si>
  <si>
    <t>결제방법</t>
    <phoneticPr fontId="12" type="noConversion"/>
  </si>
  <si>
    <t>입금금액</t>
    <phoneticPr fontId="12" type="noConversion"/>
  </si>
  <si>
    <t>세금금액</t>
    <phoneticPr fontId="12" type="noConversion"/>
  </si>
  <si>
    <t>미입금액</t>
    <phoneticPr fontId="12" type="noConversion"/>
  </si>
  <si>
    <t>미발행
새금계산서
금액</t>
    <phoneticPr fontId="12" type="noConversion"/>
  </si>
  <si>
    <t>입금</t>
    <phoneticPr fontId="12" type="noConversion"/>
  </si>
  <si>
    <t>카드</t>
    <phoneticPr fontId="12" type="noConversion"/>
  </si>
  <si>
    <t>현금</t>
    <phoneticPr fontId="12" type="noConversion"/>
  </si>
  <si>
    <t>씨티</t>
    <phoneticPr fontId="12" type="noConversion"/>
  </si>
  <si>
    <t>달러</t>
    <phoneticPr fontId="12" type="noConversion"/>
  </si>
  <si>
    <t>장치</t>
    <phoneticPr fontId="12" type="noConversion"/>
  </si>
  <si>
    <t>총(달러제외)</t>
    <phoneticPr fontId="12" type="noConversion"/>
  </si>
  <si>
    <t>총 수금 금액</t>
    <phoneticPr fontId="12" type="noConversion"/>
  </si>
  <si>
    <t>총 미수금 금액↓</t>
    <phoneticPr fontId="12" type="noConversion"/>
  </si>
  <si>
    <t>* [입금방법별 개수]와 [확인업체개수]가 동일해야함.</t>
    <phoneticPr fontId="12" type="noConversion"/>
  </si>
  <si>
    <t>미입금·미발행 업체수</t>
    <phoneticPr fontId="12" type="noConversion"/>
  </si>
  <si>
    <t>2026년 1월 매출</t>
    <phoneticPr fontId="12" type="noConversion"/>
  </si>
  <si>
    <t>*해당매출은 vat미포함 금액임</t>
    <phoneticPr fontId="12" type="noConversion"/>
  </si>
  <si>
    <t>입금된 금액 적용</t>
    <phoneticPr fontId="12" type="noConversion"/>
  </si>
  <si>
    <t>순번</t>
    <phoneticPr fontId="12" type="noConversion"/>
  </si>
  <si>
    <t>전시기간</t>
    <phoneticPr fontId="12" type="noConversion"/>
  </si>
  <si>
    <t>전시장</t>
    <phoneticPr fontId="12" type="noConversion"/>
  </si>
  <si>
    <t>전시명</t>
    <phoneticPr fontId="12" type="noConversion"/>
  </si>
  <si>
    <t>장치/협회/주최자
이름</t>
    <phoneticPr fontId="12" type="noConversion"/>
  </si>
  <si>
    <t>전시합계</t>
    <phoneticPr fontId="12" type="noConversion"/>
  </si>
  <si>
    <t>일반(이체)</t>
    <phoneticPr fontId="12" type="noConversion"/>
  </si>
  <si>
    <t>씨티(지출증빙x)</t>
    <phoneticPr fontId="12" type="noConversion"/>
  </si>
  <si>
    <t>장치금액</t>
    <phoneticPr fontId="12" type="noConversion"/>
  </si>
  <si>
    <t>수금합계</t>
    <phoneticPr fontId="12" type="noConversion"/>
  </si>
  <si>
    <t>미입금
금액</t>
    <phoneticPr fontId="12" type="noConversion"/>
  </si>
  <si>
    <t>미입금
개수</t>
    <phoneticPr fontId="12" type="noConversion"/>
  </si>
  <si>
    <t>미발행
계산서 금액</t>
    <phoneticPr fontId="12" type="noConversion"/>
  </si>
  <si>
    <t>미발행
개수</t>
    <phoneticPr fontId="12" type="noConversion"/>
  </si>
  <si>
    <t>합     계</t>
    <phoneticPr fontId="12" type="noConversion"/>
  </si>
  <si>
    <t>렌탈이용업체</t>
    <phoneticPr fontId="12" type="noConversion"/>
  </si>
  <si>
    <t>내용</t>
    <phoneticPr fontId="12" type="noConversion"/>
  </si>
  <si>
    <t>금   액</t>
    <phoneticPr fontId="12" type="noConversion"/>
  </si>
  <si>
    <t>부 가 세</t>
    <phoneticPr fontId="12" type="noConversion"/>
  </si>
  <si>
    <t>올림픽진열대</t>
    <phoneticPr fontId="12" type="noConversion"/>
  </si>
  <si>
    <t>ED-04</t>
    <phoneticPr fontId="12" type="noConversion"/>
  </si>
  <si>
    <t>560
560
H500</t>
    <phoneticPr fontId="12" type="noConversion"/>
  </si>
  <si>
    <t>560
560
H750</t>
    <phoneticPr fontId="12" type="noConversion"/>
  </si>
  <si>
    <t>900
900
H1000</t>
    <phoneticPr fontId="12" type="noConversion"/>
  </si>
  <si>
    <t>ED-05</t>
    <phoneticPr fontId="3" type="noConversion"/>
  </si>
  <si>
    <t>ED-12</t>
    <phoneticPr fontId="3" type="noConversion"/>
  </si>
  <si>
    <t>큐브SET</t>
    <phoneticPr fontId="3" type="noConversion"/>
  </si>
  <si>
    <t>큐브 大</t>
    <phoneticPr fontId="3" type="noConversion"/>
  </si>
  <si>
    <t>큐브 中</t>
    <phoneticPr fontId="3" type="noConversion"/>
  </si>
  <si>
    <t>큐브 小</t>
    <phoneticPr fontId="3" type="noConversion"/>
  </si>
  <si>
    <t>500
500
H750</t>
    <phoneticPr fontId="3" type="noConversion"/>
  </si>
  <si>
    <t>500
500
H550</t>
    <phoneticPr fontId="3" type="noConversion"/>
  </si>
  <si>
    <t>500
500
H350</t>
    <phoneticPr fontId="3" type="noConversion"/>
  </si>
  <si>
    <t>서류함</t>
    <phoneticPr fontId="3" type="noConversion"/>
  </si>
  <si>
    <t>ED-13</t>
    <phoneticPr fontId="3" type="noConversion"/>
  </si>
  <si>
    <t>아크릴반구</t>
    <phoneticPr fontId="3" type="noConversion"/>
  </si>
  <si>
    <t>타공유리반구</t>
    <phoneticPr fontId="3" type="noConversion"/>
  </si>
  <si>
    <t>타공유리조명</t>
    <phoneticPr fontId="3" type="noConversion"/>
  </si>
  <si>
    <t>타공조명진열대</t>
    <phoneticPr fontId="3" type="noConversion"/>
  </si>
  <si>
    <t>다중선반</t>
    <phoneticPr fontId="3" type="noConversion"/>
  </si>
  <si>
    <t>매대</t>
    <phoneticPr fontId="3" type="noConversion"/>
  </si>
  <si>
    <t>보관함</t>
    <phoneticPr fontId="3" type="noConversion"/>
  </si>
  <si>
    <t>이동식서랍장</t>
    <phoneticPr fontId="3" type="noConversion"/>
  </si>
  <si>
    <t>ED-14</t>
  </si>
  <si>
    <t>ED-15</t>
  </si>
  <si>
    <t>ED-16</t>
  </si>
  <si>
    <t>ED-17</t>
  </si>
  <si>
    <t>ED-19</t>
  </si>
  <si>
    <t>ED-21</t>
    <phoneticPr fontId="3" type="noConversion"/>
  </si>
  <si>
    <t>ED-22</t>
    <phoneticPr fontId="3" type="noConversion"/>
  </si>
  <si>
    <t>ED-23</t>
    <phoneticPr fontId="3" type="noConversion"/>
  </si>
  <si>
    <t>백색</t>
  </si>
  <si>
    <t>Ø
750</t>
  </si>
  <si>
    <t>ET-01</t>
  </si>
  <si>
    <t>전체흰색</t>
    <phoneticPr fontId="12" type="noConversion"/>
  </si>
  <si>
    <t>ET-01-2</t>
    <phoneticPr fontId="12" type="noConversion"/>
  </si>
  <si>
    <t>사이드원형협탁</t>
    <phoneticPr fontId="3" type="noConversion"/>
  </si>
  <si>
    <t>Ø500
H500</t>
    <phoneticPr fontId="3" type="noConversion"/>
  </si>
  <si>
    <t>ET-01-3</t>
    <phoneticPr fontId="12" type="noConversion"/>
  </si>
  <si>
    <t>Ø
900</t>
    <phoneticPr fontId="12" type="noConversion"/>
  </si>
  <si>
    <t>바테이블</t>
    <phoneticPr fontId="3" type="noConversion"/>
  </si>
  <si>
    <t>Ø
500</t>
    <phoneticPr fontId="12" type="noConversion"/>
  </si>
  <si>
    <t>ET-03</t>
    <phoneticPr fontId="10" type="noConversion"/>
  </si>
  <si>
    <t>하이그로시 바테이블</t>
    <phoneticPr fontId="3" type="noConversion"/>
  </si>
  <si>
    <t>ET-03-1</t>
    <phoneticPr fontId="10" type="noConversion"/>
  </si>
  <si>
    <t>원탁테이블(다리4개)</t>
    <phoneticPr fontId="3" type="noConversion"/>
  </si>
  <si>
    <t>Ø
1200</t>
    <phoneticPr fontId="3" type="noConversion"/>
  </si>
  <si>
    <t>Ø
1500</t>
    <phoneticPr fontId="3" type="noConversion"/>
  </si>
  <si>
    <t>Ø
1800</t>
    <phoneticPr fontId="3" type="noConversion"/>
  </si>
  <si>
    <t>ET-05</t>
    <phoneticPr fontId="3" type="noConversion"/>
  </si>
  <si>
    <t>유리원형</t>
    <phoneticPr fontId="3" type="noConversion"/>
  </si>
  <si>
    <t>Ø
700</t>
    <phoneticPr fontId="3" type="noConversion"/>
  </si>
  <si>
    <t>ET-08</t>
    <phoneticPr fontId="3" type="noConversion"/>
  </si>
  <si>
    <t>유리사각</t>
    <phoneticPr fontId="3" type="noConversion"/>
  </si>
  <si>
    <t>ET-08-1</t>
    <phoneticPr fontId="3" type="noConversion"/>
  </si>
  <si>
    <t>ET-09-2</t>
    <phoneticPr fontId="3" type="noConversion"/>
  </si>
  <si>
    <t>500*500*H500</t>
    <phoneticPr fontId="3" type="noConversion"/>
  </si>
  <si>
    <t>600*600*H700</t>
    <phoneticPr fontId="3" type="noConversion"/>
  </si>
  <si>
    <t>700*700*H700</t>
    <phoneticPr fontId="3" type="noConversion"/>
  </si>
  <si>
    <t>ET-10</t>
    <phoneticPr fontId="3" type="noConversion"/>
  </si>
  <si>
    <t>백색</t>
    <phoneticPr fontId="3" type="noConversion"/>
  </si>
  <si>
    <t>월넛</t>
    <phoneticPr fontId="3" type="noConversion"/>
  </si>
  <si>
    <t>ET-10-1</t>
    <phoneticPr fontId="3" type="noConversion"/>
  </si>
  <si>
    <t>450*1500</t>
    <phoneticPr fontId="10" type="noConversion"/>
  </si>
  <si>
    <t>450*1800</t>
    <phoneticPr fontId="10" type="noConversion"/>
  </si>
  <si>
    <t>700*1000</t>
    <phoneticPr fontId="3" type="noConversion"/>
  </si>
  <si>
    <t>700*1500</t>
    <phoneticPr fontId="3" type="noConversion"/>
  </si>
  <si>
    <t>ET-12-1</t>
    <phoneticPr fontId="12" type="noConversion"/>
  </si>
  <si>
    <t>월넛</t>
    <phoneticPr fontId="12" type="noConversion"/>
  </si>
  <si>
    <t>800*1500</t>
    <phoneticPr fontId="12" type="noConversion"/>
  </si>
  <si>
    <t>900*1800</t>
    <phoneticPr fontId="12" type="noConversion"/>
  </si>
  <si>
    <t>900*2400</t>
    <phoneticPr fontId="12" type="noConversion"/>
  </si>
  <si>
    <t>쇼파테이블</t>
    <phoneticPr fontId="3" type="noConversion"/>
  </si>
  <si>
    <t>유리</t>
    <phoneticPr fontId="3" type="noConversion"/>
  </si>
  <si>
    <t>ET-15</t>
    <phoneticPr fontId="3" type="noConversion"/>
  </si>
  <si>
    <t>ET-16</t>
    <phoneticPr fontId="3" type="noConversion"/>
  </si>
  <si>
    <t>ET-17</t>
    <phoneticPr fontId="3" type="noConversion"/>
  </si>
  <si>
    <t>에어테이블</t>
    <phoneticPr fontId="3" type="noConversion"/>
  </si>
  <si>
    <t>ET-18</t>
    <phoneticPr fontId="3" type="noConversion"/>
  </si>
  <si>
    <t>투명오렌지접의자</t>
    <phoneticPr fontId="12" type="noConversion"/>
  </si>
  <si>
    <t>EC-01-2</t>
    <phoneticPr fontId="12" type="noConversion"/>
  </si>
  <si>
    <t>릴리의자</t>
    <phoneticPr fontId="3" type="noConversion"/>
  </si>
  <si>
    <t>EC-02</t>
    <phoneticPr fontId="3" type="noConversion"/>
  </si>
  <si>
    <t>블루</t>
    <phoneticPr fontId="3" type="noConversion"/>
  </si>
  <si>
    <t>EC-02-1</t>
    <phoneticPr fontId="3" type="noConversion"/>
  </si>
  <si>
    <t>EC-03</t>
    <phoneticPr fontId="3" type="noConversion"/>
  </si>
  <si>
    <t>페브릭의자</t>
    <phoneticPr fontId="3" type="noConversion"/>
  </si>
  <si>
    <t>노랑</t>
    <phoneticPr fontId="3" type="noConversion"/>
  </si>
  <si>
    <t>알루미늄의자</t>
    <phoneticPr fontId="3" type="noConversion"/>
  </si>
  <si>
    <t>EC-08</t>
    <phoneticPr fontId="12" type="noConversion"/>
  </si>
  <si>
    <t>우드의자</t>
    <phoneticPr fontId="3" type="noConversion"/>
  </si>
  <si>
    <t>EC-09</t>
    <phoneticPr fontId="12" type="noConversion"/>
  </si>
  <si>
    <t>팔걸이 파워의자</t>
    <phoneticPr fontId="12" type="noConversion"/>
  </si>
  <si>
    <t>퀼팅의자</t>
    <phoneticPr fontId="3" type="noConversion"/>
  </si>
  <si>
    <t>검정</t>
    <phoneticPr fontId="3" type="noConversion"/>
  </si>
  <si>
    <t>EC-12</t>
    <phoneticPr fontId="3" type="noConversion"/>
  </si>
  <si>
    <t>카키</t>
    <phoneticPr fontId="3" type="noConversion"/>
  </si>
  <si>
    <t>사각스툴</t>
    <phoneticPr fontId="3" type="noConversion"/>
  </si>
  <si>
    <t>에어빠스툴 구</t>
    <phoneticPr fontId="3" type="noConversion"/>
  </si>
  <si>
    <t>에어빠스툴 신</t>
    <phoneticPr fontId="3" type="noConversion"/>
  </si>
  <si>
    <t>EC-17</t>
    <phoneticPr fontId="3" type="noConversion"/>
  </si>
  <si>
    <t>EC-18</t>
    <phoneticPr fontId="3" type="noConversion"/>
  </si>
  <si>
    <t>EC-18-1</t>
    <phoneticPr fontId="3" type="noConversion"/>
  </si>
  <si>
    <t>적색</t>
    <phoneticPr fontId="3" type="noConversion"/>
  </si>
  <si>
    <t>청색</t>
    <phoneticPr fontId="3" type="noConversion"/>
  </si>
  <si>
    <t>사무용 바퀴의자</t>
    <phoneticPr fontId="3" type="noConversion"/>
  </si>
  <si>
    <t>EC-19</t>
    <phoneticPr fontId="3" type="noConversion"/>
  </si>
  <si>
    <t>회읭용의자</t>
    <phoneticPr fontId="3" type="noConversion"/>
  </si>
  <si>
    <t>팔걸이O</t>
    <phoneticPr fontId="3" type="noConversion"/>
  </si>
  <si>
    <t>EC-21</t>
    <phoneticPr fontId="3" type="noConversion"/>
  </si>
  <si>
    <t>사무용의자</t>
    <phoneticPr fontId="3" type="noConversion"/>
  </si>
  <si>
    <t>EC-22</t>
    <phoneticPr fontId="3" type="noConversion"/>
  </si>
  <si>
    <t>1인용쇼파</t>
    <phoneticPr fontId="3" type="noConversion"/>
  </si>
  <si>
    <t>EC-25</t>
    <phoneticPr fontId="3" type="noConversion"/>
  </si>
  <si>
    <t>2인용쇼파</t>
    <phoneticPr fontId="3" type="noConversion"/>
  </si>
  <si>
    <t>EC-26</t>
    <phoneticPr fontId="3" type="noConversion"/>
  </si>
  <si>
    <t>식빵의자</t>
    <phoneticPr fontId="3" type="noConversion"/>
  </si>
  <si>
    <t>3인용
검</t>
    <phoneticPr fontId="3" type="noConversion"/>
  </si>
  <si>
    <t>EC-29</t>
    <phoneticPr fontId="3" type="noConversion"/>
  </si>
  <si>
    <t>사과의자</t>
    <phoneticPr fontId="3" type="noConversion"/>
  </si>
  <si>
    <t>EC-32</t>
    <phoneticPr fontId="3" type="noConversion"/>
  </si>
  <si>
    <t>파크의자</t>
    <phoneticPr fontId="3" type="noConversion"/>
  </si>
  <si>
    <t>EC-33</t>
    <phoneticPr fontId="3" type="noConversion"/>
  </si>
  <si>
    <t>녹색</t>
    <phoneticPr fontId="3" type="noConversion"/>
  </si>
  <si>
    <t>마운틴의자</t>
    <phoneticPr fontId="3" type="noConversion"/>
  </si>
  <si>
    <t>EC-34</t>
    <phoneticPr fontId="3" type="noConversion"/>
  </si>
  <si>
    <t>스타킹의자</t>
    <phoneticPr fontId="3" type="noConversion"/>
  </si>
  <si>
    <t>EC-36</t>
    <phoneticPr fontId="3" type="noConversion"/>
  </si>
  <si>
    <t>플라스틱의자</t>
    <phoneticPr fontId="3" type="noConversion"/>
  </si>
  <si>
    <t>EC-38</t>
    <phoneticPr fontId="3" type="noConversion"/>
  </si>
  <si>
    <t>오리의자</t>
    <phoneticPr fontId="3" type="noConversion"/>
  </si>
  <si>
    <t>EC-39</t>
    <phoneticPr fontId="3" type="noConversion"/>
  </si>
  <si>
    <t>에펠의자</t>
    <phoneticPr fontId="3" type="noConversion"/>
  </si>
  <si>
    <t>VIP의자</t>
    <phoneticPr fontId="3" type="noConversion"/>
  </si>
  <si>
    <t>EC-41</t>
    <phoneticPr fontId="3" type="noConversion"/>
  </si>
  <si>
    <t>EC-42</t>
    <phoneticPr fontId="3" type="noConversion"/>
  </si>
  <si>
    <t>천카</t>
    <phoneticPr fontId="10" type="noConversion"/>
  </si>
  <si>
    <t>EB-01-1</t>
    <phoneticPr fontId="12" type="noConversion"/>
  </si>
  <si>
    <t>제원판</t>
    <phoneticPr fontId="3" type="noConversion"/>
  </si>
  <si>
    <t>포스터스탠드</t>
    <phoneticPr fontId="3" type="noConversion"/>
  </si>
  <si>
    <t>판넬스탠드</t>
    <phoneticPr fontId="3" type="noConversion"/>
  </si>
  <si>
    <t>이젤</t>
    <phoneticPr fontId="3" type="noConversion"/>
  </si>
  <si>
    <t>나무이젤</t>
    <phoneticPr fontId="3" type="noConversion"/>
  </si>
  <si>
    <t>악보대</t>
    <phoneticPr fontId="3" type="noConversion"/>
  </si>
  <si>
    <t>행거</t>
    <phoneticPr fontId="3" type="noConversion"/>
  </si>
  <si>
    <t>쇼핑백걸이</t>
    <phoneticPr fontId="3" type="noConversion"/>
  </si>
  <si>
    <t>스탠드형옷걸이</t>
    <phoneticPr fontId="3" type="noConversion"/>
  </si>
  <si>
    <t>A4</t>
    <phoneticPr fontId="3" type="noConversion"/>
  </si>
  <si>
    <t>A3</t>
    <phoneticPr fontId="3" type="noConversion"/>
  </si>
  <si>
    <t>배너걸이</t>
    <phoneticPr fontId="3" type="noConversion"/>
  </si>
  <si>
    <t>철제배너걸이</t>
    <phoneticPr fontId="3" type="noConversion"/>
  </si>
  <si>
    <t>빅폴배너걸이</t>
    <phoneticPr fontId="3" type="noConversion"/>
  </si>
  <si>
    <t>철망</t>
    <phoneticPr fontId="3" type="noConversion"/>
  </si>
  <si>
    <t>화이트보드</t>
    <phoneticPr fontId="3" type="noConversion"/>
  </si>
  <si>
    <t>EB-03</t>
    <phoneticPr fontId="12" type="noConversion"/>
  </si>
  <si>
    <t>EB-03-1</t>
    <phoneticPr fontId="12" type="noConversion"/>
  </si>
  <si>
    <t>EB-03-2</t>
    <phoneticPr fontId="12" type="noConversion"/>
  </si>
  <si>
    <t>EB-04</t>
    <phoneticPr fontId="12" type="noConversion"/>
  </si>
  <si>
    <t>EB-04-1</t>
    <phoneticPr fontId="12" type="noConversion"/>
  </si>
  <si>
    <t>EB-05</t>
    <phoneticPr fontId="12" type="noConversion"/>
  </si>
  <si>
    <t>EB-06</t>
    <phoneticPr fontId="12" type="noConversion"/>
  </si>
  <si>
    <t>EB-06-1</t>
    <phoneticPr fontId="12" type="noConversion"/>
  </si>
  <si>
    <t>EB-07</t>
    <phoneticPr fontId="12" type="noConversion"/>
  </si>
  <si>
    <t>EB-08</t>
    <phoneticPr fontId="12" type="noConversion"/>
  </si>
  <si>
    <t>EB-08-1</t>
    <phoneticPr fontId="12" type="noConversion"/>
  </si>
  <si>
    <t>EB-08-2</t>
    <phoneticPr fontId="12" type="noConversion"/>
  </si>
  <si>
    <t>EB-09</t>
    <phoneticPr fontId="12" type="noConversion"/>
  </si>
  <si>
    <t>EB-10</t>
    <phoneticPr fontId="12" type="noConversion"/>
  </si>
  <si>
    <t>밸트차단봉</t>
    <phoneticPr fontId="10" type="noConversion"/>
  </si>
  <si>
    <t>적색</t>
    <phoneticPr fontId="12" type="noConversion"/>
  </si>
  <si>
    <t>차단봉</t>
    <phoneticPr fontId="3" type="noConversion"/>
  </si>
  <si>
    <t>EB-12</t>
    <phoneticPr fontId="3" type="noConversion"/>
  </si>
  <si>
    <t>EB-13</t>
    <phoneticPr fontId="3" type="noConversion"/>
  </si>
  <si>
    <t>POP스탠드</t>
    <phoneticPr fontId="3" type="noConversion"/>
  </si>
  <si>
    <t>스탠휴지통</t>
    <phoneticPr fontId="3" type="noConversion"/>
  </si>
  <si>
    <t>스탠재떨이</t>
    <phoneticPr fontId="3" type="noConversion"/>
  </si>
  <si>
    <t>EB-14</t>
    <phoneticPr fontId="3" type="noConversion"/>
  </si>
  <si>
    <t>15L</t>
    <phoneticPr fontId="12" type="noConversion"/>
  </si>
  <si>
    <t>100L</t>
    <phoneticPr fontId="12" type="noConversion"/>
  </si>
  <si>
    <t>EB-15-1</t>
    <phoneticPr fontId="12" type="noConversion"/>
  </si>
  <si>
    <t>EB-16</t>
    <phoneticPr fontId="3" type="noConversion"/>
  </si>
  <si>
    <t>명함통</t>
    <phoneticPr fontId="3" type="noConversion"/>
  </si>
  <si>
    <t>행운함</t>
    <phoneticPr fontId="3" type="noConversion"/>
  </si>
  <si>
    <t>싱크대</t>
    <phoneticPr fontId="3" type="noConversion"/>
  </si>
  <si>
    <t>메인강연대</t>
    <phoneticPr fontId="3" type="noConversion"/>
  </si>
  <si>
    <t>사회자강연대</t>
    <phoneticPr fontId="3" type="noConversion"/>
  </si>
  <si>
    <t>우드</t>
    <phoneticPr fontId="3" type="noConversion"/>
  </si>
  <si>
    <t>아크릴</t>
    <phoneticPr fontId="3" type="noConversion"/>
  </si>
  <si>
    <t>EB-17</t>
  </si>
  <si>
    <t>EB-18</t>
  </si>
  <si>
    <t>EB-19</t>
  </si>
  <si>
    <t>EB-22</t>
    <phoneticPr fontId="3" type="noConversion"/>
  </si>
  <si>
    <t>EB-23</t>
  </si>
  <si>
    <t>EB-26</t>
    <phoneticPr fontId="3" type="noConversion"/>
  </si>
  <si>
    <t>EB-27</t>
  </si>
  <si>
    <t>소화기</t>
    <phoneticPr fontId="3" type="noConversion"/>
  </si>
  <si>
    <t>전신거울</t>
    <phoneticPr fontId="3" type="noConversion"/>
  </si>
  <si>
    <t>확성기</t>
    <phoneticPr fontId="3" type="noConversion"/>
  </si>
  <si>
    <t>기가폰</t>
    <phoneticPr fontId="3" type="noConversion"/>
  </si>
  <si>
    <t>넘버링</t>
    <phoneticPr fontId="3" type="noConversion"/>
  </si>
  <si>
    <t>파티션</t>
    <phoneticPr fontId="3" type="noConversion"/>
  </si>
  <si>
    <t>1800
*
1200</t>
    <phoneticPr fontId="3" type="noConversion"/>
  </si>
  <si>
    <t>1800
*
600</t>
    <phoneticPr fontId="3" type="noConversion"/>
  </si>
  <si>
    <t>EE-03</t>
    <phoneticPr fontId="12" type="noConversion"/>
  </si>
  <si>
    <t>150L</t>
    <phoneticPr fontId="12" type="noConversion"/>
  </si>
  <si>
    <t>220L</t>
    <phoneticPr fontId="12" type="noConversion"/>
  </si>
  <si>
    <t>빔프로젝터</t>
    <phoneticPr fontId="3" type="noConversion"/>
  </si>
  <si>
    <t>EE-04</t>
    <phoneticPr fontId="3" type="noConversion"/>
  </si>
  <si>
    <t>LCD모니터</t>
    <phoneticPr fontId="3" type="noConversion"/>
  </si>
  <si>
    <t>27"</t>
    <phoneticPr fontId="3" type="noConversion"/>
  </si>
  <si>
    <t>EE-06</t>
    <phoneticPr fontId="3" type="noConversion"/>
  </si>
  <si>
    <t>노트북</t>
    <phoneticPr fontId="3" type="noConversion"/>
  </si>
  <si>
    <t>EE-07</t>
    <phoneticPr fontId="3" type="noConversion"/>
  </si>
  <si>
    <t>EE-08</t>
    <phoneticPr fontId="3" type="noConversion"/>
  </si>
  <si>
    <t>EE-09</t>
    <phoneticPr fontId="3" type="noConversion"/>
  </si>
  <si>
    <t>EE-10</t>
    <phoneticPr fontId="3" type="noConversion"/>
  </si>
  <si>
    <t>태블릿PC</t>
    <phoneticPr fontId="3" type="noConversion"/>
  </si>
  <si>
    <t>컴퓨터SET</t>
    <phoneticPr fontId="3" type="noConversion"/>
  </si>
  <si>
    <t>컬러프린터</t>
    <phoneticPr fontId="3" type="noConversion"/>
  </si>
  <si>
    <t>복합기</t>
    <phoneticPr fontId="3" type="noConversion"/>
  </si>
  <si>
    <t>EE-11</t>
    <phoneticPr fontId="3" type="noConversion"/>
  </si>
  <si>
    <t>EE-12</t>
    <phoneticPr fontId="3" type="noConversion"/>
  </si>
  <si>
    <t>32"</t>
    <phoneticPr fontId="3" type="noConversion"/>
  </si>
  <si>
    <t>55"</t>
    <phoneticPr fontId="12" type="noConversion"/>
  </si>
  <si>
    <t>QLEDTV</t>
    <phoneticPr fontId="3" type="noConversion"/>
  </si>
  <si>
    <t>EE-13</t>
    <phoneticPr fontId="3" type="noConversion"/>
  </si>
  <si>
    <t>이동형앰프</t>
    <phoneticPr fontId="3" type="noConversion"/>
  </si>
  <si>
    <t>앰프</t>
    <phoneticPr fontId="3" type="noConversion"/>
  </si>
  <si>
    <t>무전기</t>
    <phoneticPr fontId="3" type="noConversion"/>
  </si>
  <si>
    <t>커피포트</t>
    <phoneticPr fontId="3" type="noConversion"/>
  </si>
  <si>
    <t>무선주전자</t>
    <phoneticPr fontId="3" type="noConversion"/>
  </si>
  <si>
    <t>선풍기</t>
    <phoneticPr fontId="3" type="noConversion"/>
  </si>
  <si>
    <t>진공청소기</t>
    <phoneticPr fontId="3" type="noConversion"/>
  </si>
  <si>
    <t>냉장평대</t>
    <phoneticPr fontId="3" type="noConversion"/>
  </si>
  <si>
    <t>냉동평대</t>
    <phoneticPr fontId="3" type="noConversion"/>
  </si>
  <si>
    <t>정육대면</t>
    <phoneticPr fontId="3" type="noConversion"/>
  </si>
  <si>
    <t>오픈평다단</t>
    <phoneticPr fontId="3" type="noConversion"/>
  </si>
  <si>
    <t>냉동스토커</t>
    <phoneticPr fontId="3" type="noConversion"/>
  </si>
  <si>
    <t>수직냉장고</t>
    <phoneticPr fontId="3" type="noConversion"/>
  </si>
  <si>
    <t>수직냉동고</t>
    <phoneticPr fontId="3" type="noConversion"/>
  </si>
  <si>
    <t>온장고</t>
    <phoneticPr fontId="3" type="noConversion"/>
  </si>
  <si>
    <t>전자레인지</t>
    <phoneticPr fontId="3" type="noConversion"/>
  </si>
  <si>
    <t>핫플레이트2구</t>
    <phoneticPr fontId="3" type="noConversion"/>
  </si>
  <si>
    <t>전기레인지</t>
    <phoneticPr fontId="3" type="noConversion"/>
  </si>
  <si>
    <t>인덕션</t>
    <phoneticPr fontId="3" type="noConversion"/>
  </si>
  <si>
    <t>보온물통</t>
    <phoneticPr fontId="3" type="noConversion"/>
  </si>
  <si>
    <t>30L</t>
    <phoneticPr fontId="3" type="noConversion"/>
  </si>
  <si>
    <t>선풍기형히터</t>
    <phoneticPr fontId="3" type="noConversion"/>
  </si>
  <si>
    <t>화레이돈풍기</t>
    <phoneticPr fontId="3" type="noConversion"/>
  </si>
  <si>
    <t>글래스파티오</t>
    <phoneticPr fontId="3" type="noConversion"/>
  </si>
  <si>
    <t>라지에이터</t>
    <phoneticPr fontId="3" type="noConversion"/>
  </si>
  <si>
    <t>레지나커피머신</t>
    <phoneticPr fontId="3" type="noConversion"/>
  </si>
  <si>
    <t>커피캡슐</t>
    <phoneticPr fontId="3" type="noConversion"/>
  </si>
  <si>
    <t>탑크림</t>
    <phoneticPr fontId="3" type="noConversion"/>
  </si>
  <si>
    <t>클래식</t>
    <phoneticPr fontId="3" type="noConversion"/>
  </si>
  <si>
    <t>롱캡</t>
    <phoneticPr fontId="3" type="noConversion"/>
  </si>
  <si>
    <t>백릿인포</t>
    <phoneticPr fontId="12" type="noConversion"/>
  </si>
  <si>
    <t>EE-14</t>
  </si>
  <si>
    <t>EE-16</t>
  </si>
  <si>
    <t>EE-17</t>
  </si>
  <si>
    <t>EE-18</t>
  </si>
  <si>
    <t>EE-19</t>
  </si>
  <si>
    <t>EE-14-1</t>
    <phoneticPr fontId="3" type="noConversion"/>
  </si>
  <si>
    <t>EE-15</t>
    <phoneticPr fontId="3" type="noConversion"/>
  </si>
  <si>
    <t>EE-21</t>
    <phoneticPr fontId="3" type="noConversion"/>
  </si>
  <si>
    <t>EE-22</t>
  </si>
  <si>
    <t>EE-23</t>
  </si>
  <si>
    <t>EE-24</t>
  </si>
  <si>
    <t>EE-25</t>
  </si>
  <si>
    <t>EE-26</t>
  </si>
  <si>
    <t>EE-27</t>
  </si>
  <si>
    <t>EE-28</t>
  </si>
  <si>
    <t>EE-29</t>
  </si>
  <si>
    <t>EE-30</t>
  </si>
  <si>
    <t>EE-31</t>
  </si>
  <si>
    <t>EE-32</t>
  </si>
  <si>
    <t>EE-33</t>
  </si>
  <si>
    <t>EE-34</t>
  </si>
  <si>
    <t>EE-35</t>
  </si>
  <si>
    <t>EE-38</t>
    <phoneticPr fontId="3" type="noConversion"/>
  </si>
  <si>
    <t>EE-39</t>
    <phoneticPr fontId="3" type="noConversion"/>
  </si>
  <si>
    <t>EE-39-1</t>
    <phoneticPr fontId="3" type="noConversion"/>
  </si>
  <si>
    <t>EE-39-2</t>
  </si>
  <si>
    <t>EE-39-3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</si>
</sst>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24" formatCode="\$#,##0_);[Red]\(\$#,##0\)"/>
    <numFmt numFmtId="176" formatCode="#,##0_);[Red]\(#,##0\)"/>
    <numFmt numFmtId="177" formatCode="#,##0_ ;[Red]\-#,##0\ "/>
    <numFmt numFmtId="178" formatCode="[&lt;=9999999]###\-####;\(0###\)\ ###\-####"/>
    <numFmt numFmtId="179" formatCode="&quot;₩&quot;#,##0"/>
    <numFmt numFmtId="180" formatCode="#,##0_ 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2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돋움"/>
      <family val="3"/>
      <charset val="129"/>
    </font>
    <font>
      <sz val="22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9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459">
    <xf numFmtId="0" fontId="0" fillId="0" borderId="0" xfId="0">
      <alignment vertical="center"/>
    </xf>
    <xf numFmtId="0" fontId="2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1" fontId="5" fillId="0" borderId="0" xfId="1" applyFont="1" applyFill="1" applyBorder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0" fontId="6" fillId="0" borderId="0" xfId="2" applyFont="1"/>
    <xf numFmtId="0" fontId="7" fillId="0" borderId="0" xfId="2" applyFont="1"/>
    <xf numFmtId="176" fontId="7" fillId="0" borderId="0" xfId="2" applyNumberFormat="1" applyFont="1"/>
    <xf numFmtId="176" fontId="7" fillId="0" borderId="0" xfId="2" applyNumberFormat="1" applyFont="1" applyAlignment="1">
      <alignment horizontal="center"/>
    </xf>
    <xf numFmtId="0" fontId="8" fillId="0" borderId="0" xfId="2" applyFont="1"/>
    <xf numFmtId="177" fontId="9" fillId="0" borderId="0" xfId="2" applyNumberFormat="1" applyFont="1"/>
    <xf numFmtId="0" fontId="9" fillId="0" borderId="0" xfId="2" applyFont="1" applyAlignment="1">
      <alignment horizontal="center"/>
    </xf>
    <xf numFmtId="178" fontId="7" fillId="0" borderId="0" xfId="2" applyNumberFormat="1" applyFont="1"/>
    <xf numFmtId="0" fontId="2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77" fontId="9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1" fillId="3" borderId="0" xfId="0" applyFont="1" applyFill="1">
      <alignment vertical="center"/>
    </xf>
    <xf numFmtId="0" fontId="6" fillId="0" borderId="0" xfId="0" applyFont="1">
      <alignment vertical="center"/>
    </xf>
    <xf numFmtId="0" fontId="9" fillId="0" borderId="3" xfId="2" applyFont="1" applyBorder="1"/>
    <xf numFmtId="0" fontId="7" fillId="0" borderId="3" xfId="2" applyFont="1" applyBorder="1" applyAlignment="1">
      <alignment horizontal="center" vertical="center"/>
    </xf>
    <xf numFmtId="0" fontId="4" fillId="2" borderId="4" xfId="2" applyFont="1" applyFill="1" applyBorder="1" applyAlignment="1">
      <alignment vertical="center" wrapText="1"/>
    </xf>
    <xf numFmtId="0" fontId="4" fillId="2" borderId="5" xfId="2" applyFont="1" applyFill="1" applyBorder="1" applyAlignment="1">
      <alignment vertical="center"/>
    </xf>
    <xf numFmtId="0" fontId="5" fillId="2" borderId="5" xfId="2" applyFont="1" applyFill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0" xfId="2" applyFont="1"/>
    <xf numFmtId="0" fontId="5" fillId="4" borderId="9" xfId="2" applyFont="1" applyFill="1" applyBorder="1" applyAlignment="1">
      <alignment horizontal="center" vertical="top" textRotation="255" wrapText="1" indent="1"/>
    </xf>
    <xf numFmtId="0" fontId="5" fillId="4" borderId="12" xfId="2" applyFont="1" applyFill="1" applyBorder="1" applyAlignment="1">
      <alignment horizontal="center" vertical="top" textRotation="255" wrapText="1" indent="1"/>
    </xf>
    <xf numFmtId="0" fontId="5" fillId="4" borderId="11" xfId="2" applyFont="1" applyFill="1" applyBorder="1" applyAlignment="1">
      <alignment horizontal="center" vertical="top" textRotation="255" wrapText="1" indent="1"/>
    </xf>
    <xf numFmtId="0" fontId="5" fillId="4" borderId="8" xfId="2" applyFont="1" applyFill="1" applyBorder="1" applyAlignment="1">
      <alignment horizontal="center" vertical="top" textRotation="255" wrapText="1" indent="1"/>
    </xf>
    <xf numFmtId="0" fontId="5" fillId="4" borderId="10" xfId="2" applyFont="1" applyFill="1" applyBorder="1" applyAlignment="1">
      <alignment horizontal="center" vertical="top" textRotation="255" wrapText="1" indent="1"/>
    </xf>
    <xf numFmtId="0" fontId="5" fillId="4" borderId="14" xfId="2" applyFont="1" applyFill="1" applyBorder="1" applyAlignment="1">
      <alignment horizontal="center" vertical="top" textRotation="255" wrapText="1" indent="1"/>
    </xf>
    <xf numFmtId="176" fontId="5" fillId="4" borderId="9" xfId="2" applyNumberFormat="1" applyFont="1" applyFill="1" applyBorder="1" applyAlignment="1">
      <alignment horizontal="center" vertical="top" textRotation="255" wrapText="1" indent="1"/>
    </xf>
    <xf numFmtId="176" fontId="5" fillId="4" borderId="12" xfId="2" applyNumberFormat="1" applyFont="1" applyFill="1" applyBorder="1" applyAlignment="1">
      <alignment horizontal="center" vertical="top" textRotation="255" wrapText="1" indent="1"/>
    </xf>
    <xf numFmtId="176" fontId="5" fillId="4" borderId="10" xfId="2" applyNumberFormat="1" applyFont="1" applyFill="1" applyBorder="1" applyAlignment="1">
      <alignment horizontal="center" vertical="top" textRotation="255" wrapText="1" indent="1"/>
    </xf>
    <xf numFmtId="176" fontId="5" fillId="4" borderId="11" xfId="2" applyNumberFormat="1" applyFont="1" applyFill="1" applyBorder="1" applyAlignment="1">
      <alignment horizontal="center" vertical="top" textRotation="255" wrapText="1" indent="1"/>
    </xf>
    <xf numFmtId="0" fontId="5" fillId="0" borderId="0" xfId="2" applyFont="1"/>
    <xf numFmtId="0" fontId="4" fillId="4" borderId="15" xfId="2" applyFont="1" applyFill="1" applyBorder="1" applyAlignment="1">
      <alignment horizontal="center" vertical="top" wrapText="1"/>
    </xf>
    <xf numFmtId="0" fontId="4" fillId="4" borderId="21" xfId="2" applyFont="1" applyFill="1" applyBorder="1" applyAlignment="1">
      <alignment horizontal="center" vertical="top" wrapText="1"/>
    </xf>
    <xf numFmtId="0" fontId="4" fillId="4" borderId="17" xfId="2" applyFont="1" applyFill="1" applyBorder="1" applyAlignment="1">
      <alignment horizontal="center" vertical="top" wrapText="1"/>
    </xf>
    <xf numFmtId="0" fontId="4" fillId="4" borderId="22" xfId="2" applyFont="1" applyFill="1" applyBorder="1" applyAlignment="1">
      <alignment horizontal="center" vertical="top" wrapText="1"/>
    </xf>
    <xf numFmtId="0" fontId="4" fillId="4" borderId="23" xfId="2" applyFont="1" applyFill="1" applyBorder="1" applyAlignment="1">
      <alignment horizontal="center" vertical="top" wrapText="1"/>
    </xf>
    <xf numFmtId="0" fontId="4" fillId="4" borderId="16" xfId="2" applyFont="1" applyFill="1" applyBorder="1" applyAlignment="1">
      <alignment horizontal="center" vertical="top" wrapText="1"/>
    </xf>
    <xf numFmtId="0" fontId="4" fillId="4" borderId="24" xfId="2" applyFont="1" applyFill="1" applyBorder="1" applyAlignment="1">
      <alignment horizontal="center" vertical="top" wrapText="1"/>
    </xf>
    <xf numFmtId="176" fontId="4" fillId="4" borderId="25" xfId="2" applyNumberFormat="1" applyFont="1" applyFill="1" applyBorder="1" applyAlignment="1">
      <alignment horizontal="center" vertical="top" wrapText="1"/>
    </xf>
    <xf numFmtId="176" fontId="4" fillId="4" borderId="16" xfId="2" applyNumberFormat="1" applyFont="1" applyFill="1" applyBorder="1" applyAlignment="1">
      <alignment horizontal="center" vertical="top" wrapText="1"/>
    </xf>
    <xf numFmtId="176" fontId="4" fillId="4" borderId="21" xfId="2" applyNumberFormat="1" applyFont="1" applyFill="1" applyBorder="1" applyAlignment="1">
      <alignment horizontal="center" vertical="top" wrapText="1"/>
    </xf>
    <xf numFmtId="176" fontId="4" fillId="4" borderId="24" xfId="2" applyNumberFormat="1" applyFont="1" applyFill="1" applyBorder="1" applyAlignment="1">
      <alignment horizontal="center" vertical="top" wrapText="1"/>
    </xf>
    <xf numFmtId="179" fontId="4" fillId="0" borderId="18" xfId="2" applyNumberFormat="1" applyFont="1" applyBorder="1" applyAlignment="1">
      <alignment horizontal="center" vertical="top"/>
    </xf>
    <xf numFmtId="179" fontId="4" fillId="0" borderId="19" xfId="2" applyNumberFormat="1" applyFont="1" applyBorder="1" applyAlignment="1">
      <alignment horizontal="center" vertical="top" wrapText="1"/>
    </xf>
    <xf numFmtId="0" fontId="4" fillId="0" borderId="20" xfId="2" applyFont="1" applyBorder="1" applyAlignment="1">
      <alignment horizontal="center" vertical="top"/>
    </xf>
    <xf numFmtId="0" fontId="4" fillId="0" borderId="0" xfId="2" applyFont="1" applyAlignment="1">
      <alignment vertical="top"/>
    </xf>
    <xf numFmtId="0" fontId="13" fillId="4" borderId="28" xfId="2" applyFont="1" applyFill="1" applyBorder="1" applyAlignment="1">
      <alignment horizontal="center" vertical="center" wrapText="1"/>
    </xf>
    <xf numFmtId="0" fontId="13" fillId="4" borderId="29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center" vertical="center" wrapText="1"/>
    </xf>
    <xf numFmtId="0" fontId="13" fillId="4" borderId="31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0" fontId="13" fillId="4" borderId="33" xfId="2" applyFont="1" applyFill="1" applyBorder="1" applyAlignment="1">
      <alignment horizontal="center" vertical="center" wrapText="1"/>
    </xf>
    <xf numFmtId="0" fontId="13" fillId="4" borderId="34" xfId="2" applyFont="1" applyFill="1" applyBorder="1" applyAlignment="1">
      <alignment horizontal="center" vertical="center" wrapText="1"/>
    </xf>
    <xf numFmtId="0" fontId="13" fillId="4" borderId="35" xfId="2" applyFont="1" applyFill="1" applyBorder="1" applyAlignment="1">
      <alignment horizontal="center" vertical="center" wrapText="1"/>
    </xf>
    <xf numFmtId="176" fontId="13" fillId="4" borderId="29" xfId="2" applyNumberFormat="1" applyFont="1" applyFill="1" applyBorder="1" applyAlignment="1">
      <alignment horizontal="center" vertical="center" wrapText="1"/>
    </xf>
    <xf numFmtId="176" fontId="13" fillId="4" borderId="33" xfId="2" applyNumberFormat="1" applyFont="1" applyFill="1" applyBorder="1" applyAlignment="1">
      <alignment horizontal="center" vertical="center" wrapText="1"/>
    </xf>
    <xf numFmtId="176" fontId="13" fillId="4" borderId="31" xfId="2" applyNumberFormat="1" applyFont="1" applyFill="1" applyBorder="1" applyAlignment="1">
      <alignment horizontal="center" vertical="center" wrapText="1"/>
    </xf>
    <xf numFmtId="179" fontId="5" fillId="0" borderId="18" xfId="2" applyNumberFormat="1" applyFont="1" applyBorder="1" applyAlignment="1">
      <alignment horizontal="right" vertical="center"/>
    </xf>
    <xf numFmtId="179" fontId="5" fillId="5" borderId="19" xfId="2" applyNumberFormat="1" applyFont="1" applyFill="1" applyBorder="1" applyAlignment="1">
      <alignment vertical="center" wrapText="1"/>
    </xf>
    <xf numFmtId="179" fontId="5" fillId="5" borderId="19" xfId="2" applyNumberFormat="1" applyFont="1" applyFill="1" applyBorder="1" applyAlignment="1">
      <alignment vertical="center"/>
    </xf>
    <xf numFmtId="0" fontId="5" fillId="0" borderId="20" xfId="2" applyFont="1" applyBorder="1" applyAlignment="1">
      <alignment vertical="center"/>
    </xf>
    <xf numFmtId="0" fontId="14" fillId="0" borderId="36" xfId="2" applyFont="1" applyBorder="1"/>
    <xf numFmtId="0" fontId="14" fillId="0" borderId="0" xfId="2" applyFont="1"/>
    <xf numFmtId="0" fontId="13" fillId="0" borderId="0" xfId="2" applyFont="1"/>
    <xf numFmtId="0" fontId="13" fillId="4" borderId="15" xfId="2" applyFont="1" applyFill="1" applyBorder="1" applyAlignment="1">
      <alignment horizontal="center" vertical="center" wrapText="1"/>
    </xf>
    <xf numFmtId="0" fontId="13" fillId="4" borderId="16" xfId="2" applyFont="1" applyFill="1" applyBorder="1" applyAlignment="1">
      <alignment horizontal="center" vertical="center" wrapText="1"/>
    </xf>
    <xf numFmtId="0" fontId="13" fillId="4" borderId="17" xfId="2" applyFont="1" applyFill="1" applyBorder="1" applyAlignment="1">
      <alignment horizontal="center" vertical="center" wrapText="1"/>
    </xf>
    <xf numFmtId="0" fontId="13" fillId="4" borderId="21" xfId="2" applyFont="1" applyFill="1" applyBorder="1" applyAlignment="1">
      <alignment horizontal="center" vertical="center" wrapText="1"/>
    </xf>
    <xf numFmtId="0" fontId="13" fillId="4" borderId="22" xfId="2" applyFont="1" applyFill="1" applyBorder="1" applyAlignment="1">
      <alignment horizontal="center" vertical="center" wrapText="1"/>
    </xf>
    <xf numFmtId="0" fontId="13" fillId="4" borderId="25" xfId="2" applyFont="1" applyFill="1" applyBorder="1" applyAlignment="1">
      <alignment horizontal="center" vertical="center" wrapText="1"/>
    </xf>
    <xf numFmtId="0" fontId="13" fillId="4" borderId="31" xfId="2" applyFont="1" applyFill="1" applyBorder="1" applyAlignment="1">
      <alignment vertical="center" wrapText="1"/>
    </xf>
    <xf numFmtId="0" fontId="13" fillId="4" borderId="23" xfId="2" applyFont="1" applyFill="1" applyBorder="1" applyAlignment="1">
      <alignment vertical="center" wrapText="1"/>
    </xf>
    <xf numFmtId="0" fontId="13" fillId="4" borderId="29" xfId="2" applyFont="1" applyFill="1" applyBorder="1" applyAlignment="1">
      <alignment vertical="center" wrapText="1"/>
    </xf>
    <xf numFmtId="0" fontId="13" fillId="4" borderId="21" xfId="2" applyFont="1" applyFill="1" applyBorder="1" applyAlignment="1">
      <alignment vertical="center" wrapText="1"/>
    </xf>
    <xf numFmtId="0" fontId="13" fillId="4" borderId="23" xfId="2" applyFont="1" applyFill="1" applyBorder="1" applyAlignment="1">
      <alignment horizontal="center" vertical="center" wrapText="1"/>
    </xf>
    <xf numFmtId="176" fontId="13" fillId="4" borderId="16" xfId="2" applyNumberFormat="1" applyFont="1" applyFill="1" applyBorder="1" applyAlignment="1">
      <alignment horizontal="center" vertical="center" wrapText="1"/>
    </xf>
    <xf numFmtId="176" fontId="13" fillId="4" borderId="17" xfId="2" applyNumberFormat="1" applyFont="1" applyFill="1" applyBorder="1" applyAlignment="1">
      <alignment horizontal="center" vertical="center" wrapText="1"/>
    </xf>
    <xf numFmtId="176" fontId="13" fillId="4" borderId="21" xfId="2" applyNumberFormat="1" applyFont="1" applyFill="1" applyBorder="1" applyAlignment="1">
      <alignment horizontal="center" vertical="center" wrapText="1"/>
    </xf>
    <xf numFmtId="0" fontId="13" fillId="4" borderId="37" xfId="2" applyFont="1" applyFill="1" applyBorder="1" applyAlignment="1">
      <alignment horizontal="center" vertical="center" wrapText="1"/>
    </xf>
    <xf numFmtId="0" fontId="13" fillId="4" borderId="38" xfId="2" applyFont="1" applyFill="1" applyBorder="1" applyAlignment="1">
      <alignment horizontal="center" vertical="center" wrapText="1"/>
    </xf>
    <xf numFmtId="0" fontId="13" fillId="4" borderId="39" xfId="2" applyFont="1" applyFill="1" applyBorder="1" applyAlignment="1">
      <alignment horizontal="center" vertical="center" wrapText="1"/>
    </xf>
    <xf numFmtId="0" fontId="13" fillId="4" borderId="40" xfId="2" applyFont="1" applyFill="1" applyBorder="1" applyAlignment="1">
      <alignment horizontal="center" vertical="center" wrapText="1"/>
    </xf>
    <xf numFmtId="0" fontId="13" fillId="4" borderId="41" xfId="2" applyFont="1" applyFill="1" applyBorder="1" applyAlignment="1">
      <alignment horizontal="center" vertical="center" wrapText="1"/>
    </xf>
    <xf numFmtId="0" fontId="13" fillId="4" borderId="42" xfId="2" applyFont="1" applyFill="1" applyBorder="1" applyAlignment="1">
      <alignment horizontal="center" vertical="center" wrapText="1"/>
    </xf>
    <xf numFmtId="0" fontId="13" fillId="4" borderId="40" xfId="2" applyFont="1" applyFill="1" applyBorder="1" applyAlignment="1">
      <alignment vertical="center" wrapText="1"/>
    </xf>
    <xf numFmtId="0" fontId="13" fillId="4" borderId="3" xfId="2" applyFont="1" applyFill="1" applyBorder="1" applyAlignment="1">
      <alignment vertical="center" wrapText="1"/>
    </xf>
    <xf numFmtId="0" fontId="13" fillId="4" borderId="38" xfId="2" applyFont="1" applyFill="1" applyBorder="1" applyAlignment="1">
      <alignment vertical="center" wrapText="1"/>
    </xf>
    <xf numFmtId="0" fontId="13" fillId="4" borderId="3" xfId="2" applyFont="1" applyFill="1" applyBorder="1" applyAlignment="1">
      <alignment horizontal="center" vertical="center" wrapText="1"/>
    </xf>
    <xf numFmtId="176" fontId="13" fillId="4" borderId="38" xfId="2" applyNumberFormat="1" applyFont="1" applyFill="1" applyBorder="1" applyAlignment="1">
      <alignment horizontal="center" vertical="center" wrapText="1"/>
    </xf>
    <xf numFmtId="176" fontId="13" fillId="4" borderId="39" xfId="2" applyNumberFormat="1" applyFont="1" applyFill="1" applyBorder="1" applyAlignment="1">
      <alignment horizontal="center" vertical="center" wrapText="1"/>
    </xf>
    <xf numFmtId="176" fontId="13" fillId="4" borderId="40" xfId="2" applyNumberFormat="1" applyFont="1" applyFill="1" applyBorder="1" applyAlignment="1">
      <alignment horizontal="center" vertical="center" wrapText="1"/>
    </xf>
    <xf numFmtId="179" fontId="5" fillId="0" borderId="37" xfId="2" applyNumberFormat="1" applyFont="1" applyBorder="1" applyAlignment="1">
      <alignment horizontal="right" vertical="center"/>
    </xf>
    <xf numFmtId="179" fontId="5" fillId="5" borderId="38" xfId="2" applyNumberFormat="1" applyFont="1" applyFill="1" applyBorder="1" applyAlignment="1">
      <alignment vertical="center" wrapText="1"/>
    </xf>
    <xf numFmtId="179" fontId="5" fillId="5" borderId="38" xfId="2" applyNumberFormat="1" applyFont="1" applyFill="1" applyBorder="1" applyAlignment="1">
      <alignment vertical="center"/>
    </xf>
    <xf numFmtId="0" fontId="5" fillId="0" borderId="39" xfId="2" applyFont="1" applyBorder="1" applyAlignment="1">
      <alignment vertical="center"/>
    </xf>
    <xf numFmtId="0" fontId="13" fillId="0" borderId="0" xfId="2" applyFont="1" applyAlignment="1">
      <alignment horizontal="center"/>
    </xf>
    <xf numFmtId="0" fontId="5" fillId="6" borderId="9" xfId="2" applyFont="1" applyFill="1" applyBorder="1" applyAlignment="1">
      <alignment horizontal="center" vertical="center"/>
    </xf>
    <xf numFmtId="41" fontId="5" fillId="6" borderId="43" xfId="2" applyNumberFormat="1" applyFont="1" applyFill="1" applyBorder="1" applyAlignment="1">
      <alignment vertical="center"/>
    </xf>
    <xf numFmtId="0" fontId="5" fillId="6" borderId="12" xfId="2" applyFont="1" applyFill="1" applyBorder="1" applyAlignment="1">
      <alignment horizontal="center" vertical="center" wrapText="1"/>
    </xf>
    <xf numFmtId="0" fontId="5" fillId="6" borderId="10" xfId="2" applyFont="1" applyFill="1" applyBorder="1" applyAlignment="1">
      <alignment vertical="center"/>
    </xf>
    <xf numFmtId="41" fontId="5" fillId="6" borderId="11" xfId="2" applyNumberFormat="1" applyFont="1" applyFill="1" applyBorder="1" applyAlignment="1">
      <alignment vertical="center"/>
    </xf>
    <xf numFmtId="41" fontId="6" fillId="0" borderId="18" xfId="1" applyFont="1" applyBorder="1" applyAlignment="1">
      <alignment horizontal="center" vertical="center"/>
    </xf>
    <xf numFmtId="41" fontId="4" fillId="0" borderId="20" xfId="1" applyFont="1" applyFill="1" applyBorder="1" applyAlignment="1">
      <alignment horizontal="left" vertical="center"/>
    </xf>
    <xf numFmtId="177" fontId="15" fillId="0" borderId="9" xfId="2" applyNumberFormat="1" applyFont="1" applyBorder="1" applyAlignment="1">
      <alignment horizontal="center" vertical="center"/>
    </xf>
    <xf numFmtId="41" fontId="9" fillId="0" borderId="0" xfId="2" applyNumberFormat="1" applyFont="1" applyAlignment="1">
      <alignment horizontal="center" vertical="center"/>
    </xf>
    <xf numFmtId="0" fontId="4" fillId="7" borderId="4" xfId="2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 wrapText="1"/>
    </xf>
    <xf numFmtId="0" fontId="5" fillId="7" borderId="45" xfId="2" applyFont="1" applyFill="1" applyBorder="1" applyAlignment="1">
      <alignment horizontal="center" vertical="center" wrapText="1"/>
    </xf>
    <xf numFmtId="0" fontId="4" fillId="7" borderId="45" xfId="2" applyFont="1" applyFill="1" applyBorder="1" applyAlignment="1">
      <alignment horizontal="center" vertical="center" wrapText="1"/>
    </xf>
    <xf numFmtId="41" fontId="5" fillId="7" borderId="6" xfId="1" applyFont="1" applyFill="1" applyBorder="1" applyAlignment="1">
      <alignment horizontal="center" vertical="center" wrapText="1"/>
    </xf>
    <xf numFmtId="41" fontId="4" fillId="5" borderId="5" xfId="1" applyFont="1" applyFill="1" applyBorder="1" applyAlignment="1">
      <alignment horizontal="center" vertical="center" wrapText="1"/>
    </xf>
    <xf numFmtId="41" fontId="4" fillId="5" borderId="5" xfId="1" applyFont="1" applyFill="1" applyBorder="1" applyAlignment="1">
      <alignment horizontal="left" vertical="center"/>
    </xf>
    <xf numFmtId="0" fontId="16" fillId="7" borderId="4" xfId="2" applyFont="1" applyFill="1" applyBorder="1" applyAlignment="1">
      <alignment horizontal="center" vertical="center" wrapText="1"/>
    </xf>
    <xf numFmtId="0" fontId="16" fillId="7" borderId="5" xfId="2" applyFont="1" applyFill="1" applyBorder="1" applyAlignment="1">
      <alignment horizontal="center" vertical="center" wrapText="1"/>
    </xf>
    <xf numFmtId="0" fontId="16" fillId="7" borderId="7" xfId="2" applyFont="1" applyFill="1" applyBorder="1" applyAlignment="1">
      <alignment horizontal="center" vertical="center" wrapText="1"/>
    </xf>
    <xf numFmtId="0" fontId="17" fillId="7" borderId="7" xfId="2" applyFont="1" applyFill="1" applyBorder="1" applyAlignment="1">
      <alignment horizontal="center" vertical="center" wrapText="1"/>
    </xf>
    <xf numFmtId="176" fontId="16" fillId="7" borderId="5" xfId="2" applyNumberFormat="1" applyFont="1" applyFill="1" applyBorder="1" applyAlignment="1">
      <alignment horizontal="center" vertical="center" wrapText="1"/>
    </xf>
    <xf numFmtId="176" fontId="16" fillId="7" borderId="7" xfId="2" applyNumberFormat="1" applyFont="1" applyFill="1" applyBorder="1" applyAlignment="1">
      <alignment horizontal="center" vertical="center" wrapText="1"/>
    </xf>
    <xf numFmtId="176" fontId="16" fillId="7" borderId="4" xfId="2" applyNumberFormat="1" applyFont="1" applyFill="1" applyBorder="1" applyAlignment="1">
      <alignment horizontal="center" vertical="center" wrapText="1"/>
    </xf>
    <xf numFmtId="179" fontId="9" fillId="7" borderId="46" xfId="2" applyNumberFormat="1" applyFont="1" applyFill="1" applyBorder="1" applyAlignment="1">
      <alignment horizontal="center" vertical="center"/>
    </xf>
    <xf numFmtId="179" fontId="9" fillId="7" borderId="45" xfId="2" applyNumberFormat="1" applyFont="1" applyFill="1" applyBorder="1" applyAlignment="1">
      <alignment horizontal="center"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2" applyFont="1" applyFill="1" applyBorder="1" applyAlignment="1">
      <alignment horizontal="center" vertical="center"/>
    </xf>
    <xf numFmtId="0" fontId="9" fillId="0" borderId="0" xfId="2" applyFont="1"/>
    <xf numFmtId="0" fontId="2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 wrapText="1"/>
    </xf>
    <xf numFmtId="0" fontId="4" fillId="8" borderId="16" xfId="2" applyFont="1" applyFill="1" applyBorder="1" applyAlignment="1">
      <alignment horizontal="center" vertical="center" wrapText="1"/>
    </xf>
    <xf numFmtId="3" fontId="5" fillId="0" borderId="16" xfId="2" applyNumberFormat="1" applyFont="1" applyBorder="1" applyAlignment="1">
      <alignment horizontal="center" vertical="center" wrapText="1"/>
    </xf>
    <xf numFmtId="41" fontId="5" fillId="0" borderId="17" xfId="1" applyFont="1" applyFill="1" applyBorder="1" applyAlignment="1">
      <alignment horizontal="left" vertical="center"/>
    </xf>
    <xf numFmtId="41" fontId="6" fillId="0" borderId="15" xfId="1" applyFont="1" applyBorder="1" applyAlignment="1">
      <alignment horizontal="center" vertical="center"/>
    </xf>
    <xf numFmtId="41" fontId="4" fillId="0" borderId="17" xfId="1" applyFont="1" applyFill="1" applyBorder="1" applyAlignment="1">
      <alignment horizontal="left" vertical="center"/>
    </xf>
    <xf numFmtId="0" fontId="18" fillId="0" borderId="47" xfId="2" applyFont="1" applyBorder="1" applyAlignment="1">
      <alignment horizontal="center" vertical="center"/>
    </xf>
    <xf numFmtId="0" fontId="18" fillId="0" borderId="48" xfId="2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/>
    </xf>
    <xf numFmtId="3" fontId="18" fillId="0" borderId="48" xfId="2" applyNumberFormat="1" applyFont="1" applyBorder="1" applyAlignment="1">
      <alignment horizontal="center" vertical="center"/>
    </xf>
    <xf numFmtId="177" fontId="18" fillId="0" borderId="48" xfId="2" applyNumberFormat="1" applyFont="1" applyBorder="1" applyAlignment="1">
      <alignment horizontal="center" vertical="center"/>
    </xf>
    <xf numFmtId="3" fontId="19" fillId="0" borderId="15" xfId="2" applyNumberFormat="1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41" fontId="6" fillId="0" borderId="0" xfId="2" applyNumberFormat="1" applyFont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 wrapText="1"/>
    </xf>
    <xf numFmtId="0" fontId="4" fillId="8" borderId="29" xfId="2" applyFont="1" applyFill="1" applyBorder="1" applyAlignment="1">
      <alignment horizontal="center" vertical="center" wrapText="1"/>
    </xf>
    <xf numFmtId="3" fontId="5" fillId="0" borderId="29" xfId="2" applyNumberFormat="1" applyFont="1" applyBorder="1" applyAlignment="1">
      <alignment horizontal="center" vertical="center" wrapText="1"/>
    </xf>
    <xf numFmtId="41" fontId="5" fillId="0" borderId="30" xfId="1" applyFont="1" applyFill="1" applyBorder="1" applyAlignment="1">
      <alignment horizontal="left" vertical="center"/>
    </xf>
    <xf numFmtId="0" fontId="18" fillId="0" borderId="52" xfId="2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/>
    </xf>
    <xf numFmtId="3" fontId="18" fillId="0" borderId="53" xfId="2" applyNumberFormat="1" applyFont="1" applyBorder="1" applyAlignment="1">
      <alignment horizontal="center" vertical="center"/>
    </xf>
    <xf numFmtId="177" fontId="18" fillId="0" borderId="53" xfId="2" applyNumberFormat="1" applyFont="1" applyBorder="1" applyAlignment="1">
      <alignment horizontal="center" vertical="center"/>
    </xf>
    <xf numFmtId="3" fontId="19" fillId="0" borderId="28" xfId="2" applyNumberFormat="1" applyFont="1" applyBorder="1" applyAlignment="1">
      <alignment horizontal="center" vertical="center"/>
    </xf>
    <xf numFmtId="0" fontId="20" fillId="0" borderId="30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/>
    </xf>
    <xf numFmtId="0" fontId="4" fillId="8" borderId="29" xfId="2" applyFont="1" applyFill="1" applyBorder="1" applyAlignment="1">
      <alignment horizontal="center" vertical="center"/>
    </xf>
    <xf numFmtId="41" fontId="5" fillId="0" borderId="30" xfId="1" applyFont="1" applyFill="1" applyBorder="1" applyAlignment="1">
      <alignment horizontal="left" vertical="center" wrapText="1"/>
    </xf>
    <xf numFmtId="3" fontId="18" fillId="0" borderId="56" xfId="2" applyNumberFormat="1" applyFont="1" applyBorder="1" applyAlignment="1">
      <alignment horizontal="center" vertical="center"/>
    </xf>
    <xf numFmtId="3" fontId="18" fillId="0" borderId="52" xfId="2" applyNumberFormat="1" applyFont="1" applyBorder="1" applyAlignment="1">
      <alignment horizontal="center" vertical="center"/>
    </xf>
    <xf numFmtId="3" fontId="5" fillId="0" borderId="28" xfId="2" applyNumberFormat="1" applyFont="1" applyBorder="1" applyAlignment="1">
      <alignment horizontal="center" vertical="center" wrapText="1"/>
    </xf>
    <xf numFmtId="3" fontId="5" fillId="0" borderId="29" xfId="2" applyNumberFormat="1" applyFont="1" applyBorder="1" applyAlignment="1">
      <alignment horizontal="center" vertical="center"/>
    </xf>
    <xf numFmtId="180" fontId="18" fillId="0" borderId="53" xfId="2" applyNumberFormat="1" applyFont="1" applyBorder="1" applyAlignment="1">
      <alignment horizontal="center" vertical="center"/>
    </xf>
    <xf numFmtId="180" fontId="18" fillId="0" borderId="56" xfId="2" applyNumberFormat="1" applyFont="1" applyBorder="1" applyAlignment="1">
      <alignment horizontal="center" vertical="center"/>
    </xf>
    <xf numFmtId="177" fontId="18" fillId="0" borderId="53" xfId="2" applyNumberFormat="1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 shrinkToFit="1"/>
    </xf>
    <xf numFmtId="176" fontId="18" fillId="0" borderId="53" xfId="2" applyNumberFormat="1" applyFont="1" applyBorder="1" applyAlignment="1">
      <alignment horizontal="center" vertical="center"/>
    </xf>
    <xf numFmtId="176" fontId="18" fillId="0" borderId="54" xfId="2" applyNumberFormat="1" applyFont="1" applyBorder="1" applyAlignment="1">
      <alignment horizontal="center" vertical="center"/>
    </xf>
    <xf numFmtId="3" fontId="5" fillId="0" borderId="28" xfId="2" applyNumberFormat="1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180" fontId="18" fillId="0" borderId="52" xfId="2" applyNumberFormat="1" applyFont="1" applyBorder="1" applyAlignment="1">
      <alignment horizontal="center" vertical="center"/>
    </xf>
    <xf numFmtId="0" fontId="20" fillId="0" borderId="30" xfId="2" applyFont="1" applyBorder="1" applyAlignment="1">
      <alignment horizontal="center" vertical="center"/>
    </xf>
    <xf numFmtId="176" fontId="18" fillId="0" borderId="56" xfId="2" applyNumberFormat="1" applyFont="1" applyBorder="1" applyAlignment="1">
      <alignment horizontal="center" vertical="center"/>
    </xf>
    <xf numFmtId="176" fontId="18" fillId="0" borderId="52" xfId="2" applyNumberFormat="1" applyFont="1" applyBorder="1" applyAlignment="1">
      <alignment horizontal="center" vertical="center"/>
    </xf>
    <xf numFmtId="0" fontId="4" fillId="8" borderId="29" xfId="2" applyFont="1" applyFill="1" applyBorder="1" applyAlignment="1">
      <alignment horizontal="center" vertical="center" wrapText="1" shrinkToFit="1"/>
    </xf>
    <xf numFmtId="0" fontId="5" fillId="0" borderId="29" xfId="2" applyFont="1" applyBorder="1" applyAlignment="1">
      <alignment horizontal="center" vertical="center" shrinkToFit="1"/>
    </xf>
    <xf numFmtId="0" fontId="4" fillId="8" borderId="29" xfId="2" applyFont="1" applyFill="1" applyBorder="1" applyAlignment="1">
      <alignment horizontal="center" vertical="center" shrinkToFit="1"/>
    </xf>
    <xf numFmtId="3" fontId="18" fillId="0" borderId="54" xfId="2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80" fontId="18" fillId="0" borderId="53" xfId="2" applyNumberFormat="1" applyFont="1" applyBorder="1" applyAlignment="1">
      <alignment horizontal="center" vertical="center" wrapText="1"/>
    </xf>
    <xf numFmtId="180" fontId="18" fillId="0" borderId="54" xfId="2" applyNumberFormat="1" applyFont="1" applyBorder="1" applyAlignment="1">
      <alignment horizontal="center" vertical="center" wrapText="1"/>
    </xf>
    <xf numFmtId="0" fontId="2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 wrapText="1" shrinkToFit="1"/>
    </xf>
    <xf numFmtId="0" fontId="19" fillId="0" borderId="57" xfId="2" applyFont="1" applyBorder="1" applyAlignment="1">
      <alignment horizontal="center" vertical="center" wrapText="1" shrinkToFit="1"/>
    </xf>
    <xf numFmtId="0" fontId="4" fillId="8" borderId="57" xfId="2" applyFont="1" applyFill="1" applyBorder="1" applyAlignment="1">
      <alignment horizontal="center" vertical="center" wrapText="1" shrinkToFit="1"/>
    </xf>
    <xf numFmtId="3" fontId="5" fillId="0" borderId="57" xfId="2" applyNumberFormat="1" applyFont="1" applyBorder="1" applyAlignment="1">
      <alignment horizontal="center" vertical="center" wrapText="1"/>
    </xf>
    <xf numFmtId="41" fontId="5" fillId="0" borderId="27" xfId="1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/>
    </xf>
    <xf numFmtId="0" fontId="18" fillId="0" borderId="59" xfId="2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/>
    </xf>
    <xf numFmtId="0" fontId="18" fillId="0" borderId="61" xfId="2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/>
    </xf>
    <xf numFmtId="176" fontId="18" fillId="0" borderId="59" xfId="2" applyNumberFormat="1" applyFont="1" applyBorder="1" applyAlignment="1">
      <alignment horizontal="center" vertical="center"/>
    </xf>
    <xf numFmtId="176" fontId="18" fillId="0" borderId="60" xfId="2" applyNumberFormat="1" applyFont="1" applyBorder="1" applyAlignment="1">
      <alignment horizontal="center" vertical="center"/>
    </xf>
    <xf numFmtId="3" fontId="5" fillId="0" borderId="26" xfId="2" applyNumberFormat="1" applyFont="1" applyBorder="1" applyAlignment="1">
      <alignment horizontal="center" vertical="center"/>
    </xf>
    <xf numFmtId="3" fontId="5" fillId="0" borderId="57" xfId="2" applyNumberFormat="1" applyFont="1" applyBorder="1" applyAlignment="1">
      <alignment horizontal="center" vertical="center"/>
    </xf>
    <xf numFmtId="0" fontId="20" fillId="0" borderId="27" xfId="2" applyFont="1" applyBorder="1" applyAlignment="1">
      <alignment horizontal="center" vertical="center"/>
    </xf>
    <xf numFmtId="0" fontId="5" fillId="5" borderId="4" xfId="2" applyFont="1" applyFill="1" applyBorder="1" applyAlignment="1">
      <alignment vertical="center"/>
    </xf>
    <xf numFmtId="0" fontId="5" fillId="5" borderId="5" xfId="2" applyFont="1" applyFill="1" applyBorder="1" applyAlignment="1">
      <alignment vertical="center"/>
    </xf>
    <xf numFmtId="41" fontId="5" fillId="5" borderId="5" xfId="2" applyNumberFormat="1" applyFont="1" applyFill="1" applyBorder="1" applyAlignment="1">
      <alignment vertical="center"/>
    </xf>
    <xf numFmtId="41" fontId="6" fillId="5" borderId="5" xfId="1" applyFont="1" applyFill="1" applyBorder="1" applyAlignment="1">
      <alignment horizontal="center" vertical="center"/>
    </xf>
    <xf numFmtId="177" fontId="15" fillId="5" borderId="5" xfId="2" applyNumberFormat="1" applyFont="1" applyFill="1" applyBorder="1" applyAlignment="1">
      <alignment horizontal="center" vertical="center"/>
    </xf>
    <xf numFmtId="3" fontId="7" fillId="5" borderId="5" xfId="2" applyNumberFormat="1" applyFont="1" applyFill="1" applyBorder="1" applyAlignment="1">
      <alignment vertical="top" wrapText="1"/>
    </xf>
    <xf numFmtId="3" fontId="7" fillId="5" borderId="7" xfId="2" applyNumberFormat="1" applyFont="1" applyFill="1" applyBorder="1" applyAlignment="1">
      <alignment vertical="top" wrapText="1"/>
    </xf>
    <xf numFmtId="0" fontId="21" fillId="9" borderId="42" xfId="2" applyFont="1" applyFill="1" applyBorder="1" applyAlignment="1">
      <alignment horizontal="left" vertical="center" indent="3"/>
    </xf>
    <xf numFmtId="0" fontId="21" fillId="9" borderId="3" xfId="2" applyFont="1" applyFill="1" applyBorder="1" applyAlignment="1">
      <alignment vertical="center"/>
    </xf>
    <xf numFmtId="0" fontId="21" fillId="9" borderId="3" xfId="2" applyFont="1" applyFill="1" applyBorder="1" applyAlignment="1">
      <alignment horizontal="center" vertical="center"/>
    </xf>
    <xf numFmtId="177" fontId="15" fillId="9" borderId="3" xfId="2" applyNumberFormat="1" applyFont="1" applyFill="1" applyBorder="1" applyAlignment="1">
      <alignment horizontal="center" vertical="center"/>
    </xf>
    <xf numFmtId="3" fontId="7" fillId="9" borderId="3" xfId="2" applyNumberFormat="1" applyFont="1" applyFill="1" applyBorder="1" applyAlignment="1">
      <alignment horizontal="left" vertical="top" wrapText="1"/>
    </xf>
    <xf numFmtId="3" fontId="7" fillId="9" borderId="63" xfId="2" applyNumberFormat="1" applyFont="1" applyFill="1" applyBorder="1" applyAlignment="1">
      <alignment horizontal="left" vertical="top" wrapText="1"/>
    </xf>
    <xf numFmtId="0" fontId="5" fillId="6" borderId="46" xfId="2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 wrapText="1"/>
    </xf>
    <xf numFmtId="0" fontId="5" fillId="6" borderId="43" xfId="2" applyFont="1" applyFill="1" applyBorder="1" applyAlignment="1">
      <alignment vertical="center"/>
    </xf>
    <xf numFmtId="41" fontId="5" fillId="6" borderId="6" xfId="2" applyNumberFormat="1" applyFont="1" applyFill="1" applyBorder="1" applyAlignment="1">
      <alignment vertical="center"/>
    </xf>
    <xf numFmtId="41" fontId="6" fillId="0" borderId="46" xfId="1" applyFont="1" applyBorder="1" applyAlignment="1">
      <alignment horizontal="center" vertical="center"/>
    </xf>
    <xf numFmtId="41" fontId="4" fillId="0" borderId="6" xfId="1" applyFont="1" applyFill="1" applyBorder="1" applyAlignment="1">
      <alignment horizontal="left" vertical="center"/>
    </xf>
    <xf numFmtId="177" fontId="15" fillId="0" borderId="65" xfId="2" applyNumberFormat="1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4" fillId="8" borderId="22" xfId="2" applyFont="1" applyFill="1" applyBorder="1" applyAlignment="1">
      <alignment horizontal="center" vertical="center"/>
    </xf>
    <xf numFmtId="3" fontId="4" fillId="0" borderId="22" xfId="2" applyNumberFormat="1" applyFont="1" applyBorder="1" applyAlignment="1">
      <alignment horizontal="center" vertical="center" wrapText="1"/>
    </xf>
    <xf numFmtId="41" fontId="5" fillId="0" borderId="17" xfId="1" applyFont="1" applyFill="1" applyBorder="1" applyAlignment="1">
      <alignment horizontal="left" vertical="center" wrapText="1"/>
    </xf>
    <xf numFmtId="0" fontId="15" fillId="0" borderId="52" xfId="2" applyFont="1" applyBorder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0" fontId="15" fillId="0" borderId="54" xfId="2" applyFont="1" applyBorder="1" applyAlignment="1">
      <alignment horizontal="center" vertical="center"/>
    </xf>
    <xf numFmtId="0" fontId="15" fillId="0" borderId="56" xfId="2" applyFont="1" applyBorder="1" applyAlignment="1">
      <alignment horizontal="center" vertical="center"/>
    </xf>
    <xf numFmtId="0" fontId="15" fillId="0" borderId="55" xfId="2" applyFont="1" applyBorder="1" applyAlignment="1">
      <alignment horizontal="center" vertical="center"/>
    </xf>
    <xf numFmtId="0" fontId="15" fillId="0" borderId="66" xfId="2" applyFont="1" applyBorder="1" applyAlignment="1">
      <alignment horizontal="center" vertical="center"/>
    </xf>
    <xf numFmtId="0" fontId="15" fillId="0" borderId="67" xfId="2" applyFont="1" applyBorder="1" applyAlignment="1">
      <alignment horizontal="center" vertical="center"/>
    </xf>
    <xf numFmtId="0" fontId="15" fillId="0" borderId="68" xfId="2" applyFont="1" applyBorder="1" applyAlignment="1">
      <alignment horizontal="center" vertical="center"/>
    </xf>
    <xf numFmtId="3" fontId="15" fillId="0" borderId="53" xfId="2" applyNumberFormat="1" applyFont="1" applyBorder="1" applyAlignment="1">
      <alignment horizontal="center" vertical="center"/>
    </xf>
    <xf numFmtId="3" fontId="15" fillId="0" borderId="55" xfId="2" applyNumberFormat="1" applyFont="1" applyBorder="1" applyAlignment="1">
      <alignment horizontal="center" vertical="center"/>
    </xf>
    <xf numFmtId="3" fontId="15" fillId="0" borderId="54" xfId="2" applyNumberFormat="1" applyFont="1" applyBorder="1" applyAlignment="1">
      <alignment horizontal="center" vertical="center"/>
    </xf>
    <xf numFmtId="3" fontId="7" fillId="0" borderId="35" xfId="2" applyNumberFormat="1" applyFont="1" applyBorder="1" applyAlignment="1">
      <alignment horizontal="center" vertical="center"/>
    </xf>
    <xf numFmtId="3" fontId="7" fillId="0" borderId="29" xfId="2" applyNumberFormat="1" applyFont="1" applyBorder="1" applyAlignment="1">
      <alignment horizontal="center" vertical="center"/>
    </xf>
    <xf numFmtId="3" fontId="7" fillId="0" borderId="34" xfId="2" applyNumberFormat="1" applyFont="1" applyBorder="1" applyAlignment="1">
      <alignment horizontal="center" vertical="center"/>
    </xf>
    <xf numFmtId="0" fontId="22" fillId="0" borderId="30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 wrapText="1" shrinkToFit="1"/>
    </xf>
    <xf numFmtId="0" fontId="5" fillId="0" borderId="32" xfId="2" applyFont="1" applyBorder="1" applyAlignment="1">
      <alignment horizontal="center" vertical="center" wrapText="1" shrinkToFit="1"/>
    </xf>
    <xf numFmtId="0" fontId="4" fillId="8" borderId="32" xfId="2" applyFont="1" applyFill="1" applyBorder="1" applyAlignment="1">
      <alignment horizontal="center" vertical="center" wrapText="1" shrinkToFit="1"/>
    </xf>
    <xf numFmtId="176" fontId="15" fillId="0" borderId="53" xfId="2" applyNumberFormat="1" applyFont="1" applyBorder="1" applyAlignment="1">
      <alignment horizontal="center" vertical="center"/>
    </xf>
    <xf numFmtId="176" fontId="15" fillId="0" borderId="55" xfId="2" applyNumberFormat="1" applyFont="1" applyBorder="1" applyAlignment="1">
      <alignment horizontal="center" vertical="center"/>
    </xf>
    <xf numFmtId="176" fontId="15" fillId="0" borderId="54" xfId="2" applyNumberFormat="1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4" fillId="8" borderId="32" xfId="2" applyFont="1" applyFill="1" applyBorder="1" applyAlignment="1">
      <alignment horizontal="center" vertical="center"/>
    </xf>
    <xf numFmtId="177" fontId="15" fillId="0" borderId="64" xfId="2" applyNumberFormat="1" applyFont="1" applyBorder="1" applyAlignment="1">
      <alignment horizontal="center" vertical="center"/>
    </xf>
    <xf numFmtId="177" fontId="15" fillId="0" borderId="46" xfId="2" applyNumberFormat="1" applyFont="1" applyBorder="1" applyAlignment="1">
      <alignment horizontal="center" vertical="center"/>
    </xf>
    <xf numFmtId="0" fontId="13" fillId="10" borderId="70" xfId="2" applyFont="1" applyFill="1" applyBorder="1" applyAlignment="1">
      <alignment horizontal="center" vertical="center" wrapText="1"/>
    </xf>
    <xf numFmtId="0" fontId="13" fillId="10" borderId="71" xfId="2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177" fontId="23" fillId="0" borderId="0" xfId="2" applyNumberFormat="1" applyFont="1" applyAlignment="1">
      <alignment horizontal="center" vertical="center"/>
    </xf>
    <xf numFmtId="3" fontId="13" fillId="10" borderId="69" xfId="2" applyNumberFormat="1" applyFont="1" applyFill="1" applyBorder="1" applyAlignment="1">
      <alignment horizontal="center" vertical="center" wrapText="1"/>
    </xf>
    <xf numFmtId="3" fontId="13" fillId="10" borderId="70" xfId="2" applyNumberFormat="1" applyFont="1" applyFill="1" applyBorder="1" applyAlignment="1">
      <alignment horizontal="center" vertical="center" wrapText="1"/>
    </xf>
    <xf numFmtId="3" fontId="13" fillId="10" borderId="72" xfId="2" applyNumberFormat="1" applyFont="1" applyFill="1" applyBorder="1" applyAlignment="1">
      <alignment horizontal="center" vertical="center" wrapText="1"/>
    </xf>
    <xf numFmtId="0" fontId="23" fillId="0" borderId="0" xfId="2" applyFont="1"/>
    <xf numFmtId="0" fontId="13" fillId="0" borderId="15" xfId="2" applyFont="1" applyBorder="1" applyAlignment="1">
      <alignment horizontal="center" vertical="center"/>
    </xf>
    <xf numFmtId="41" fontId="13" fillId="0" borderId="16" xfId="1" applyFont="1" applyBorder="1" applyAlignment="1">
      <alignment vertical="center"/>
    </xf>
    <xf numFmtId="41" fontId="13" fillId="0" borderId="17" xfId="1" applyFont="1" applyBorder="1" applyAlignment="1">
      <alignment vertical="center"/>
    </xf>
    <xf numFmtId="41" fontId="13" fillId="0" borderId="0" xfId="1" applyFont="1" applyFill="1" applyBorder="1" applyAlignment="1">
      <alignment vertical="center"/>
    </xf>
    <xf numFmtId="0" fontId="23" fillId="0" borderId="0" xfId="2" applyFont="1" applyAlignment="1">
      <alignment horizontal="center" vertical="center"/>
    </xf>
    <xf numFmtId="176" fontId="13" fillId="0" borderId="0" xfId="2" applyNumberFormat="1" applyFont="1"/>
    <xf numFmtId="41" fontId="23" fillId="0" borderId="16" xfId="1" applyFont="1" applyBorder="1" applyAlignment="1">
      <alignment horizontal="center" vertical="center"/>
    </xf>
    <xf numFmtId="41" fontId="23" fillId="0" borderId="22" xfId="1" applyFont="1" applyBorder="1" applyAlignment="1">
      <alignment horizontal="center" vertical="center"/>
    </xf>
    <xf numFmtId="41" fontId="23" fillId="0" borderId="17" xfId="2" applyNumberFormat="1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41" fontId="13" fillId="0" borderId="29" xfId="1" applyFont="1" applyBorder="1" applyAlignment="1">
      <alignment vertical="center"/>
    </xf>
    <xf numFmtId="41" fontId="13" fillId="0" borderId="30" xfId="1" applyFont="1" applyBorder="1" applyAlignment="1">
      <alignment vertical="center"/>
    </xf>
    <xf numFmtId="41" fontId="23" fillId="0" borderId="29" xfId="1" applyFont="1" applyFill="1" applyBorder="1" applyAlignment="1">
      <alignment horizontal="center" vertical="center"/>
    </xf>
    <xf numFmtId="176" fontId="13" fillId="0" borderId="0" xfId="2" applyNumberFormat="1" applyFont="1" applyAlignment="1">
      <alignment horizontal="center"/>
    </xf>
    <xf numFmtId="177" fontId="23" fillId="0" borderId="0" xfId="2" applyNumberFormat="1" applyFont="1"/>
    <xf numFmtId="41" fontId="23" fillId="0" borderId="29" xfId="1" applyFont="1" applyFill="1" applyBorder="1" applyAlignment="1"/>
    <xf numFmtId="41" fontId="13" fillId="0" borderId="29" xfId="1" applyFont="1" applyBorder="1" applyAlignment="1">
      <alignment horizontal="center" vertical="center"/>
    </xf>
    <xf numFmtId="41" fontId="13" fillId="0" borderId="57" xfId="1" applyFont="1" applyBorder="1" applyAlignment="1">
      <alignment horizontal="center" vertical="center"/>
    </xf>
    <xf numFmtId="41" fontId="13" fillId="0" borderId="57" xfId="1" applyFont="1" applyBorder="1" applyAlignment="1">
      <alignment vertical="center"/>
    </xf>
    <xf numFmtId="41" fontId="13" fillId="0" borderId="27" xfId="1" applyFont="1" applyBorder="1" applyAlignment="1">
      <alignment vertical="center"/>
    </xf>
    <xf numFmtId="41" fontId="13" fillId="0" borderId="26" xfId="1" applyFont="1" applyBorder="1" applyAlignment="1">
      <alignment horizontal="center" vertical="center"/>
    </xf>
    <xf numFmtId="41" fontId="23" fillId="6" borderId="57" xfId="1" applyFont="1" applyFill="1" applyBorder="1" applyAlignment="1"/>
    <xf numFmtId="41" fontId="23" fillId="6" borderId="22" xfId="1" applyFont="1" applyFill="1" applyBorder="1" applyAlignment="1">
      <alignment horizontal="center" vertical="center"/>
    </xf>
    <xf numFmtId="41" fontId="23" fillId="6" borderId="73" xfId="2" applyNumberFormat="1" applyFont="1" applyFill="1" applyBorder="1" applyAlignment="1">
      <alignment horizontal="center" vertical="center"/>
    </xf>
    <xf numFmtId="41" fontId="13" fillId="0" borderId="75" xfId="1" applyFont="1" applyBorder="1" applyAlignment="1">
      <alignment horizontal="center" vertical="center"/>
    </xf>
    <xf numFmtId="41" fontId="13" fillId="0" borderId="76" xfId="1" applyFont="1" applyBorder="1" applyAlignment="1">
      <alignment horizontal="center" vertical="center"/>
    </xf>
    <xf numFmtId="41" fontId="13" fillId="0" borderId="0" xfId="1" applyFont="1" applyFill="1" applyBorder="1" applyAlignment="1">
      <alignment horizontal="center" vertical="center"/>
    </xf>
    <xf numFmtId="41" fontId="13" fillId="0" borderId="9" xfId="1" applyFont="1" applyBorder="1" applyAlignment="1">
      <alignment horizontal="center" vertical="center"/>
    </xf>
    <xf numFmtId="41" fontId="13" fillId="0" borderId="10" xfId="1" applyFont="1" applyFill="1" applyBorder="1" applyAlignment="1"/>
    <xf numFmtId="0" fontId="24" fillId="0" borderId="0" xfId="2" applyFont="1" applyAlignment="1">
      <alignment horizontal="right"/>
    </xf>
    <xf numFmtId="0" fontId="13" fillId="0" borderId="79" xfId="2" applyFont="1" applyBorder="1" applyAlignment="1">
      <alignment horizontal="center" vertical="center"/>
    </xf>
    <xf numFmtId="41" fontId="13" fillId="11" borderId="80" xfId="2" applyNumberFormat="1" applyFont="1" applyFill="1" applyBorder="1"/>
    <xf numFmtId="41" fontId="13" fillId="11" borderId="81" xfId="2" applyNumberFormat="1" applyFont="1" applyFill="1" applyBorder="1" applyAlignment="1">
      <alignment horizontal="center" vertical="center"/>
    </xf>
    <xf numFmtId="41" fontId="13" fillId="11" borderId="73" xfId="2" applyNumberFormat="1" applyFont="1" applyFill="1" applyBorder="1" applyAlignment="1">
      <alignment horizontal="center" vertical="center"/>
    </xf>
    <xf numFmtId="179" fontId="7" fillId="0" borderId="0" xfId="2" applyNumberFormat="1" applyFont="1"/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1" fontId="2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3" xfId="0" applyFont="1" applyBorder="1">
      <alignment vertical="center"/>
    </xf>
    <xf numFmtId="0" fontId="28" fillId="6" borderId="75" xfId="0" applyFont="1" applyFill="1" applyBorder="1" applyAlignment="1">
      <alignment horizontal="center" vertical="center"/>
    </xf>
    <xf numFmtId="41" fontId="28" fillId="6" borderId="77" xfId="1" applyFont="1" applyFill="1" applyBorder="1" applyAlignment="1">
      <alignment horizontal="center" vertical="center" wrapText="1"/>
    </xf>
    <xf numFmtId="41" fontId="28" fillId="6" borderId="75" xfId="1" applyFont="1" applyFill="1" applyBorder="1" applyAlignment="1">
      <alignment horizontal="center" vertical="center" wrapText="1"/>
    </xf>
    <xf numFmtId="41" fontId="28" fillId="6" borderId="75" xfId="1" applyFont="1" applyFill="1" applyBorder="1" applyAlignment="1">
      <alignment horizontal="center" vertical="center"/>
    </xf>
    <xf numFmtId="24" fontId="28" fillId="6" borderId="75" xfId="1" applyNumberFormat="1" applyFont="1" applyFill="1" applyBorder="1" applyAlignment="1">
      <alignment horizontal="center" vertical="center"/>
    </xf>
    <xf numFmtId="41" fontId="28" fillId="6" borderId="77" xfId="1" applyFont="1" applyFill="1" applyBorder="1" applyAlignment="1">
      <alignment horizontal="center" vertical="center"/>
    </xf>
    <xf numFmtId="41" fontId="28" fillId="13" borderId="74" xfId="0" applyNumberFormat="1" applyFont="1" applyFill="1" applyBorder="1" applyAlignment="1">
      <alignment horizontal="center" vertical="center"/>
    </xf>
    <xf numFmtId="41" fontId="28" fillId="6" borderId="76" xfId="1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/>
    </xf>
    <xf numFmtId="41" fontId="25" fillId="0" borderId="32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shrinkToFit="1"/>
    </xf>
    <xf numFmtId="41" fontId="25" fillId="0" borderId="29" xfId="0" applyNumberFormat="1" applyFont="1" applyBorder="1" applyAlignment="1">
      <alignment horizontal="center" vertical="center"/>
    </xf>
    <xf numFmtId="41" fontId="25" fillId="0" borderId="28" xfId="0" applyNumberFormat="1" applyFont="1" applyBorder="1" applyAlignment="1">
      <alignment horizontal="center" vertical="center"/>
    </xf>
    <xf numFmtId="41" fontId="25" fillId="0" borderId="29" xfId="1" applyFont="1" applyFill="1" applyBorder="1" applyAlignment="1">
      <alignment horizontal="center" vertical="center"/>
    </xf>
    <xf numFmtId="41" fontId="25" fillId="0" borderId="32" xfId="1" applyFont="1" applyFill="1" applyBorder="1" applyAlignment="1">
      <alignment horizontal="center" vertical="center"/>
    </xf>
    <xf numFmtId="41" fontId="25" fillId="0" borderId="30" xfId="1" applyFont="1" applyFill="1" applyBorder="1" applyAlignment="1">
      <alignment horizontal="center" vertical="center"/>
    </xf>
    <xf numFmtId="41" fontId="25" fillId="0" borderId="82" xfId="0" applyNumberFormat="1" applyFont="1" applyBorder="1" applyAlignment="1">
      <alignment horizontal="center" vertical="center"/>
    </xf>
    <xf numFmtId="41" fontId="25" fillId="0" borderId="26" xfId="0" applyNumberFormat="1" applyFont="1" applyBorder="1" applyAlignment="1">
      <alignment horizontal="center" vertical="center"/>
    </xf>
    <xf numFmtId="41" fontId="25" fillId="0" borderId="57" xfId="1" applyFont="1" applyFill="1" applyBorder="1" applyAlignment="1">
      <alignment horizontal="center" vertical="center"/>
    </xf>
    <xf numFmtId="41" fontId="25" fillId="0" borderId="82" xfId="1" applyFont="1" applyFill="1" applyBorder="1" applyAlignment="1">
      <alignment horizontal="center" vertical="center"/>
    </xf>
    <xf numFmtId="24" fontId="25" fillId="0" borderId="29" xfId="0" applyNumberFormat="1" applyFont="1" applyBorder="1" applyAlignment="1">
      <alignment horizontal="center" vertical="center"/>
    </xf>
    <xf numFmtId="41" fontId="25" fillId="6" borderId="80" xfId="0" applyNumberFormat="1" applyFont="1" applyFill="1" applyBorder="1" applyAlignment="1">
      <alignment horizontal="center" vertical="center"/>
    </xf>
    <xf numFmtId="0" fontId="28" fillId="6" borderId="81" xfId="0" applyFont="1" applyFill="1" applyBorder="1">
      <alignment vertical="center"/>
    </xf>
    <xf numFmtId="0" fontId="28" fillId="6" borderId="83" xfId="0" applyFont="1" applyFill="1" applyBorder="1">
      <alignment vertical="center"/>
    </xf>
    <xf numFmtId="0" fontId="28" fillId="6" borderId="84" xfId="0" applyFont="1" applyFill="1" applyBorder="1">
      <alignment vertical="center"/>
    </xf>
    <xf numFmtId="41" fontId="25" fillId="6" borderId="81" xfId="0" applyNumberFormat="1" applyFont="1" applyFill="1" applyBorder="1" applyAlignment="1">
      <alignment horizontal="center" vertical="center"/>
    </xf>
    <xf numFmtId="41" fontId="25" fillId="6" borderId="79" xfId="0" applyNumberFormat="1" applyFont="1" applyFill="1" applyBorder="1" applyAlignment="1">
      <alignment horizontal="center" vertical="center"/>
    </xf>
    <xf numFmtId="41" fontId="25" fillId="11" borderId="80" xfId="1" applyFont="1" applyFill="1" applyBorder="1" applyAlignment="1">
      <alignment horizontal="center" vertical="center"/>
    </xf>
    <xf numFmtId="41" fontId="25" fillId="11" borderId="73" xfId="1" applyFont="1" applyFill="1" applyBorder="1" applyAlignment="1">
      <alignment horizontal="center" vertical="center"/>
    </xf>
    <xf numFmtId="0" fontId="28" fillId="6" borderId="74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1" fontId="25" fillId="0" borderId="0" xfId="0" applyNumberFormat="1" applyFont="1" applyAlignment="1">
      <alignment horizontal="center" vertical="center"/>
    </xf>
    <xf numFmtId="24" fontId="25" fillId="0" borderId="0" xfId="0" applyNumberFormat="1" applyFont="1" applyAlignment="1">
      <alignment horizontal="center" vertical="center"/>
    </xf>
    <xf numFmtId="176" fontId="4" fillId="4" borderId="4" xfId="2" applyNumberFormat="1" applyFont="1" applyFill="1" applyBorder="1" applyAlignment="1">
      <alignment horizontal="center" vertical="center" wrapText="1"/>
    </xf>
    <xf numFmtId="176" fontId="4" fillId="4" borderId="5" xfId="2" applyNumberFormat="1" applyFont="1" applyFill="1" applyBorder="1" applyAlignment="1">
      <alignment horizontal="center" vertical="center" wrapText="1"/>
    </xf>
    <xf numFmtId="176" fontId="4" fillId="4" borderId="7" xfId="2" applyNumberFormat="1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1" fontId="4" fillId="0" borderId="11" xfId="1" applyFont="1" applyFill="1" applyBorder="1" applyAlignment="1">
      <alignment horizontal="center" vertical="center" wrapText="1"/>
    </xf>
    <xf numFmtId="41" fontId="4" fillId="0" borderId="20" xfId="1" applyFont="1" applyFill="1" applyBorder="1" applyAlignment="1">
      <alignment horizontal="center" vertical="center" wrapText="1"/>
    </xf>
    <xf numFmtId="41" fontId="4" fillId="0" borderId="39" xfId="1" applyFont="1" applyFill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38" xfId="2" applyFont="1" applyBorder="1" applyAlignment="1">
      <alignment horizontal="center" vertical="center" wrapText="1"/>
    </xf>
    <xf numFmtId="3" fontId="7" fillId="0" borderId="4" xfId="2" applyNumberFormat="1" applyFont="1" applyBorder="1" applyAlignment="1">
      <alignment horizontal="left" vertical="top" wrapText="1"/>
    </xf>
    <xf numFmtId="3" fontId="7" fillId="0" borderId="5" xfId="2" applyNumberFormat="1" applyFont="1" applyBorder="1" applyAlignment="1">
      <alignment horizontal="left" vertical="top" wrapText="1"/>
    </xf>
    <xf numFmtId="3" fontId="7" fillId="0" borderId="7" xfId="2" applyNumberFormat="1" applyFont="1" applyBorder="1" applyAlignment="1">
      <alignment horizontal="left" vertical="top" wrapText="1"/>
    </xf>
    <xf numFmtId="179" fontId="4" fillId="0" borderId="9" xfId="2" applyNumberFormat="1" applyFont="1" applyBorder="1" applyAlignment="1">
      <alignment horizontal="center" vertical="center"/>
    </xf>
    <xf numFmtId="179" fontId="4" fillId="0" borderId="15" xfId="2" applyNumberFormat="1" applyFont="1" applyBorder="1" applyAlignment="1">
      <alignment horizontal="center" vertical="center"/>
    </xf>
    <xf numFmtId="179" fontId="4" fillId="0" borderId="10" xfId="2" applyNumberFormat="1" applyFont="1" applyBorder="1" applyAlignment="1">
      <alignment horizontal="center" vertical="center" wrapText="1"/>
    </xf>
    <xf numFmtId="179" fontId="4" fillId="0" borderId="16" xfId="2" applyNumberFormat="1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41" fontId="5" fillId="0" borderId="9" xfId="1" applyFont="1" applyFill="1" applyBorder="1" applyAlignment="1">
      <alignment horizontal="center" vertical="center" wrapText="1"/>
    </xf>
    <xf numFmtId="41" fontId="5" fillId="0" borderId="15" xfId="1" applyFont="1" applyFill="1" applyBorder="1" applyAlignment="1">
      <alignment horizontal="center" vertical="center" wrapText="1"/>
    </xf>
    <xf numFmtId="41" fontId="5" fillId="0" borderId="11" xfId="1" applyFont="1" applyFill="1" applyBorder="1" applyAlignment="1">
      <alignment horizontal="center" vertical="center" wrapText="1"/>
    </xf>
    <xf numFmtId="41" fontId="5" fillId="0" borderId="17" xfId="1" applyFont="1" applyFill="1" applyBorder="1" applyAlignment="1">
      <alignment horizontal="center" vertical="center" wrapText="1"/>
    </xf>
    <xf numFmtId="41" fontId="4" fillId="0" borderId="26" xfId="1" applyFont="1" applyFill="1" applyBorder="1" applyAlignment="1">
      <alignment horizontal="center" vertical="center" wrapText="1"/>
    </xf>
    <xf numFmtId="41" fontId="4" fillId="0" borderId="18" xfId="1" applyFont="1" applyFill="1" applyBorder="1" applyAlignment="1">
      <alignment horizontal="center" vertical="center" wrapText="1"/>
    </xf>
    <xf numFmtId="41" fontId="4" fillId="0" borderId="37" xfId="1" applyFont="1" applyFill="1" applyBorder="1" applyAlignment="1">
      <alignment horizontal="center" vertical="center" wrapText="1"/>
    </xf>
    <xf numFmtId="41" fontId="4" fillId="0" borderId="27" xfId="1" applyFont="1" applyFill="1" applyBorder="1" applyAlignment="1">
      <alignment horizontal="center" vertical="center" wrapText="1"/>
    </xf>
    <xf numFmtId="3" fontId="7" fillId="0" borderId="44" xfId="2" applyNumberFormat="1" applyFont="1" applyBorder="1" applyAlignment="1">
      <alignment horizontal="left" vertical="top" wrapText="1"/>
    </xf>
    <xf numFmtId="3" fontId="7" fillId="0" borderId="8" xfId="2" applyNumberFormat="1" applyFont="1" applyBorder="1" applyAlignment="1">
      <alignment horizontal="left" vertical="top" wrapText="1"/>
    </xf>
    <xf numFmtId="3" fontId="7" fillId="0" borderId="13" xfId="2" applyNumberFormat="1" applyFont="1" applyBorder="1" applyAlignment="1">
      <alignment horizontal="left" vertical="top" wrapText="1"/>
    </xf>
    <xf numFmtId="0" fontId="15" fillId="6" borderId="46" xfId="2" applyFont="1" applyFill="1" applyBorder="1" applyAlignment="1">
      <alignment horizontal="center" vertical="center"/>
    </xf>
    <xf numFmtId="0" fontId="15" fillId="6" borderId="43" xfId="2" applyFont="1" applyFill="1" applyBorder="1" applyAlignment="1">
      <alignment horizontal="center" vertical="center"/>
    </xf>
    <xf numFmtId="0" fontId="13" fillId="10" borderId="69" xfId="2" applyFont="1" applyFill="1" applyBorder="1" applyAlignment="1">
      <alignment horizontal="center" vertical="center"/>
    </xf>
    <xf numFmtId="0" fontId="13" fillId="10" borderId="70" xfId="2" applyFont="1" applyFill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41" fontId="23" fillId="6" borderId="57" xfId="1" applyFont="1" applyFill="1" applyBorder="1" applyAlignment="1">
      <alignment horizontal="center" vertical="center"/>
    </xf>
    <xf numFmtId="41" fontId="23" fillId="6" borderId="19" xfId="1" applyFont="1" applyFill="1" applyBorder="1" applyAlignment="1">
      <alignment horizontal="center" vertical="center"/>
    </xf>
    <xf numFmtId="41" fontId="23" fillId="6" borderId="16" xfId="1" applyFont="1" applyFill="1" applyBorder="1" applyAlignment="1">
      <alignment horizontal="center" vertical="center"/>
    </xf>
    <xf numFmtId="0" fontId="24" fillId="0" borderId="79" xfId="2" applyFont="1" applyBorder="1" applyAlignment="1">
      <alignment horizontal="right"/>
    </xf>
    <xf numFmtId="0" fontId="24" fillId="0" borderId="80" xfId="2" applyFont="1" applyBorder="1" applyAlignment="1">
      <alignment horizontal="right"/>
    </xf>
    <xf numFmtId="0" fontId="24" fillId="0" borderId="73" xfId="2" applyFont="1" applyBorder="1" applyAlignment="1">
      <alignment horizontal="right"/>
    </xf>
    <xf numFmtId="0" fontId="9" fillId="0" borderId="0" xfId="2" applyFont="1" applyAlignment="1">
      <alignment horizontal="center"/>
    </xf>
    <xf numFmtId="179" fontId="5" fillId="0" borderId="0" xfId="2" applyNumberFormat="1" applyFont="1" applyAlignment="1">
      <alignment horizontal="center" vertical="center" wrapText="1"/>
    </xf>
    <xf numFmtId="179" fontId="5" fillId="0" borderId="0" xfId="2" applyNumberFormat="1" applyFont="1" applyAlignment="1">
      <alignment horizontal="center" vertical="center"/>
    </xf>
    <xf numFmtId="41" fontId="23" fillId="6" borderId="27" xfId="2" applyNumberFormat="1" applyFont="1" applyFill="1" applyBorder="1" applyAlignment="1">
      <alignment horizontal="center" vertical="center"/>
    </xf>
    <xf numFmtId="41" fontId="23" fillId="6" borderId="20" xfId="2" applyNumberFormat="1" applyFont="1" applyFill="1" applyBorder="1" applyAlignment="1">
      <alignment horizontal="center" vertical="center"/>
    </xf>
    <xf numFmtId="41" fontId="23" fillId="6" borderId="17" xfId="2" applyNumberFormat="1" applyFont="1" applyFill="1" applyBorder="1" applyAlignment="1">
      <alignment horizontal="center" vertical="center"/>
    </xf>
    <xf numFmtId="0" fontId="13" fillId="0" borderId="2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0" fontId="13" fillId="0" borderId="74" xfId="2" applyFont="1" applyBorder="1" applyAlignment="1">
      <alignment horizontal="center" vertical="center"/>
    </xf>
    <xf numFmtId="0" fontId="13" fillId="0" borderId="75" xfId="2" applyFont="1" applyBorder="1" applyAlignment="1">
      <alignment horizontal="center" vertical="center"/>
    </xf>
    <xf numFmtId="41" fontId="13" fillId="0" borderId="77" xfId="1" applyFont="1" applyFill="1" applyBorder="1" applyAlignment="1">
      <alignment horizontal="center" vertical="center"/>
    </xf>
    <xf numFmtId="41" fontId="13" fillId="0" borderId="78" xfId="1" applyFont="1" applyFill="1" applyBorder="1" applyAlignment="1">
      <alignment horizontal="center" vertical="center"/>
    </xf>
    <xf numFmtId="41" fontId="25" fillId="0" borderId="82" xfId="0" applyNumberFormat="1" applyFont="1" applyBorder="1" applyAlignment="1">
      <alignment horizontal="center" vertical="center"/>
    </xf>
    <xf numFmtId="0" fontId="25" fillId="0" borderId="85" xfId="0" applyFont="1" applyBorder="1" applyAlignment="1">
      <alignment horizontal="center" vertical="center"/>
    </xf>
    <xf numFmtId="3" fontId="25" fillId="0" borderId="26" xfId="0" quotePrefix="1" applyNumberFormat="1" applyFont="1" applyBorder="1" applyAlignment="1">
      <alignment horizontal="center" vertical="top"/>
    </xf>
    <xf numFmtId="3" fontId="25" fillId="0" borderId="57" xfId="0" quotePrefix="1" applyNumberFormat="1" applyFont="1" applyBorder="1" applyAlignment="1">
      <alignment horizontal="center" vertical="top"/>
    </xf>
    <xf numFmtId="41" fontId="25" fillId="0" borderId="57" xfId="1" applyFont="1" applyBorder="1" applyAlignment="1">
      <alignment horizontal="center" vertical="top"/>
    </xf>
    <xf numFmtId="41" fontId="25" fillId="0" borderId="27" xfId="1" applyFont="1" applyBorder="1" applyAlignment="1">
      <alignment horizontal="center" vertical="top"/>
    </xf>
    <xf numFmtId="0" fontId="25" fillId="0" borderId="9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41" fontId="25" fillId="0" borderId="14" xfId="0" applyNumberFormat="1" applyFont="1" applyBorder="1" applyAlignment="1">
      <alignment horizontal="center" vertical="center"/>
    </xf>
    <xf numFmtId="41" fontId="25" fillId="0" borderId="8" xfId="0" applyNumberFormat="1" applyFont="1" applyBorder="1" applyAlignment="1">
      <alignment horizontal="center" vertical="center"/>
    </xf>
    <xf numFmtId="41" fontId="25" fillId="0" borderId="13" xfId="0" applyNumberFormat="1" applyFont="1" applyBorder="1" applyAlignment="1">
      <alignment horizontal="center" vertical="center"/>
    </xf>
    <xf numFmtId="41" fontId="25" fillId="0" borderId="41" xfId="0" applyNumberFormat="1" applyFont="1" applyBorder="1" applyAlignment="1">
      <alignment horizontal="center" vertical="center"/>
    </xf>
    <xf numFmtId="41" fontId="25" fillId="0" borderId="3" xfId="0" applyNumberFormat="1" applyFont="1" applyBorder="1" applyAlignment="1">
      <alignment horizontal="center" vertical="center"/>
    </xf>
    <xf numFmtId="41" fontId="25" fillId="0" borderId="63" xfId="0" applyNumberFormat="1" applyFont="1" applyBorder="1" applyAlignment="1">
      <alignment horizontal="center" vertical="center"/>
    </xf>
    <xf numFmtId="3" fontId="28" fillId="0" borderId="44" xfId="0" quotePrefix="1" applyNumberFormat="1" applyFont="1" applyBorder="1" applyAlignment="1">
      <alignment horizontal="right" vertical="center" indent="2"/>
    </xf>
    <xf numFmtId="3" fontId="28" fillId="0" borderId="8" xfId="0" quotePrefix="1" applyNumberFormat="1" applyFont="1" applyBorder="1" applyAlignment="1">
      <alignment horizontal="right" vertical="center" indent="2"/>
    </xf>
    <xf numFmtId="3" fontId="28" fillId="0" borderId="12" xfId="0" quotePrefix="1" applyNumberFormat="1" applyFont="1" applyBorder="1" applyAlignment="1">
      <alignment horizontal="right" vertical="center" indent="2"/>
    </xf>
    <xf numFmtId="3" fontId="28" fillId="0" borderId="42" xfId="0" quotePrefix="1" applyNumberFormat="1" applyFont="1" applyBorder="1" applyAlignment="1">
      <alignment horizontal="right" vertical="center" indent="2"/>
    </xf>
    <xf numFmtId="3" fontId="28" fillId="0" borderId="3" xfId="0" quotePrefix="1" applyNumberFormat="1" applyFont="1" applyBorder="1" applyAlignment="1">
      <alignment horizontal="right" vertical="center" indent="2"/>
    </xf>
    <xf numFmtId="3" fontId="28" fillId="0" borderId="40" xfId="0" quotePrefix="1" applyNumberFormat="1" applyFont="1" applyBorder="1" applyAlignment="1">
      <alignment horizontal="right" vertical="center" indent="2"/>
    </xf>
    <xf numFmtId="41" fontId="25" fillId="0" borderId="75" xfId="1" applyFont="1" applyBorder="1" applyAlignment="1">
      <alignment horizontal="center" vertical="center"/>
    </xf>
    <xf numFmtId="41" fontId="25" fillId="0" borderId="76" xfId="1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top"/>
    </xf>
    <xf numFmtId="0" fontId="25" fillId="0" borderId="73" xfId="0" applyFont="1" applyBorder="1" applyAlignment="1">
      <alignment horizontal="center" vertical="top"/>
    </xf>
    <xf numFmtId="41" fontId="25" fillId="0" borderId="32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3" fontId="25" fillId="0" borderId="28" xfId="0" quotePrefix="1" applyNumberFormat="1" applyFont="1" applyBorder="1" applyAlignment="1">
      <alignment horizontal="center" vertical="top"/>
    </xf>
    <xf numFmtId="3" fontId="25" fillId="0" borderId="29" xfId="0" quotePrefix="1" applyNumberFormat="1" applyFont="1" applyBorder="1" applyAlignment="1">
      <alignment horizontal="center" vertical="top"/>
    </xf>
    <xf numFmtId="41" fontId="25" fillId="0" borderId="29" xfId="1" applyFont="1" applyBorder="1" applyAlignment="1">
      <alignment horizontal="center" vertical="top"/>
    </xf>
    <xf numFmtId="41" fontId="25" fillId="0" borderId="30" xfId="1" applyFont="1" applyBorder="1" applyAlignment="1">
      <alignment horizontal="center" vertical="top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8" fillId="12" borderId="3" xfId="0" applyFont="1" applyFill="1" applyBorder="1" applyAlignment="1">
      <alignment horizontal="center" vertical="center"/>
    </xf>
    <xf numFmtId="0" fontId="28" fillId="6" borderId="75" xfId="0" applyFont="1" applyFill="1" applyBorder="1" applyAlignment="1">
      <alignment horizontal="center" vertical="center"/>
    </xf>
    <xf numFmtId="0" fontId="28" fillId="6" borderId="77" xfId="0" applyFont="1" applyFill="1" applyBorder="1" applyAlignment="1">
      <alignment horizontal="center" vertical="center"/>
    </xf>
    <xf numFmtId="0" fontId="28" fillId="6" borderId="74" xfId="0" applyFont="1" applyFill="1" applyBorder="1" applyAlignment="1">
      <alignment horizontal="center" vertical="center"/>
    </xf>
    <xf numFmtId="0" fontId="28" fillId="6" borderId="76" xfId="0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top" wrapText="1"/>
    </xf>
    <xf numFmtId="0" fontId="5" fillId="4" borderId="36" xfId="2" applyFont="1" applyFill="1" applyBorder="1" applyAlignment="1">
      <alignment horizontal="center" vertical="top" textRotation="255" wrapText="1" indent="1"/>
    </xf>
    <xf numFmtId="0" fontId="5" fillId="4" borderId="0" xfId="2" applyFont="1" applyFill="1" applyBorder="1" applyAlignment="1">
      <alignment horizontal="center" vertical="top" textRotation="255" wrapText="1" indent="1"/>
    </xf>
    <xf numFmtId="0" fontId="5" fillId="4" borderId="19" xfId="2" applyFont="1" applyFill="1" applyBorder="1" applyAlignment="1">
      <alignment horizontal="center" vertical="top" textRotation="255" wrapText="1" indent="1"/>
    </xf>
    <xf numFmtId="0" fontId="5" fillId="4" borderId="86" xfId="2" applyFont="1" applyFill="1" applyBorder="1" applyAlignment="1">
      <alignment horizontal="center" vertical="top" textRotation="255" wrapText="1" indent="1"/>
    </xf>
    <xf numFmtId="0" fontId="4" fillId="4" borderId="10" xfId="2" applyFont="1" applyFill="1" applyBorder="1" applyAlignment="1">
      <alignment horizontal="center" vertical="top" textRotation="255" wrapText="1" indent="1"/>
    </xf>
    <xf numFmtId="0" fontId="4" fillId="4" borderId="10" xfId="2" applyFont="1" applyFill="1" applyBorder="1" applyAlignment="1">
      <alignment horizontal="center" textRotation="255" wrapText="1"/>
    </xf>
    <xf numFmtId="0" fontId="13" fillId="4" borderId="16" xfId="2" applyFont="1" applyFill="1" applyBorder="1" applyAlignment="1">
      <alignment vertical="center" wrapText="1"/>
    </xf>
    <xf numFmtId="0" fontId="13" fillId="4" borderId="19" xfId="2" applyFont="1" applyFill="1" applyBorder="1" applyAlignment="1">
      <alignment horizontal="center" vertical="top" textRotation="255" wrapText="1" indent="1"/>
    </xf>
    <xf numFmtId="0" fontId="13" fillId="4" borderId="1" xfId="2" applyFont="1" applyFill="1" applyBorder="1" applyAlignment="1">
      <alignment horizontal="center" vertical="top" textRotation="255" wrapText="1" indent="1"/>
    </xf>
    <xf numFmtId="0" fontId="4" fillId="4" borderId="19" xfId="2" applyFont="1" applyFill="1" applyBorder="1" applyAlignment="1">
      <alignment horizontal="center" vertical="top" textRotation="255" wrapText="1" indent="1"/>
    </xf>
    <xf numFmtId="0" fontId="5" fillId="4" borderId="1" xfId="2" applyFont="1" applyFill="1" applyBorder="1" applyAlignment="1">
      <alignment horizontal="center" vertical="top" textRotation="255" wrapText="1" indent="1"/>
    </xf>
    <xf numFmtId="0" fontId="4" fillId="4" borderId="1" xfId="2" applyFont="1" applyFill="1" applyBorder="1" applyAlignment="1">
      <alignment horizontal="center" vertical="top" textRotation="255" wrapText="1" indent="1"/>
    </xf>
  </cellXfs>
  <cellStyles count="3">
    <cellStyle name="쉼표 [0]" xfId="1" builtinId="6"/>
    <cellStyle name="표준" xfId="0" builtinId="0"/>
    <cellStyle name="표준_2006석재장묘전입금내역-김현철" xfId="2" xr:uid="{FA1AE986-7872-40E2-963C-846A9D0E9ED5}"/>
  </cellStyles>
  <dxfs count="14"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0E88-F02A-422E-BF27-FFBEAD3A0FD1}">
  <sheetPr>
    <pageSetUpPr fitToPage="1"/>
  </sheetPr>
  <dimension ref="A1:NV665"/>
  <sheetViews>
    <sheetView tabSelected="1" zoomScale="40" zoomScaleNormal="40" zoomScaleSheetLayoutView="75" workbookViewId="0">
      <pane xSplit="8" ySplit="12" topLeftCell="I13" activePane="bottomRight" state="frozen"/>
      <selection pane="topRight" activeCell="I1" sqref="I1"/>
      <selection pane="bottomLeft" activeCell="A11" sqref="A11"/>
      <selection pane="bottomRight" activeCell="AI16" sqref="AI16"/>
    </sheetView>
  </sheetViews>
  <sheetFormatPr defaultRowHeight="20.100000000000001" customHeight="1" x14ac:dyDescent="0.35"/>
  <cols>
    <col min="1" max="1" width="4.44140625" style="1" customWidth="1"/>
    <col min="2" max="2" width="6.6640625" style="2" customWidth="1"/>
    <col min="3" max="3" width="22.21875" style="3" customWidth="1"/>
    <col min="4" max="5" width="5.5546875" style="2" hidden="1" customWidth="1"/>
    <col min="6" max="6" width="11.109375" style="4" hidden="1" customWidth="1"/>
    <col min="7" max="8" width="9.77734375" style="5" hidden="1" customWidth="1"/>
    <col min="9" max="42" width="8.88671875" style="6" customWidth="1"/>
    <col min="43" max="43" width="8.88671875" style="7" customWidth="1"/>
    <col min="44" max="44" width="8.88671875" style="304" customWidth="1"/>
    <col min="45" max="48" width="8.88671875" style="7" customWidth="1"/>
    <col min="49" max="49" width="8.88671875" style="304" customWidth="1"/>
    <col min="50" max="52" width="8.88671875" style="7" customWidth="1"/>
    <col min="53" max="105" width="8.88671875" style="304" customWidth="1"/>
    <col min="106" max="147" width="8.88671875" style="8" customWidth="1"/>
    <col min="148" max="166" width="8.88671875" style="6" customWidth="1"/>
    <col min="167" max="169" width="8.88671875" style="9" customWidth="1"/>
    <col min="170" max="243" width="8.88671875" style="6" customWidth="1"/>
    <col min="244" max="244" width="22.21875" style="6" customWidth="1"/>
    <col min="245" max="246" width="13.44140625" style="6" customWidth="1"/>
    <col min="247" max="247" width="22.21875" style="19" customWidth="1"/>
    <col min="248" max="249" width="13.77734375" style="6" customWidth="1"/>
    <col min="250" max="397" width="8.88671875" style="6"/>
    <col min="398" max="398" width="4.44140625" style="6" customWidth="1"/>
    <col min="399" max="399" width="6.6640625" style="6" customWidth="1"/>
    <col min="400" max="400" width="22.21875" style="6" customWidth="1"/>
    <col min="401" max="402" width="5.5546875" style="6" customWidth="1"/>
    <col min="403" max="403" width="11.109375" style="6" customWidth="1"/>
    <col min="404" max="499" width="8.88671875" style="6"/>
    <col min="500" max="500" width="22.21875" style="6" customWidth="1"/>
    <col min="501" max="502" width="13.44140625" style="6" customWidth="1"/>
    <col min="503" max="503" width="22.21875" style="6" customWidth="1"/>
    <col min="504" max="653" width="8.88671875" style="6"/>
    <col min="654" max="654" width="4.44140625" style="6" customWidth="1"/>
    <col min="655" max="655" width="6.6640625" style="6" customWidth="1"/>
    <col min="656" max="656" width="22.21875" style="6" customWidth="1"/>
    <col min="657" max="658" width="5.5546875" style="6" customWidth="1"/>
    <col min="659" max="659" width="11.109375" style="6" customWidth="1"/>
    <col min="660" max="755" width="8.88671875" style="6"/>
    <col min="756" max="756" width="22.21875" style="6" customWidth="1"/>
    <col min="757" max="758" width="13.44140625" style="6" customWidth="1"/>
    <col min="759" max="759" width="22.21875" style="6" customWidth="1"/>
    <col min="760" max="909" width="8.88671875" style="6"/>
    <col min="910" max="910" width="4.44140625" style="6" customWidth="1"/>
    <col min="911" max="911" width="6.6640625" style="6" customWidth="1"/>
    <col min="912" max="912" width="22.21875" style="6" customWidth="1"/>
    <col min="913" max="914" width="5.5546875" style="6" customWidth="1"/>
    <col min="915" max="915" width="11.109375" style="6" customWidth="1"/>
    <col min="916" max="1011" width="8.88671875" style="6"/>
    <col min="1012" max="1012" width="22.21875" style="6" customWidth="1"/>
    <col min="1013" max="1014" width="13.44140625" style="6" customWidth="1"/>
    <col min="1015" max="1015" width="22.21875" style="6" customWidth="1"/>
    <col min="1016" max="1165" width="8.88671875" style="6"/>
    <col min="1166" max="1166" width="4.44140625" style="6" customWidth="1"/>
    <col min="1167" max="1167" width="6.6640625" style="6" customWidth="1"/>
    <col min="1168" max="1168" width="22.21875" style="6" customWidth="1"/>
    <col min="1169" max="1170" width="5.5546875" style="6" customWidth="1"/>
    <col min="1171" max="1171" width="11.109375" style="6" customWidth="1"/>
    <col min="1172" max="1267" width="8.88671875" style="6"/>
    <col min="1268" max="1268" width="22.21875" style="6" customWidth="1"/>
    <col min="1269" max="1270" width="13.44140625" style="6" customWidth="1"/>
    <col min="1271" max="1271" width="22.21875" style="6" customWidth="1"/>
    <col min="1272" max="1421" width="8.88671875" style="6"/>
    <col min="1422" max="1422" width="4.44140625" style="6" customWidth="1"/>
    <col min="1423" max="1423" width="6.6640625" style="6" customWidth="1"/>
    <col min="1424" max="1424" width="22.21875" style="6" customWidth="1"/>
    <col min="1425" max="1426" width="5.5546875" style="6" customWidth="1"/>
    <col min="1427" max="1427" width="11.109375" style="6" customWidth="1"/>
    <col min="1428" max="1523" width="8.88671875" style="6"/>
    <col min="1524" max="1524" width="22.21875" style="6" customWidth="1"/>
    <col min="1525" max="1526" width="13.44140625" style="6" customWidth="1"/>
    <col min="1527" max="1527" width="22.21875" style="6" customWidth="1"/>
    <col min="1528" max="1677" width="8.88671875" style="6"/>
    <col min="1678" max="1678" width="4.44140625" style="6" customWidth="1"/>
    <col min="1679" max="1679" width="6.6640625" style="6" customWidth="1"/>
    <col min="1680" max="1680" width="22.21875" style="6" customWidth="1"/>
    <col min="1681" max="1682" width="5.5546875" style="6" customWidth="1"/>
    <col min="1683" max="1683" width="11.109375" style="6" customWidth="1"/>
    <col min="1684" max="1779" width="8.88671875" style="6"/>
    <col min="1780" max="1780" width="22.21875" style="6" customWidth="1"/>
    <col min="1781" max="1782" width="13.44140625" style="6" customWidth="1"/>
    <col min="1783" max="1783" width="22.21875" style="6" customWidth="1"/>
    <col min="1784" max="1933" width="8.88671875" style="6"/>
    <col min="1934" max="1934" width="4.44140625" style="6" customWidth="1"/>
    <col min="1935" max="1935" width="6.6640625" style="6" customWidth="1"/>
    <col min="1936" max="1936" width="22.21875" style="6" customWidth="1"/>
    <col min="1937" max="1938" width="5.5546875" style="6" customWidth="1"/>
    <col min="1939" max="1939" width="11.109375" style="6" customWidth="1"/>
    <col min="1940" max="2035" width="8.88671875" style="6"/>
    <col min="2036" max="2036" width="22.21875" style="6" customWidth="1"/>
    <col min="2037" max="2038" width="13.44140625" style="6" customWidth="1"/>
    <col min="2039" max="2039" width="22.21875" style="6" customWidth="1"/>
    <col min="2040" max="2189" width="8.88671875" style="6"/>
    <col min="2190" max="2190" width="4.44140625" style="6" customWidth="1"/>
    <col min="2191" max="2191" width="6.6640625" style="6" customWidth="1"/>
    <col min="2192" max="2192" width="22.21875" style="6" customWidth="1"/>
    <col min="2193" max="2194" width="5.5546875" style="6" customWidth="1"/>
    <col min="2195" max="2195" width="11.109375" style="6" customWidth="1"/>
    <col min="2196" max="2291" width="8.88671875" style="6"/>
    <col min="2292" max="2292" width="22.21875" style="6" customWidth="1"/>
    <col min="2293" max="2294" width="13.44140625" style="6" customWidth="1"/>
    <col min="2295" max="2295" width="22.21875" style="6" customWidth="1"/>
    <col min="2296" max="2445" width="8.88671875" style="6"/>
    <col min="2446" max="2446" width="4.44140625" style="6" customWidth="1"/>
    <col min="2447" max="2447" width="6.6640625" style="6" customWidth="1"/>
    <col min="2448" max="2448" width="22.21875" style="6" customWidth="1"/>
    <col min="2449" max="2450" width="5.5546875" style="6" customWidth="1"/>
    <col min="2451" max="2451" width="11.109375" style="6" customWidth="1"/>
    <col min="2452" max="2547" width="8.88671875" style="6"/>
    <col min="2548" max="2548" width="22.21875" style="6" customWidth="1"/>
    <col min="2549" max="2550" width="13.44140625" style="6" customWidth="1"/>
    <col min="2551" max="2551" width="22.21875" style="6" customWidth="1"/>
    <col min="2552" max="2701" width="8.88671875" style="6"/>
    <col min="2702" max="2702" width="4.44140625" style="6" customWidth="1"/>
    <col min="2703" max="2703" width="6.6640625" style="6" customWidth="1"/>
    <col min="2704" max="2704" width="22.21875" style="6" customWidth="1"/>
    <col min="2705" max="2706" width="5.5546875" style="6" customWidth="1"/>
    <col min="2707" max="2707" width="11.109375" style="6" customWidth="1"/>
    <col min="2708" max="2803" width="8.88671875" style="6"/>
    <col min="2804" max="2804" width="22.21875" style="6" customWidth="1"/>
    <col min="2805" max="2806" width="13.44140625" style="6" customWidth="1"/>
    <col min="2807" max="2807" width="22.21875" style="6" customWidth="1"/>
    <col min="2808" max="2957" width="8.88671875" style="6"/>
    <col min="2958" max="2958" width="4.44140625" style="6" customWidth="1"/>
    <col min="2959" max="2959" width="6.6640625" style="6" customWidth="1"/>
    <col min="2960" max="2960" width="22.21875" style="6" customWidth="1"/>
    <col min="2961" max="2962" width="5.5546875" style="6" customWidth="1"/>
    <col min="2963" max="2963" width="11.109375" style="6" customWidth="1"/>
    <col min="2964" max="3059" width="8.88671875" style="6"/>
    <col min="3060" max="3060" width="22.21875" style="6" customWidth="1"/>
    <col min="3061" max="3062" width="13.44140625" style="6" customWidth="1"/>
    <col min="3063" max="3063" width="22.21875" style="6" customWidth="1"/>
    <col min="3064" max="3213" width="8.88671875" style="6"/>
    <col min="3214" max="3214" width="4.44140625" style="6" customWidth="1"/>
    <col min="3215" max="3215" width="6.6640625" style="6" customWidth="1"/>
    <col min="3216" max="3216" width="22.21875" style="6" customWidth="1"/>
    <col min="3217" max="3218" width="5.5546875" style="6" customWidth="1"/>
    <col min="3219" max="3219" width="11.109375" style="6" customWidth="1"/>
    <col min="3220" max="3315" width="8.88671875" style="6"/>
    <col min="3316" max="3316" width="22.21875" style="6" customWidth="1"/>
    <col min="3317" max="3318" width="13.44140625" style="6" customWidth="1"/>
    <col min="3319" max="3319" width="22.21875" style="6" customWidth="1"/>
    <col min="3320" max="3469" width="8.88671875" style="6"/>
    <col min="3470" max="3470" width="4.44140625" style="6" customWidth="1"/>
    <col min="3471" max="3471" width="6.6640625" style="6" customWidth="1"/>
    <col min="3472" max="3472" width="22.21875" style="6" customWidth="1"/>
    <col min="3473" max="3474" width="5.5546875" style="6" customWidth="1"/>
    <col min="3475" max="3475" width="11.109375" style="6" customWidth="1"/>
    <col min="3476" max="3571" width="8.88671875" style="6"/>
    <col min="3572" max="3572" width="22.21875" style="6" customWidth="1"/>
    <col min="3573" max="3574" width="13.44140625" style="6" customWidth="1"/>
    <col min="3575" max="3575" width="22.21875" style="6" customWidth="1"/>
    <col min="3576" max="3725" width="8.88671875" style="6"/>
    <col min="3726" max="3726" width="4.44140625" style="6" customWidth="1"/>
    <col min="3727" max="3727" width="6.6640625" style="6" customWidth="1"/>
    <col min="3728" max="3728" width="22.21875" style="6" customWidth="1"/>
    <col min="3729" max="3730" width="5.5546875" style="6" customWidth="1"/>
    <col min="3731" max="3731" width="11.109375" style="6" customWidth="1"/>
    <col min="3732" max="3827" width="8.88671875" style="6"/>
    <col min="3828" max="3828" width="22.21875" style="6" customWidth="1"/>
    <col min="3829" max="3830" width="13.44140625" style="6" customWidth="1"/>
    <col min="3831" max="3831" width="22.21875" style="6" customWidth="1"/>
    <col min="3832" max="3981" width="8.88671875" style="6"/>
    <col min="3982" max="3982" width="4.44140625" style="6" customWidth="1"/>
    <col min="3983" max="3983" width="6.6640625" style="6" customWidth="1"/>
    <col min="3984" max="3984" width="22.21875" style="6" customWidth="1"/>
    <col min="3985" max="3986" width="5.5546875" style="6" customWidth="1"/>
    <col min="3987" max="3987" width="11.109375" style="6" customWidth="1"/>
    <col min="3988" max="4083" width="8.88671875" style="6"/>
    <col min="4084" max="4084" width="22.21875" style="6" customWidth="1"/>
    <col min="4085" max="4086" width="13.44140625" style="6" customWidth="1"/>
    <col min="4087" max="4087" width="22.21875" style="6" customWidth="1"/>
    <col min="4088" max="4237" width="8.88671875" style="6"/>
    <col min="4238" max="4238" width="4.44140625" style="6" customWidth="1"/>
    <col min="4239" max="4239" width="6.6640625" style="6" customWidth="1"/>
    <col min="4240" max="4240" width="22.21875" style="6" customWidth="1"/>
    <col min="4241" max="4242" width="5.5546875" style="6" customWidth="1"/>
    <col min="4243" max="4243" width="11.109375" style="6" customWidth="1"/>
    <col min="4244" max="4339" width="8.88671875" style="6"/>
    <col min="4340" max="4340" width="22.21875" style="6" customWidth="1"/>
    <col min="4341" max="4342" width="13.44140625" style="6" customWidth="1"/>
    <col min="4343" max="4343" width="22.21875" style="6" customWidth="1"/>
    <col min="4344" max="4493" width="8.88671875" style="6"/>
    <col min="4494" max="4494" width="4.44140625" style="6" customWidth="1"/>
    <col min="4495" max="4495" width="6.6640625" style="6" customWidth="1"/>
    <col min="4496" max="4496" width="22.21875" style="6" customWidth="1"/>
    <col min="4497" max="4498" width="5.5546875" style="6" customWidth="1"/>
    <col min="4499" max="4499" width="11.109375" style="6" customWidth="1"/>
    <col min="4500" max="4595" width="8.88671875" style="6"/>
    <col min="4596" max="4596" width="22.21875" style="6" customWidth="1"/>
    <col min="4597" max="4598" width="13.44140625" style="6" customWidth="1"/>
    <col min="4599" max="4599" width="22.21875" style="6" customWidth="1"/>
    <col min="4600" max="4749" width="8.88671875" style="6"/>
    <col min="4750" max="4750" width="4.44140625" style="6" customWidth="1"/>
    <col min="4751" max="4751" width="6.6640625" style="6" customWidth="1"/>
    <col min="4752" max="4752" width="22.21875" style="6" customWidth="1"/>
    <col min="4753" max="4754" width="5.5546875" style="6" customWidth="1"/>
    <col min="4755" max="4755" width="11.109375" style="6" customWidth="1"/>
    <col min="4756" max="4851" width="8.88671875" style="6"/>
    <col min="4852" max="4852" width="22.21875" style="6" customWidth="1"/>
    <col min="4853" max="4854" width="13.44140625" style="6" customWidth="1"/>
    <col min="4855" max="4855" width="22.21875" style="6" customWidth="1"/>
    <col min="4856" max="5005" width="8.88671875" style="6"/>
    <col min="5006" max="5006" width="4.44140625" style="6" customWidth="1"/>
    <col min="5007" max="5007" width="6.6640625" style="6" customWidth="1"/>
    <col min="5008" max="5008" width="22.21875" style="6" customWidth="1"/>
    <col min="5009" max="5010" width="5.5546875" style="6" customWidth="1"/>
    <col min="5011" max="5011" width="11.109375" style="6" customWidth="1"/>
    <col min="5012" max="5107" width="8.88671875" style="6"/>
    <col min="5108" max="5108" width="22.21875" style="6" customWidth="1"/>
    <col min="5109" max="5110" width="13.44140625" style="6" customWidth="1"/>
    <col min="5111" max="5111" width="22.21875" style="6" customWidth="1"/>
    <col min="5112" max="5261" width="8.88671875" style="6"/>
    <col min="5262" max="5262" width="4.44140625" style="6" customWidth="1"/>
    <col min="5263" max="5263" width="6.6640625" style="6" customWidth="1"/>
    <col min="5264" max="5264" width="22.21875" style="6" customWidth="1"/>
    <col min="5265" max="5266" width="5.5546875" style="6" customWidth="1"/>
    <col min="5267" max="5267" width="11.109375" style="6" customWidth="1"/>
    <col min="5268" max="5363" width="8.88671875" style="6"/>
    <col min="5364" max="5364" width="22.21875" style="6" customWidth="1"/>
    <col min="5365" max="5366" width="13.44140625" style="6" customWidth="1"/>
    <col min="5367" max="5367" width="22.21875" style="6" customWidth="1"/>
    <col min="5368" max="5517" width="8.88671875" style="6"/>
    <col min="5518" max="5518" width="4.44140625" style="6" customWidth="1"/>
    <col min="5519" max="5519" width="6.6640625" style="6" customWidth="1"/>
    <col min="5520" max="5520" width="22.21875" style="6" customWidth="1"/>
    <col min="5521" max="5522" width="5.5546875" style="6" customWidth="1"/>
    <col min="5523" max="5523" width="11.109375" style="6" customWidth="1"/>
    <col min="5524" max="5619" width="8.88671875" style="6"/>
    <col min="5620" max="5620" width="22.21875" style="6" customWidth="1"/>
    <col min="5621" max="5622" width="13.44140625" style="6" customWidth="1"/>
    <col min="5623" max="5623" width="22.21875" style="6" customWidth="1"/>
    <col min="5624" max="5773" width="8.88671875" style="6"/>
    <col min="5774" max="5774" width="4.44140625" style="6" customWidth="1"/>
    <col min="5775" max="5775" width="6.6640625" style="6" customWidth="1"/>
    <col min="5776" max="5776" width="22.21875" style="6" customWidth="1"/>
    <col min="5777" max="5778" width="5.5546875" style="6" customWidth="1"/>
    <col min="5779" max="5779" width="11.109375" style="6" customWidth="1"/>
    <col min="5780" max="5875" width="8.88671875" style="6"/>
    <col min="5876" max="5876" width="22.21875" style="6" customWidth="1"/>
    <col min="5877" max="5878" width="13.44140625" style="6" customWidth="1"/>
    <col min="5879" max="5879" width="22.21875" style="6" customWidth="1"/>
    <col min="5880" max="6029" width="8.88671875" style="6"/>
    <col min="6030" max="6030" width="4.44140625" style="6" customWidth="1"/>
    <col min="6031" max="6031" width="6.6640625" style="6" customWidth="1"/>
    <col min="6032" max="6032" width="22.21875" style="6" customWidth="1"/>
    <col min="6033" max="6034" width="5.5546875" style="6" customWidth="1"/>
    <col min="6035" max="6035" width="11.109375" style="6" customWidth="1"/>
    <col min="6036" max="6131" width="8.88671875" style="6"/>
    <col min="6132" max="6132" width="22.21875" style="6" customWidth="1"/>
    <col min="6133" max="6134" width="13.44140625" style="6" customWidth="1"/>
    <col min="6135" max="6135" width="22.21875" style="6" customWidth="1"/>
    <col min="6136" max="6285" width="8.88671875" style="6"/>
    <col min="6286" max="6286" width="4.44140625" style="6" customWidth="1"/>
    <col min="6287" max="6287" width="6.6640625" style="6" customWidth="1"/>
    <col min="6288" max="6288" width="22.21875" style="6" customWidth="1"/>
    <col min="6289" max="6290" width="5.5546875" style="6" customWidth="1"/>
    <col min="6291" max="6291" width="11.109375" style="6" customWidth="1"/>
    <col min="6292" max="6387" width="8.88671875" style="6"/>
    <col min="6388" max="6388" width="22.21875" style="6" customWidth="1"/>
    <col min="6389" max="6390" width="13.44140625" style="6" customWidth="1"/>
    <col min="6391" max="6391" width="22.21875" style="6" customWidth="1"/>
    <col min="6392" max="6541" width="8.88671875" style="6"/>
    <col min="6542" max="6542" width="4.44140625" style="6" customWidth="1"/>
    <col min="6543" max="6543" width="6.6640625" style="6" customWidth="1"/>
    <col min="6544" max="6544" width="22.21875" style="6" customWidth="1"/>
    <col min="6545" max="6546" width="5.5546875" style="6" customWidth="1"/>
    <col min="6547" max="6547" width="11.109375" style="6" customWidth="1"/>
    <col min="6548" max="6643" width="8.88671875" style="6"/>
    <col min="6644" max="6644" width="22.21875" style="6" customWidth="1"/>
    <col min="6645" max="6646" width="13.44140625" style="6" customWidth="1"/>
    <col min="6647" max="6647" width="22.21875" style="6" customWidth="1"/>
    <col min="6648" max="6797" width="8.88671875" style="6"/>
    <col min="6798" max="6798" width="4.44140625" style="6" customWidth="1"/>
    <col min="6799" max="6799" width="6.6640625" style="6" customWidth="1"/>
    <col min="6800" max="6800" width="22.21875" style="6" customWidth="1"/>
    <col min="6801" max="6802" width="5.5546875" style="6" customWidth="1"/>
    <col min="6803" max="6803" width="11.109375" style="6" customWidth="1"/>
    <col min="6804" max="6899" width="8.88671875" style="6"/>
    <col min="6900" max="6900" width="22.21875" style="6" customWidth="1"/>
    <col min="6901" max="6902" width="13.44140625" style="6" customWidth="1"/>
    <col min="6903" max="6903" width="22.21875" style="6" customWidth="1"/>
    <col min="6904" max="7053" width="8.88671875" style="6"/>
    <col min="7054" max="7054" width="4.44140625" style="6" customWidth="1"/>
    <col min="7055" max="7055" width="6.6640625" style="6" customWidth="1"/>
    <col min="7056" max="7056" width="22.21875" style="6" customWidth="1"/>
    <col min="7057" max="7058" width="5.5546875" style="6" customWidth="1"/>
    <col min="7059" max="7059" width="11.109375" style="6" customWidth="1"/>
    <col min="7060" max="7155" width="8.88671875" style="6"/>
    <col min="7156" max="7156" width="22.21875" style="6" customWidth="1"/>
    <col min="7157" max="7158" width="13.44140625" style="6" customWidth="1"/>
    <col min="7159" max="7159" width="22.21875" style="6" customWidth="1"/>
    <col min="7160" max="7309" width="8.88671875" style="6"/>
    <col min="7310" max="7310" width="4.44140625" style="6" customWidth="1"/>
    <col min="7311" max="7311" width="6.6640625" style="6" customWidth="1"/>
    <col min="7312" max="7312" width="22.21875" style="6" customWidth="1"/>
    <col min="7313" max="7314" width="5.5546875" style="6" customWidth="1"/>
    <col min="7315" max="7315" width="11.109375" style="6" customWidth="1"/>
    <col min="7316" max="7411" width="8.88671875" style="6"/>
    <col min="7412" max="7412" width="22.21875" style="6" customWidth="1"/>
    <col min="7413" max="7414" width="13.44140625" style="6" customWidth="1"/>
    <col min="7415" max="7415" width="22.21875" style="6" customWidth="1"/>
    <col min="7416" max="7565" width="8.88671875" style="6"/>
    <col min="7566" max="7566" width="4.44140625" style="6" customWidth="1"/>
    <col min="7567" max="7567" width="6.6640625" style="6" customWidth="1"/>
    <col min="7568" max="7568" width="22.21875" style="6" customWidth="1"/>
    <col min="7569" max="7570" width="5.5546875" style="6" customWidth="1"/>
    <col min="7571" max="7571" width="11.109375" style="6" customWidth="1"/>
    <col min="7572" max="7667" width="8.88671875" style="6"/>
    <col min="7668" max="7668" width="22.21875" style="6" customWidth="1"/>
    <col min="7669" max="7670" width="13.44140625" style="6" customWidth="1"/>
    <col min="7671" max="7671" width="22.21875" style="6" customWidth="1"/>
    <col min="7672" max="7821" width="8.88671875" style="6"/>
    <col min="7822" max="7822" width="4.44140625" style="6" customWidth="1"/>
    <col min="7823" max="7823" width="6.6640625" style="6" customWidth="1"/>
    <col min="7824" max="7824" width="22.21875" style="6" customWidth="1"/>
    <col min="7825" max="7826" width="5.5546875" style="6" customWidth="1"/>
    <col min="7827" max="7827" width="11.109375" style="6" customWidth="1"/>
    <col min="7828" max="7923" width="8.88671875" style="6"/>
    <col min="7924" max="7924" width="22.21875" style="6" customWidth="1"/>
    <col min="7925" max="7926" width="13.44140625" style="6" customWidth="1"/>
    <col min="7927" max="7927" width="22.21875" style="6" customWidth="1"/>
    <col min="7928" max="8077" width="8.88671875" style="6"/>
    <col min="8078" max="8078" width="4.44140625" style="6" customWidth="1"/>
    <col min="8079" max="8079" width="6.6640625" style="6" customWidth="1"/>
    <col min="8080" max="8080" width="22.21875" style="6" customWidth="1"/>
    <col min="8081" max="8082" width="5.5546875" style="6" customWidth="1"/>
    <col min="8083" max="8083" width="11.109375" style="6" customWidth="1"/>
    <col min="8084" max="8179" width="8.88671875" style="6"/>
    <col min="8180" max="8180" width="22.21875" style="6" customWidth="1"/>
    <col min="8181" max="8182" width="13.44140625" style="6" customWidth="1"/>
    <col min="8183" max="8183" width="22.21875" style="6" customWidth="1"/>
    <col min="8184" max="8333" width="8.88671875" style="6"/>
    <col min="8334" max="8334" width="4.44140625" style="6" customWidth="1"/>
    <col min="8335" max="8335" width="6.6640625" style="6" customWidth="1"/>
    <col min="8336" max="8336" width="22.21875" style="6" customWidth="1"/>
    <col min="8337" max="8338" width="5.5546875" style="6" customWidth="1"/>
    <col min="8339" max="8339" width="11.109375" style="6" customWidth="1"/>
    <col min="8340" max="8435" width="8.88671875" style="6"/>
    <col min="8436" max="8436" width="22.21875" style="6" customWidth="1"/>
    <col min="8437" max="8438" width="13.44140625" style="6" customWidth="1"/>
    <col min="8439" max="8439" width="22.21875" style="6" customWidth="1"/>
    <col min="8440" max="8589" width="8.88671875" style="6"/>
    <col min="8590" max="8590" width="4.44140625" style="6" customWidth="1"/>
    <col min="8591" max="8591" width="6.6640625" style="6" customWidth="1"/>
    <col min="8592" max="8592" width="22.21875" style="6" customWidth="1"/>
    <col min="8593" max="8594" width="5.5546875" style="6" customWidth="1"/>
    <col min="8595" max="8595" width="11.109375" style="6" customWidth="1"/>
    <col min="8596" max="8691" width="8.88671875" style="6"/>
    <col min="8692" max="8692" width="22.21875" style="6" customWidth="1"/>
    <col min="8693" max="8694" width="13.44140625" style="6" customWidth="1"/>
    <col min="8695" max="8695" width="22.21875" style="6" customWidth="1"/>
    <col min="8696" max="8845" width="8.88671875" style="6"/>
    <col min="8846" max="8846" width="4.44140625" style="6" customWidth="1"/>
    <col min="8847" max="8847" width="6.6640625" style="6" customWidth="1"/>
    <col min="8848" max="8848" width="22.21875" style="6" customWidth="1"/>
    <col min="8849" max="8850" width="5.5546875" style="6" customWidth="1"/>
    <col min="8851" max="8851" width="11.109375" style="6" customWidth="1"/>
    <col min="8852" max="8947" width="8.88671875" style="6"/>
    <col min="8948" max="8948" width="22.21875" style="6" customWidth="1"/>
    <col min="8949" max="8950" width="13.44140625" style="6" customWidth="1"/>
    <col min="8951" max="8951" width="22.21875" style="6" customWidth="1"/>
    <col min="8952" max="9101" width="8.88671875" style="6"/>
    <col min="9102" max="9102" width="4.44140625" style="6" customWidth="1"/>
    <col min="9103" max="9103" width="6.6640625" style="6" customWidth="1"/>
    <col min="9104" max="9104" width="22.21875" style="6" customWidth="1"/>
    <col min="9105" max="9106" width="5.5546875" style="6" customWidth="1"/>
    <col min="9107" max="9107" width="11.109375" style="6" customWidth="1"/>
    <col min="9108" max="9203" width="8.88671875" style="6"/>
    <col min="9204" max="9204" width="22.21875" style="6" customWidth="1"/>
    <col min="9205" max="9206" width="13.44140625" style="6" customWidth="1"/>
    <col min="9207" max="9207" width="22.21875" style="6" customWidth="1"/>
    <col min="9208" max="9357" width="8.88671875" style="6"/>
    <col min="9358" max="9358" width="4.44140625" style="6" customWidth="1"/>
    <col min="9359" max="9359" width="6.6640625" style="6" customWidth="1"/>
    <col min="9360" max="9360" width="22.21875" style="6" customWidth="1"/>
    <col min="9361" max="9362" width="5.5546875" style="6" customWidth="1"/>
    <col min="9363" max="9363" width="11.109375" style="6" customWidth="1"/>
    <col min="9364" max="9459" width="8.88671875" style="6"/>
    <col min="9460" max="9460" width="22.21875" style="6" customWidth="1"/>
    <col min="9461" max="9462" width="13.44140625" style="6" customWidth="1"/>
    <col min="9463" max="9463" width="22.21875" style="6" customWidth="1"/>
    <col min="9464" max="9613" width="8.88671875" style="6"/>
    <col min="9614" max="9614" width="4.44140625" style="6" customWidth="1"/>
    <col min="9615" max="9615" width="6.6640625" style="6" customWidth="1"/>
    <col min="9616" max="9616" width="22.21875" style="6" customWidth="1"/>
    <col min="9617" max="9618" width="5.5546875" style="6" customWidth="1"/>
    <col min="9619" max="9619" width="11.109375" style="6" customWidth="1"/>
    <col min="9620" max="9715" width="8.88671875" style="6"/>
    <col min="9716" max="9716" width="22.21875" style="6" customWidth="1"/>
    <col min="9717" max="9718" width="13.44140625" style="6" customWidth="1"/>
    <col min="9719" max="9719" width="22.21875" style="6" customWidth="1"/>
    <col min="9720" max="9869" width="8.88671875" style="6"/>
    <col min="9870" max="9870" width="4.44140625" style="6" customWidth="1"/>
    <col min="9871" max="9871" width="6.6640625" style="6" customWidth="1"/>
    <col min="9872" max="9872" width="22.21875" style="6" customWidth="1"/>
    <col min="9873" max="9874" width="5.5546875" style="6" customWidth="1"/>
    <col min="9875" max="9875" width="11.109375" style="6" customWidth="1"/>
    <col min="9876" max="9971" width="8.88671875" style="6"/>
    <col min="9972" max="9972" width="22.21875" style="6" customWidth="1"/>
    <col min="9973" max="9974" width="13.44140625" style="6" customWidth="1"/>
    <col min="9975" max="9975" width="22.21875" style="6" customWidth="1"/>
    <col min="9976" max="10125" width="8.88671875" style="6"/>
    <col min="10126" max="10126" width="4.44140625" style="6" customWidth="1"/>
    <col min="10127" max="10127" width="6.6640625" style="6" customWidth="1"/>
    <col min="10128" max="10128" width="22.21875" style="6" customWidth="1"/>
    <col min="10129" max="10130" width="5.5546875" style="6" customWidth="1"/>
    <col min="10131" max="10131" width="11.109375" style="6" customWidth="1"/>
    <col min="10132" max="10227" width="8.88671875" style="6"/>
    <col min="10228" max="10228" width="22.21875" style="6" customWidth="1"/>
    <col min="10229" max="10230" width="13.44140625" style="6" customWidth="1"/>
    <col min="10231" max="10231" width="22.21875" style="6" customWidth="1"/>
    <col min="10232" max="10381" width="8.88671875" style="6"/>
    <col min="10382" max="10382" width="4.44140625" style="6" customWidth="1"/>
    <col min="10383" max="10383" width="6.6640625" style="6" customWidth="1"/>
    <col min="10384" max="10384" width="22.21875" style="6" customWidth="1"/>
    <col min="10385" max="10386" width="5.5546875" style="6" customWidth="1"/>
    <col min="10387" max="10387" width="11.109375" style="6" customWidth="1"/>
    <col min="10388" max="10483" width="8.88671875" style="6"/>
    <col min="10484" max="10484" width="22.21875" style="6" customWidth="1"/>
    <col min="10485" max="10486" width="13.44140625" style="6" customWidth="1"/>
    <col min="10487" max="10487" width="22.21875" style="6" customWidth="1"/>
    <col min="10488" max="10637" width="8.88671875" style="6"/>
    <col min="10638" max="10638" width="4.44140625" style="6" customWidth="1"/>
    <col min="10639" max="10639" width="6.6640625" style="6" customWidth="1"/>
    <col min="10640" max="10640" width="22.21875" style="6" customWidth="1"/>
    <col min="10641" max="10642" width="5.5546875" style="6" customWidth="1"/>
    <col min="10643" max="10643" width="11.109375" style="6" customWidth="1"/>
    <col min="10644" max="10739" width="8.88671875" style="6"/>
    <col min="10740" max="10740" width="22.21875" style="6" customWidth="1"/>
    <col min="10741" max="10742" width="13.44140625" style="6" customWidth="1"/>
    <col min="10743" max="10743" width="22.21875" style="6" customWidth="1"/>
    <col min="10744" max="10893" width="8.88671875" style="6"/>
    <col min="10894" max="10894" width="4.44140625" style="6" customWidth="1"/>
    <col min="10895" max="10895" width="6.6640625" style="6" customWidth="1"/>
    <col min="10896" max="10896" width="22.21875" style="6" customWidth="1"/>
    <col min="10897" max="10898" width="5.5546875" style="6" customWidth="1"/>
    <col min="10899" max="10899" width="11.109375" style="6" customWidth="1"/>
    <col min="10900" max="10995" width="8.88671875" style="6"/>
    <col min="10996" max="10996" width="22.21875" style="6" customWidth="1"/>
    <col min="10997" max="10998" width="13.44140625" style="6" customWidth="1"/>
    <col min="10999" max="10999" width="22.21875" style="6" customWidth="1"/>
    <col min="11000" max="11149" width="8.88671875" style="6"/>
    <col min="11150" max="11150" width="4.44140625" style="6" customWidth="1"/>
    <col min="11151" max="11151" width="6.6640625" style="6" customWidth="1"/>
    <col min="11152" max="11152" width="22.21875" style="6" customWidth="1"/>
    <col min="11153" max="11154" width="5.5546875" style="6" customWidth="1"/>
    <col min="11155" max="11155" width="11.109375" style="6" customWidth="1"/>
    <col min="11156" max="11251" width="8.88671875" style="6"/>
    <col min="11252" max="11252" width="22.21875" style="6" customWidth="1"/>
    <col min="11253" max="11254" width="13.44140625" style="6" customWidth="1"/>
    <col min="11255" max="11255" width="22.21875" style="6" customWidth="1"/>
    <col min="11256" max="11405" width="8.88671875" style="6"/>
    <col min="11406" max="11406" width="4.44140625" style="6" customWidth="1"/>
    <col min="11407" max="11407" width="6.6640625" style="6" customWidth="1"/>
    <col min="11408" max="11408" width="22.21875" style="6" customWidth="1"/>
    <col min="11409" max="11410" width="5.5546875" style="6" customWidth="1"/>
    <col min="11411" max="11411" width="11.109375" style="6" customWidth="1"/>
    <col min="11412" max="11507" width="8.88671875" style="6"/>
    <col min="11508" max="11508" width="22.21875" style="6" customWidth="1"/>
    <col min="11509" max="11510" width="13.44140625" style="6" customWidth="1"/>
    <col min="11511" max="11511" width="22.21875" style="6" customWidth="1"/>
    <col min="11512" max="11661" width="8.88671875" style="6"/>
    <col min="11662" max="11662" width="4.44140625" style="6" customWidth="1"/>
    <col min="11663" max="11663" width="6.6640625" style="6" customWidth="1"/>
    <col min="11664" max="11664" width="22.21875" style="6" customWidth="1"/>
    <col min="11665" max="11666" width="5.5546875" style="6" customWidth="1"/>
    <col min="11667" max="11667" width="11.109375" style="6" customWidth="1"/>
    <col min="11668" max="11763" width="8.88671875" style="6"/>
    <col min="11764" max="11764" width="22.21875" style="6" customWidth="1"/>
    <col min="11765" max="11766" width="13.44140625" style="6" customWidth="1"/>
    <col min="11767" max="11767" width="22.21875" style="6" customWidth="1"/>
    <col min="11768" max="11917" width="8.88671875" style="6"/>
    <col min="11918" max="11918" width="4.44140625" style="6" customWidth="1"/>
    <col min="11919" max="11919" width="6.6640625" style="6" customWidth="1"/>
    <col min="11920" max="11920" width="22.21875" style="6" customWidth="1"/>
    <col min="11921" max="11922" width="5.5546875" style="6" customWidth="1"/>
    <col min="11923" max="11923" width="11.109375" style="6" customWidth="1"/>
    <col min="11924" max="12019" width="8.88671875" style="6"/>
    <col min="12020" max="12020" width="22.21875" style="6" customWidth="1"/>
    <col min="12021" max="12022" width="13.44140625" style="6" customWidth="1"/>
    <col min="12023" max="12023" width="22.21875" style="6" customWidth="1"/>
    <col min="12024" max="12173" width="8.88671875" style="6"/>
    <col min="12174" max="12174" width="4.44140625" style="6" customWidth="1"/>
    <col min="12175" max="12175" width="6.6640625" style="6" customWidth="1"/>
    <col min="12176" max="12176" width="22.21875" style="6" customWidth="1"/>
    <col min="12177" max="12178" width="5.5546875" style="6" customWidth="1"/>
    <col min="12179" max="12179" width="11.109375" style="6" customWidth="1"/>
    <col min="12180" max="12275" width="8.88671875" style="6"/>
    <col min="12276" max="12276" width="22.21875" style="6" customWidth="1"/>
    <col min="12277" max="12278" width="13.44140625" style="6" customWidth="1"/>
    <col min="12279" max="12279" width="22.21875" style="6" customWidth="1"/>
    <col min="12280" max="12429" width="8.88671875" style="6"/>
    <col min="12430" max="12430" width="4.44140625" style="6" customWidth="1"/>
    <col min="12431" max="12431" width="6.6640625" style="6" customWidth="1"/>
    <col min="12432" max="12432" width="22.21875" style="6" customWidth="1"/>
    <col min="12433" max="12434" width="5.5546875" style="6" customWidth="1"/>
    <col min="12435" max="12435" width="11.109375" style="6" customWidth="1"/>
    <col min="12436" max="12531" width="8.88671875" style="6"/>
    <col min="12532" max="12532" width="22.21875" style="6" customWidth="1"/>
    <col min="12533" max="12534" width="13.44140625" style="6" customWidth="1"/>
    <col min="12535" max="12535" width="22.21875" style="6" customWidth="1"/>
    <col min="12536" max="12685" width="8.88671875" style="6"/>
    <col min="12686" max="12686" width="4.44140625" style="6" customWidth="1"/>
    <col min="12687" max="12687" width="6.6640625" style="6" customWidth="1"/>
    <col min="12688" max="12688" width="22.21875" style="6" customWidth="1"/>
    <col min="12689" max="12690" width="5.5546875" style="6" customWidth="1"/>
    <col min="12691" max="12691" width="11.109375" style="6" customWidth="1"/>
    <col min="12692" max="12787" width="8.88671875" style="6"/>
    <col min="12788" max="12788" width="22.21875" style="6" customWidth="1"/>
    <col min="12789" max="12790" width="13.44140625" style="6" customWidth="1"/>
    <col min="12791" max="12791" width="22.21875" style="6" customWidth="1"/>
    <col min="12792" max="12941" width="8.88671875" style="6"/>
    <col min="12942" max="12942" width="4.44140625" style="6" customWidth="1"/>
    <col min="12943" max="12943" width="6.6640625" style="6" customWidth="1"/>
    <col min="12944" max="12944" width="22.21875" style="6" customWidth="1"/>
    <col min="12945" max="12946" width="5.5546875" style="6" customWidth="1"/>
    <col min="12947" max="12947" width="11.109375" style="6" customWidth="1"/>
    <col min="12948" max="13043" width="8.88671875" style="6"/>
    <col min="13044" max="13044" width="22.21875" style="6" customWidth="1"/>
    <col min="13045" max="13046" width="13.44140625" style="6" customWidth="1"/>
    <col min="13047" max="13047" width="22.21875" style="6" customWidth="1"/>
    <col min="13048" max="13197" width="8.88671875" style="6"/>
    <col min="13198" max="13198" width="4.44140625" style="6" customWidth="1"/>
    <col min="13199" max="13199" width="6.6640625" style="6" customWidth="1"/>
    <col min="13200" max="13200" width="22.21875" style="6" customWidth="1"/>
    <col min="13201" max="13202" width="5.5546875" style="6" customWidth="1"/>
    <col min="13203" max="13203" width="11.109375" style="6" customWidth="1"/>
    <col min="13204" max="13299" width="8.88671875" style="6"/>
    <col min="13300" max="13300" width="22.21875" style="6" customWidth="1"/>
    <col min="13301" max="13302" width="13.44140625" style="6" customWidth="1"/>
    <col min="13303" max="13303" width="22.21875" style="6" customWidth="1"/>
    <col min="13304" max="13453" width="8.88671875" style="6"/>
    <col min="13454" max="13454" width="4.44140625" style="6" customWidth="1"/>
    <col min="13455" max="13455" width="6.6640625" style="6" customWidth="1"/>
    <col min="13456" max="13456" width="22.21875" style="6" customWidth="1"/>
    <col min="13457" max="13458" width="5.5546875" style="6" customWidth="1"/>
    <col min="13459" max="13459" width="11.109375" style="6" customWidth="1"/>
    <col min="13460" max="13555" width="8.88671875" style="6"/>
    <col min="13556" max="13556" width="22.21875" style="6" customWidth="1"/>
    <col min="13557" max="13558" width="13.44140625" style="6" customWidth="1"/>
    <col min="13559" max="13559" width="22.21875" style="6" customWidth="1"/>
    <col min="13560" max="13709" width="8.88671875" style="6"/>
    <col min="13710" max="13710" width="4.44140625" style="6" customWidth="1"/>
    <col min="13711" max="13711" width="6.6640625" style="6" customWidth="1"/>
    <col min="13712" max="13712" width="22.21875" style="6" customWidth="1"/>
    <col min="13713" max="13714" width="5.5546875" style="6" customWidth="1"/>
    <col min="13715" max="13715" width="11.109375" style="6" customWidth="1"/>
    <col min="13716" max="13811" width="8.88671875" style="6"/>
    <col min="13812" max="13812" width="22.21875" style="6" customWidth="1"/>
    <col min="13813" max="13814" width="13.44140625" style="6" customWidth="1"/>
    <col min="13815" max="13815" width="22.21875" style="6" customWidth="1"/>
    <col min="13816" max="13965" width="8.88671875" style="6"/>
    <col min="13966" max="13966" width="4.44140625" style="6" customWidth="1"/>
    <col min="13967" max="13967" width="6.6640625" style="6" customWidth="1"/>
    <col min="13968" max="13968" width="22.21875" style="6" customWidth="1"/>
    <col min="13969" max="13970" width="5.5546875" style="6" customWidth="1"/>
    <col min="13971" max="13971" width="11.109375" style="6" customWidth="1"/>
    <col min="13972" max="14067" width="8.88671875" style="6"/>
    <col min="14068" max="14068" width="22.21875" style="6" customWidth="1"/>
    <col min="14069" max="14070" width="13.44140625" style="6" customWidth="1"/>
    <col min="14071" max="14071" width="22.21875" style="6" customWidth="1"/>
    <col min="14072" max="14221" width="8.88671875" style="6"/>
    <col min="14222" max="14222" width="4.44140625" style="6" customWidth="1"/>
    <col min="14223" max="14223" width="6.6640625" style="6" customWidth="1"/>
    <col min="14224" max="14224" width="22.21875" style="6" customWidth="1"/>
    <col min="14225" max="14226" width="5.5546875" style="6" customWidth="1"/>
    <col min="14227" max="14227" width="11.109375" style="6" customWidth="1"/>
    <col min="14228" max="14323" width="8.88671875" style="6"/>
    <col min="14324" max="14324" width="22.21875" style="6" customWidth="1"/>
    <col min="14325" max="14326" width="13.44140625" style="6" customWidth="1"/>
    <col min="14327" max="14327" width="22.21875" style="6" customWidth="1"/>
    <col min="14328" max="14477" width="8.88671875" style="6"/>
    <col min="14478" max="14478" width="4.44140625" style="6" customWidth="1"/>
    <col min="14479" max="14479" width="6.6640625" style="6" customWidth="1"/>
    <col min="14480" max="14480" width="22.21875" style="6" customWidth="1"/>
    <col min="14481" max="14482" width="5.5546875" style="6" customWidth="1"/>
    <col min="14483" max="14483" width="11.109375" style="6" customWidth="1"/>
    <col min="14484" max="14579" width="8.88671875" style="6"/>
    <col min="14580" max="14580" width="22.21875" style="6" customWidth="1"/>
    <col min="14581" max="14582" width="13.44140625" style="6" customWidth="1"/>
    <col min="14583" max="14583" width="22.21875" style="6" customWidth="1"/>
    <col min="14584" max="14733" width="8.88671875" style="6"/>
    <col min="14734" max="14734" width="4.44140625" style="6" customWidth="1"/>
    <col min="14735" max="14735" width="6.6640625" style="6" customWidth="1"/>
    <col min="14736" max="14736" width="22.21875" style="6" customWidth="1"/>
    <col min="14737" max="14738" width="5.5546875" style="6" customWidth="1"/>
    <col min="14739" max="14739" width="11.109375" style="6" customWidth="1"/>
    <col min="14740" max="14835" width="8.88671875" style="6"/>
    <col min="14836" max="14836" width="22.21875" style="6" customWidth="1"/>
    <col min="14837" max="14838" width="13.44140625" style="6" customWidth="1"/>
    <col min="14839" max="14839" width="22.21875" style="6" customWidth="1"/>
    <col min="14840" max="14989" width="8.88671875" style="6"/>
    <col min="14990" max="14990" width="4.44140625" style="6" customWidth="1"/>
    <col min="14991" max="14991" width="6.6640625" style="6" customWidth="1"/>
    <col min="14992" max="14992" width="22.21875" style="6" customWidth="1"/>
    <col min="14993" max="14994" width="5.5546875" style="6" customWidth="1"/>
    <col min="14995" max="14995" width="11.109375" style="6" customWidth="1"/>
    <col min="14996" max="15091" width="8.88671875" style="6"/>
    <col min="15092" max="15092" width="22.21875" style="6" customWidth="1"/>
    <col min="15093" max="15094" width="13.44140625" style="6" customWidth="1"/>
    <col min="15095" max="15095" width="22.21875" style="6" customWidth="1"/>
    <col min="15096" max="15245" width="8.88671875" style="6"/>
    <col min="15246" max="15246" width="4.44140625" style="6" customWidth="1"/>
    <col min="15247" max="15247" width="6.6640625" style="6" customWidth="1"/>
    <col min="15248" max="15248" width="22.21875" style="6" customWidth="1"/>
    <col min="15249" max="15250" width="5.5546875" style="6" customWidth="1"/>
    <col min="15251" max="15251" width="11.109375" style="6" customWidth="1"/>
    <col min="15252" max="15347" width="8.88671875" style="6"/>
    <col min="15348" max="15348" width="22.21875" style="6" customWidth="1"/>
    <col min="15349" max="15350" width="13.44140625" style="6" customWidth="1"/>
    <col min="15351" max="15351" width="22.21875" style="6" customWidth="1"/>
    <col min="15352" max="15501" width="8.88671875" style="6"/>
    <col min="15502" max="15502" width="4.44140625" style="6" customWidth="1"/>
    <col min="15503" max="15503" width="6.6640625" style="6" customWidth="1"/>
    <col min="15504" max="15504" width="22.21875" style="6" customWidth="1"/>
    <col min="15505" max="15506" width="5.5546875" style="6" customWidth="1"/>
    <col min="15507" max="15507" width="11.109375" style="6" customWidth="1"/>
    <col min="15508" max="15603" width="8.88671875" style="6"/>
    <col min="15604" max="15604" width="22.21875" style="6" customWidth="1"/>
    <col min="15605" max="15606" width="13.44140625" style="6" customWidth="1"/>
    <col min="15607" max="15607" width="22.21875" style="6" customWidth="1"/>
    <col min="15608" max="15757" width="8.88671875" style="6"/>
    <col min="15758" max="15758" width="4.44140625" style="6" customWidth="1"/>
    <col min="15759" max="15759" width="6.6640625" style="6" customWidth="1"/>
    <col min="15760" max="15760" width="22.21875" style="6" customWidth="1"/>
    <col min="15761" max="15762" width="5.5546875" style="6" customWidth="1"/>
    <col min="15763" max="15763" width="11.109375" style="6" customWidth="1"/>
    <col min="15764" max="15859" width="8.88671875" style="6"/>
    <col min="15860" max="15860" width="22.21875" style="6" customWidth="1"/>
    <col min="15861" max="15862" width="13.44140625" style="6" customWidth="1"/>
    <col min="15863" max="15863" width="22.21875" style="6" customWidth="1"/>
    <col min="15864" max="16013" width="8.88671875" style="6"/>
    <col min="16014" max="16014" width="4.44140625" style="6" customWidth="1"/>
    <col min="16015" max="16015" width="6.6640625" style="6" customWidth="1"/>
    <col min="16016" max="16016" width="22.21875" style="6" customWidth="1"/>
    <col min="16017" max="16018" width="5.5546875" style="6" customWidth="1"/>
    <col min="16019" max="16019" width="11.109375" style="6" customWidth="1"/>
    <col min="16020" max="16115" width="8.88671875" style="6"/>
    <col min="16116" max="16116" width="22.21875" style="6" customWidth="1"/>
    <col min="16117" max="16118" width="13.44140625" style="6" customWidth="1"/>
    <col min="16119" max="16119" width="22.21875" style="6" customWidth="1"/>
    <col min="16120" max="16269" width="8.88671875" style="6"/>
    <col min="16270" max="16270" width="4.44140625" style="6" customWidth="1"/>
    <col min="16271" max="16271" width="6.6640625" style="6" customWidth="1"/>
    <col min="16272" max="16272" width="22.21875" style="6" customWidth="1"/>
    <col min="16273" max="16274" width="5.5546875" style="6" customWidth="1"/>
    <col min="16275" max="16275" width="11.109375" style="6" customWidth="1"/>
    <col min="16276" max="16371" width="8.88671875" style="6"/>
    <col min="16372" max="16372" width="22.21875" style="6" customWidth="1"/>
    <col min="16373" max="16374" width="13.44140625" style="6" customWidth="1"/>
    <col min="16375" max="16375" width="22.21875" style="6" customWidth="1"/>
    <col min="16376" max="16384" width="8.88671875" style="6"/>
  </cols>
  <sheetData>
    <row r="1" spans="1:250" ht="20.100000000000001" customHeight="1" x14ac:dyDescent="0.35">
      <c r="AR1" s="7"/>
      <c r="AW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IG1" s="10"/>
      <c r="IJ1" s="11"/>
      <c r="IK1" s="11"/>
      <c r="IL1" s="11"/>
      <c r="IM1" s="12"/>
      <c r="IN1" s="13"/>
    </row>
    <row r="2" spans="1:250" s="15" customFormat="1" ht="20.100000000000001" customHeight="1" x14ac:dyDescent="0.15">
      <c r="A2" s="14"/>
      <c r="B2" s="2"/>
      <c r="C2" s="3"/>
      <c r="D2" s="2"/>
      <c r="E2" s="2"/>
      <c r="F2" s="4"/>
      <c r="G2" s="5"/>
      <c r="H2" s="5"/>
      <c r="AQ2" s="16"/>
      <c r="AR2" s="17"/>
      <c r="AS2" s="16"/>
      <c r="AT2" s="16"/>
      <c r="AU2" s="16"/>
      <c r="AV2" s="16"/>
      <c r="AW2" s="17"/>
      <c r="AX2" s="16"/>
      <c r="AY2" s="16"/>
      <c r="AZ2" s="16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8"/>
      <c r="BL2" s="18"/>
      <c r="BM2" s="18"/>
      <c r="BN2" s="18"/>
      <c r="BO2" s="18"/>
      <c r="BP2" s="18"/>
      <c r="BQ2" s="18"/>
      <c r="BR2" s="18"/>
      <c r="BS2" s="19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IJ2" s="18"/>
      <c r="IK2" s="18"/>
      <c r="IL2" s="18"/>
      <c r="IM2" s="19"/>
    </row>
    <row r="3" spans="1:250" s="23" customFormat="1" ht="99.95" customHeight="1" x14ac:dyDescent="0.15">
      <c r="A3" s="351" t="s">
        <v>0</v>
      </c>
      <c r="B3" s="352"/>
      <c r="C3" s="352"/>
      <c r="D3" s="352"/>
      <c r="E3" s="352"/>
      <c r="F3" s="353"/>
      <c r="G3" s="2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</row>
    <row r="4" spans="1:250" ht="7.5" customHeight="1" thickBot="1" x14ac:dyDescent="0.4">
      <c r="AR4" s="7"/>
      <c r="AW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IJ4" s="24"/>
      <c r="IK4" s="24"/>
      <c r="IL4" s="24"/>
      <c r="IM4" s="25"/>
    </row>
    <row r="5" spans="1:250" s="31" customFormat="1" ht="50.1" customHeight="1" thickBot="1" x14ac:dyDescent="0.4">
      <c r="A5" s="26"/>
      <c r="B5" s="27"/>
      <c r="C5" s="28"/>
      <c r="D5" s="27"/>
      <c r="E5" s="27"/>
      <c r="F5" s="28"/>
      <c r="G5" s="29"/>
      <c r="H5" s="30"/>
      <c r="I5" s="348" t="s">
        <v>1</v>
      </c>
      <c r="J5" s="349"/>
      <c r="K5" s="350"/>
      <c r="L5" s="348" t="s">
        <v>2</v>
      </c>
      <c r="M5" s="349"/>
      <c r="N5" s="350"/>
      <c r="O5" s="348" t="s">
        <v>3</v>
      </c>
      <c r="P5" s="349"/>
      <c r="Q5" s="350"/>
      <c r="R5" s="348" t="s">
        <v>4</v>
      </c>
      <c r="S5" s="349"/>
      <c r="T5" s="349"/>
      <c r="U5" s="350"/>
      <c r="V5" s="348" t="s">
        <v>5</v>
      </c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50"/>
      <c r="AQ5" s="348" t="s">
        <v>6</v>
      </c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  <c r="BF5" s="349"/>
      <c r="BG5" s="349"/>
      <c r="BH5" s="349"/>
      <c r="BI5" s="350"/>
      <c r="BJ5" s="348" t="s">
        <v>7</v>
      </c>
      <c r="BK5" s="349"/>
      <c r="BL5" s="349"/>
      <c r="BM5" s="349"/>
      <c r="BN5" s="349"/>
      <c r="BO5" s="349"/>
      <c r="BP5" s="349"/>
      <c r="BQ5" s="349"/>
      <c r="BR5" s="350"/>
      <c r="BS5" s="348" t="s">
        <v>8</v>
      </c>
      <c r="BT5" s="349"/>
      <c r="BU5" s="349"/>
      <c r="BV5" s="349"/>
      <c r="BW5" s="349"/>
      <c r="BX5" s="349"/>
      <c r="BY5" s="349"/>
      <c r="BZ5" s="349"/>
      <c r="CA5" s="349"/>
      <c r="CB5" s="349"/>
      <c r="CC5" s="349"/>
      <c r="CD5" s="349"/>
      <c r="CE5" s="349"/>
      <c r="CF5" s="349"/>
      <c r="CG5" s="349"/>
      <c r="CH5" s="349"/>
      <c r="CI5" s="349"/>
      <c r="CJ5" s="349"/>
      <c r="CK5" s="349"/>
      <c r="CL5" s="349"/>
      <c r="CM5" s="349"/>
      <c r="CN5" s="349"/>
      <c r="CO5" s="349"/>
      <c r="CP5" s="349"/>
      <c r="CQ5" s="349"/>
      <c r="CR5" s="349"/>
      <c r="CS5" s="349"/>
      <c r="CT5" s="349"/>
      <c r="CU5" s="349"/>
      <c r="CV5" s="349"/>
      <c r="CW5" s="349"/>
      <c r="CX5" s="350"/>
      <c r="CY5" s="348" t="s">
        <v>9</v>
      </c>
      <c r="CZ5" s="349"/>
      <c r="DA5" s="349"/>
      <c r="DB5" s="349"/>
      <c r="DC5" s="349"/>
      <c r="DD5" s="349"/>
      <c r="DE5" s="349"/>
      <c r="DF5" s="349"/>
      <c r="DG5" s="349"/>
      <c r="DH5" s="349"/>
      <c r="DI5" s="349"/>
      <c r="DJ5" s="349"/>
      <c r="DK5" s="349"/>
      <c r="DL5" s="349"/>
      <c r="DM5" s="349"/>
      <c r="DN5" s="349"/>
      <c r="DO5" s="349"/>
      <c r="DP5" s="349"/>
      <c r="DQ5" s="349"/>
      <c r="DR5" s="349"/>
      <c r="DS5" s="349"/>
      <c r="DT5" s="349"/>
      <c r="DU5" s="349"/>
      <c r="DV5" s="349"/>
      <c r="DW5" s="349"/>
      <c r="DX5" s="349"/>
      <c r="DY5" s="349"/>
      <c r="DZ5" s="349"/>
      <c r="EA5" s="349"/>
      <c r="EB5" s="349"/>
      <c r="EC5" s="349"/>
      <c r="ED5" s="349"/>
      <c r="EE5" s="349"/>
      <c r="EF5" s="349"/>
      <c r="EG5" s="349"/>
      <c r="EH5" s="349"/>
      <c r="EI5" s="349"/>
      <c r="EJ5" s="349"/>
      <c r="EK5" s="349"/>
      <c r="EL5" s="349"/>
      <c r="EM5" s="349"/>
      <c r="EN5" s="349"/>
      <c r="EO5" s="349"/>
      <c r="EP5" s="349"/>
      <c r="EQ5" s="350"/>
      <c r="ER5" s="345" t="s">
        <v>10</v>
      </c>
      <c r="ES5" s="346"/>
      <c r="ET5" s="346"/>
      <c r="EU5" s="346"/>
      <c r="EV5" s="346"/>
      <c r="EW5" s="346"/>
      <c r="EX5" s="346"/>
      <c r="EY5" s="346"/>
      <c r="EZ5" s="346"/>
      <c r="FA5" s="346"/>
      <c r="FB5" s="346"/>
      <c r="FC5" s="346"/>
      <c r="FD5" s="346"/>
      <c r="FE5" s="346"/>
      <c r="FF5" s="346"/>
      <c r="FG5" s="346"/>
      <c r="FH5" s="346"/>
      <c r="FI5" s="346"/>
      <c r="FJ5" s="346"/>
      <c r="FK5" s="346"/>
      <c r="FL5" s="346"/>
      <c r="FM5" s="346"/>
      <c r="FN5" s="346"/>
      <c r="FO5" s="346"/>
      <c r="FP5" s="346"/>
      <c r="FQ5" s="346"/>
      <c r="FR5" s="346"/>
      <c r="FS5" s="346"/>
      <c r="FT5" s="346"/>
      <c r="FU5" s="346"/>
      <c r="FV5" s="346"/>
      <c r="FW5" s="346"/>
      <c r="FX5" s="346"/>
      <c r="FY5" s="346"/>
      <c r="FZ5" s="346"/>
      <c r="GA5" s="346"/>
      <c r="GB5" s="346"/>
      <c r="GC5" s="346"/>
      <c r="GD5" s="346"/>
      <c r="GE5" s="346"/>
      <c r="GF5" s="346"/>
      <c r="GG5" s="346"/>
      <c r="GH5" s="346"/>
      <c r="GI5" s="346"/>
      <c r="GJ5" s="346"/>
      <c r="GK5" s="347"/>
      <c r="GL5" s="348" t="s">
        <v>11</v>
      </c>
      <c r="GM5" s="349"/>
      <c r="GN5" s="349"/>
      <c r="GO5" s="349"/>
      <c r="GP5" s="349"/>
      <c r="GQ5" s="349"/>
      <c r="GR5" s="349"/>
      <c r="GS5" s="349"/>
      <c r="GT5" s="349"/>
      <c r="GU5" s="349"/>
      <c r="GV5" s="349"/>
      <c r="GW5" s="349"/>
      <c r="GX5" s="349"/>
      <c r="GY5" s="349"/>
      <c r="GZ5" s="349"/>
      <c r="HA5" s="349"/>
      <c r="HB5" s="349"/>
      <c r="HC5" s="349"/>
      <c r="HD5" s="349"/>
      <c r="HE5" s="349"/>
      <c r="HF5" s="349"/>
      <c r="HG5" s="349"/>
      <c r="HH5" s="349"/>
      <c r="HI5" s="349"/>
      <c r="HJ5" s="349"/>
      <c r="HK5" s="349"/>
      <c r="HL5" s="349"/>
      <c r="HM5" s="349"/>
      <c r="HN5" s="349"/>
      <c r="HO5" s="349"/>
      <c r="HP5" s="349"/>
      <c r="HQ5" s="349"/>
      <c r="HR5" s="349"/>
      <c r="HS5" s="349"/>
      <c r="HT5" s="349"/>
      <c r="HU5" s="349"/>
      <c r="HV5" s="349"/>
      <c r="HW5" s="349"/>
      <c r="HX5" s="349"/>
      <c r="HY5" s="349"/>
      <c r="HZ5" s="349"/>
      <c r="IA5" s="349"/>
      <c r="IB5" s="349"/>
      <c r="IC5" s="349"/>
      <c r="ID5" s="349"/>
      <c r="IE5" s="349"/>
      <c r="IF5" s="349"/>
      <c r="IG5" s="350"/>
      <c r="IH5" s="348" t="s">
        <v>12</v>
      </c>
      <c r="II5" s="350"/>
      <c r="IJ5" s="366" t="s">
        <v>13</v>
      </c>
      <c r="IK5" s="368" t="s">
        <v>14</v>
      </c>
      <c r="IL5" s="368" t="s">
        <v>15</v>
      </c>
      <c r="IM5" s="370" t="s">
        <v>16</v>
      </c>
    </row>
    <row r="6" spans="1:250" s="42" customFormat="1" ht="225" customHeight="1" x14ac:dyDescent="0.5">
      <c r="A6" s="357" t="s">
        <v>17</v>
      </c>
      <c r="B6" s="360" t="s">
        <v>18</v>
      </c>
      <c r="C6" s="360" t="s">
        <v>19</v>
      </c>
      <c r="D6" s="360" t="s">
        <v>20</v>
      </c>
      <c r="E6" s="360" t="s">
        <v>21</v>
      </c>
      <c r="F6" s="354" t="s">
        <v>22</v>
      </c>
      <c r="G6" s="372" t="s">
        <v>23</v>
      </c>
      <c r="H6" s="374" t="s">
        <v>24</v>
      </c>
      <c r="I6" s="32" t="s">
        <v>25</v>
      </c>
      <c r="J6" s="33" t="s">
        <v>26</v>
      </c>
      <c r="K6" s="34" t="s">
        <v>27</v>
      </c>
      <c r="L6" s="32" t="s">
        <v>25</v>
      </c>
      <c r="M6" s="33" t="s">
        <v>26</v>
      </c>
      <c r="N6" s="34" t="s">
        <v>27</v>
      </c>
      <c r="O6" s="32" t="s">
        <v>25</v>
      </c>
      <c r="P6" s="33" t="s">
        <v>26</v>
      </c>
      <c r="Q6" s="34" t="s">
        <v>27</v>
      </c>
      <c r="R6" s="33" t="s">
        <v>28</v>
      </c>
      <c r="S6" s="33" t="s">
        <v>29</v>
      </c>
      <c r="T6" s="33" t="s">
        <v>30</v>
      </c>
      <c r="U6" s="35" t="s">
        <v>30</v>
      </c>
      <c r="V6" s="447" t="s">
        <v>160</v>
      </c>
      <c r="W6" s="449" t="s">
        <v>31</v>
      </c>
      <c r="X6" s="449" t="s">
        <v>31</v>
      </c>
      <c r="Y6" s="449" t="s">
        <v>31</v>
      </c>
      <c r="Z6" s="449" t="s">
        <v>31</v>
      </c>
      <c r="AA6" s="449" t="s">
        <v>167</v>
      </c>
      <c r="AB6" s="449" t="s">
        <v>168</v>
      </c>
      <c r="AC6" s="449" t="s">
        <v>169</v>
      </c>
      <c r="AD6" s="449" t="s">
        <v>170</v>
      </c>
      <c r="AE6" s="449" t="s">
        <v>174</v>
      </c>
      <c r="AF6" s="449" t="s">
        <v>176</v>
      </c>
      <c r="AG6" s="449" t="s">
        <v>177</v>
      </c>
      <c r="AH6" s="449" t="s">
        <v>178</v>
      </c>
      <c r="AI6" s="449" t="s">
        <v>179</v>
      </c>
      <c r="AJ6" s="448" t="s">
        <v>32</v>
      </c>
      <c r="AK6" s="449" t="s">
        <v>180</v>
      </c>
      <c r="AL6" s="449" t="s">
        <v>181</v>
      </c>
      <c r="AM6" s="449" t="s">
        <v>182</v>
      </c>
      <c r="AN6" s="449" t="s">
        <v>183</v>
      </c>
      <c r="AO6" s="449"/>
      <c r="AP6" s="450"/>
      <c r="AQ6" s="33" t="s">
        <v>33</v>
      </c>
      <c r="AR6" s="36" t="s">
        <v>192</v>
      </c>
      <c r="AS6" s="37" t="s">
        <v>34</v>
      </c>
      <c r="AT6" s="37" t="s">
        <v>34</v>
      </c>
      <c r="AU6" s="37" t="s">
        <v>195</v>
      </c>
      <c r="AV6" s="37" t="s">
        <v>195</v>
      </c>
      <c r="AW6" s="36" t="s">
        <v>197</v>
      </c>
      <c r="AX6" s="36" t="s">
        <v>35</v>
      </c>
      <c r="AY6" s="36" t="s">
        <v>35</v>
      </c>
      <c r="AZ6" s="36" t="s">
        <v>35</v>
      </c>
      <c r="BA6" s="36" t="s">
        <v>201</v>
      </c>
      <c r="BB6" s="36" t="s">
        <v>201</v>
      </c>
      <c r="BC6" s="451" t="s">
        <v>204</v>
      </c>
      <c r="BD6" s="451" t="s">
        <v>204</v>
      </c>
      <c r="BE6" s="452" t="s">
        <v>206</v>
      </c>
      <c r="BF6" s="452" t="s">
        <v>206</v>
      </c>
      <c r="BG6" s="452" t="s">
        <v>206</v>
      </c>
      <c r="BH6" s="36" t="s">
        <v>211</v>
      </c>
      <c r="BI6" s="37"/>
      <c r="BJ6" s="32" t="s">
        <v>36</v>
      </c>
      <c r="BK6" s="37" t="s">
        <v>36</v>
      </c>
      <c r="BL6" s="36" t="s">
        <v>37</v>
      </c>
      <c r="BM6" s="36" t="s">
        <v>37</v>
      </c>
      <c r="BN6" s="36" t="s">
        <v>195</v>
      </c>
      <c r="BO6" s="36" t="s">
        <v>195</v>
      </c>
      <c r="BP6" s="36" t="s">
        <v>214</v>
      </c>
      <c r="BQ6" s="36"/>
      <c r="BR6" s="34"/>
      <c r="BS6" s="454" t="s">
        <v>217</v>
      </c>
      <c r="BT6" s="455" t="s">
        <v>218</v>
      </c>
      <c r="BU6" s="455" t="s">
        <v>219</v>
      </c>
      <c r="BV6" s="454" t="s">
        <v>217</v>
      </c>
      <c r="BW6" s="454" t="s">
        <v>218</v>
      </c>
      <c r="BX6" s="454" t="s">
        <v>219</v>
      </c>
      <c r="BY6" s="456" t="s">
        <v>38</v>
      </c>
      <c r="BZ6" s="456" t="s">
        <v>224</v>
      </c>
      <c r="CA6" s="456" t="s">
        <v>225</v>
      </c>
      <c r="CB6" s="456" t="s">
        <v>226</v>
      </c>
      <c r="CC6" s="456" t="s">
        <v>39</v>
      </c>
      <c r="CD6" s="456" t="s">
        <v>227</v>
      </c>
      <c r="CE6" s="458" t="s">
        <v>40</v>
      </c>
      <c r="CF6" s="456" t="s">
        <v>41</v>
      </c>
      <c r="CG6" s="456" t="s">
        <v>230</v>
      </c>
      <c r="CH6" s="456" t="s">
        <v>231</v>
      </c>
      <c r="CI6" s="456" t="s">
        <v>232</v>
      </c>
      <c r="CJ6" s="456" t="s">
        <v>41</v>
      </c>
      <c r="CK6" s="456" t="s">
        <v>230</v>
      </c>
      <c r="CL6" s="456" t="s">
        <v>231</v>
      </c>
      <c r="CM6" s="456" t="s">
        <v>232</v>
      </c>
      <c r="CN6" s="449" t="s">
        <v>42</v>
      </c>
      <c r="CO6" s="449" t="s">
        <v>42</v>
      </c>
      <c r="CP6" s="449" t="s">
        <v>42</v>
      </c>
      <c r="CQ6" s="449" t="s">
        <v>233</v>
      </c>
      <c r="CR6" s="449" t="s">
        <v>233</v>
      </c>
      <c r="CS6" s="457" t="s">
        <v>43</v>
      </c>
      <c r="CT6" s="457" t="s">
        <v>43</v>
      </c>
      <c r="CU6" s="449" t="s">
        <v>238</v>
      </c>
      <c r="CV6" s="449"/>
      <c r="CW6" s="449"/>
      <c r="CX6" s="457"/>
      <c r="CY6" s="38" t="s">
        <v>44</v>
      </c>
      <c r="CZ6" s="39" t="s">
        <v>45</v>
      </c>
      <c r="DA6" s="39" t="s">
        <v>240</v>
      </c>
      <c r="DB6" s="40" t="s">
        <v>242</v>
      </c>
      <c r="DC6" s="40" t="s">
        <v>242</v>
      </c>
      <c r="DD6" s="40" t="s">
        <v>247</v>
      </c>
      <c r="DE6" s="40" t="s">
        <v>46</v>
      </c>
      <c r="DF6" s="39" t="s">
        <v>46</v>
      </c>
      <c r="DG6" s="40" t="s">
        <v>47</v>
      </c>
      <c r="DH6" s="40" t="s">
        <v>47</v>
      </c>
      <c r="DI6" s="40" t="s">
        <v>249</v>
      </c>
      <c r="DJ6" s="40" t="s">
        <v>251</v>
      </c>
      <c r="DK6" s="40" t="s">
        <v>48</v>
      </c>
      <c r="DL6" s="40" t="s">
        <v>48</v>
      </c>
      <c r="DM6" s="40" t="s">
        <v>253</v>
      </c>
      <c r="DN6" s="40" t="s">
        <v>253</v>
      </c>
      <c r="DO6" s="40" t="s">
        <v>254</v>
      </c>
      <c r="DP6" s="40" t="s">
        <v>254</v>
      </c>
      <c r="DQ6" s="40" t="s">
        <v>258</v>
      </c>
      <c r="DR6" s="40" t="s">
        <v>258</v>
      </c>
      <c r="DS6" s="40" t="s">
        <v>259</v>
      </c>
      <c r="DT6" s="40" t="s">
        <v>259</v>
      </c>
      <c r="DU6" s="40" t="s">
        <v>259</v>
      </c>
      <c r="DV6" s="40" t="s">
        <v>260</v>
      </c>
      <c r="DW6" s="40" t="s">
        <v>260</v>
      </c>
      <c r="DX6" s="40" t="s">
        <v>266</v>
      </c>
      <c r="DY6" s="40" t="s">
        <v>268</v>
      </c>
      <c r="DZ6" s="40" t="s">
        <v>271</v>
      </c>
      <c r="EA6" s="40" t="s">
        <v>271</v>
      </c>
      <c r="EB6" s="40" t="s">
        <v>273</v>
      </c>
      <c r="EC6" s="40" t="s">
        <v>273</v>
      </c>
      <c r="ED6" s="40" t="s">
        <v>275</v>
      </c>
      <c r="EE6" s="40" t="s">
        <v>277</v>
      </c>
      <c r="EF6" s="40" t="s">
        <v>280</v>
      </c>
      <c r="EG6" s="40" t="s">
        <v>280</v>
      </c>
      <c r="EH6" s="40" t="s">
        <v>282</v>
      </c>
      <c r="EI6" s="40" t="s">
        <v>282</v>
      </c>
      <c r="EJ6" s="40" t="s">
        <v>285</v>
      </c>
      <c r="EK6" s="40" t="s">
        <v>287</v>
      </c>
      <c r="EL6" s="40" t="s">
        <v>289</v>
      </c>
      <c r="EM6" s="40" t="s">
        <v>291</v>
      </c>
      <c r="EN6" s="40" t="s">
        <v>293</v>
      </c>
      <c r="EO6" s="40" t="s">
        <v>294</v>
      </c>
      <c r="EP6" s="40"/>
      <c r="EQ6" s="41"/>
      <c r="ER6" s="33" t="s">
        <v>49</v>
      </c>
      <c r="ES6" s="33" t="s">
        <v>297</v>
      </c>
      <c r="ET6" s="33" t="s">
        <v>50</v>
      </c>
      <c r="EU6" s="37" t="s">
        <v>299</v>
      </c>
      <c r="EV6" s="37" t="s">
        <v>300</v>
      </c>
      <c r="EW6" s="37" t="s">
        <v>300</v>
      </c>
      <c r="EX6" s="37" t="s">
        <v>301</v>
      </c>
      <c r="EY6" s="37" t="s">
        <v>302</v>
      </c>
      <c r="EZ6" s="37" t="s">
        <v>303</v>
      </c>
      <c r="FA6" s="37" t="s">
        <v>304</v>
      </c>
      <c r="FB6" s="37" t="s">
        <v>305</v>
      </c>
      <c r="FC6" s="37" t="s">
        <v>306</v>
      </c>
      <c r="FD6" s="37" t="s">
        <v>307</v>
      </c>
      <c r="FE6" s="37" t="s">
        <v>310</v>
      </c>
      <c r="FF6" s="37" t="s">
        <v>311</v>
      </c>
      <c r="FG6" s="37" t="s">
        <v>312</v>
      </c>
      <c r="FH6" s="37" t="s">
        <v>313</v>
      </c>
      <c r="FI6" s="37" t="s">
        <v>313</v>
      </c>
      <c r="FJ6" s="37" t="s">
        <v>314</v>
      </c>
      <c r="FK6" s="40" t="s">
        <v>329</v>
      </c>
      <c r="FL6" s="40" t="s">
        <v>329</v>
      </c>
      <c r="FM6" s="40" t="s">
        <v>329</v>
      </c>
      <c r="FN6" s="37" t="s">
        <v>331</v>
      </c>
      <c r="FO6" s="37" t="s">
        <v>334</v>
      </c>
      <c r="FP6" s="37" t="s">
        <v>335</v>
      </c>
      <c r="FQ6" s="37" t="s">
        <v>336</v>
      </c>
      <c r="FR6" s="37" t="s">
        <v>51</v>
      </c>
      <c r="FS6" s="37" t="s">
        <v>51</v>
      </c>
      <c r="FT6" s="37" t="s">
        <v>51</v>
      </c>
      <c r="FU6" s="37" t="s">
        <v>335</v>
      </c>
      <c r="FV6" s="37" t="s">
        <v>342</v>
      </c>
      <c r="FW6" s="37" t="s">
        <v>343</v>
      </c>
      <c r="FX6" s="37" t="s">
        <v>344</v>
      </c>
      <c r="FY6" s="37" t="s">
        <v>345</v>
      </c>
      <c r="FZ6" s="37" t="s">
        <v>346</v>
      </c>
      <c r="GA6" s="37" t="s">
        <v>345</v>
      </c>
      <c r="GB6" s="37" t="s">
        <v>346</v>
      </c>
      <c r="GC6" s="37" t="s">
        <v>356</v>
      </c>
      <c r="GD6" s="37" t="s">
        <v>357</v>
      </c>
      <c r="GE6" s="37" t="s">
        <v>358</v>
      </c>
      <c r="GF6" s="37" t="s">
        <v>359</v>
      </c>
      <c r="GG6" s="37" t="s">
        <v>360</v>
      </c>
      <c r="GH6" s="37" t="s">
        <v>361</v>
      </c>
      <c r="GI6" s="37" t="s">
        <v>361</v>
      </c>
      <c r="GJ6" s="37"/>
      <c r="GK6" s="37"/>
      <c r="GL6" s="32" t="s">
        <v>52</v>
      </c>
      <c r="GM6" s="36" t="s">
        <v>53</v>
      </c>
      <c r="GN6" s="36" t="s">
        <v>54</v>
      </c>
      <c r="GO6" s="36" t="s">
        <v>54</v>
      </c>
      <c r="GP6" s="36" t="s">
        <v>54</v>
      </c>
      <c r="GQ6" s="36" t="s">
        <v>367</v>
      </c>
      <c r="GR6" s="36" t="s">
        <v>369</v>
      </c>
      <c r="GS6" s="36" t="s">
        <v>372</v>
      </c>
      <c r="GT6" s="36" t="s">
        <v>377</v>
      </c>
      <c r="GU6" s="36" t="s">
        <v>378</v>
      </c>
      <c r="GV6" s="36" t="s">
        <v>379</v>
      </c>
      <c r="GW6" s="36" t="s">
        <v>380</v>
      </c>
      <c r="GX6" s="36" t="s">
        <v>55</v>
      </c>
      <c r="GY6" s="36" t="s">
        <v>55</v>
      </c>
      <c r="GZ6" s="36" t="s">
        <v>55</v>
      </c>
      <c r="HA6" s="36" t="s">
        <v>55</v>
      </c>
      <c r="HB6" s="36" t="s">
        <v>55</v>
      </c>
      <c r="HC6" s="36" t="s">
        <v>385</v>
      </c>
      <c r="HD6" s="36" t="s">
        <v>385</v>
      </c>
      <c r="HE6" s="36" t="s">
        <v>387</v>
      </c>
      <c r="HF6" s="36" t="s">
        <v>388</v>
      </c>
      <c r="HG6" s="36" t="s">
        <v>389</v>
      </c>
      <c r="HH6" s="36" t="s">
        <v>390</v>
      </c>
      <c r="HI6" s="36" t="s">
        <v>391</v>
      </c>
      <c r="HJ6" s="36" t="s">
        <v>392</v>
      </c>
      <c r="HK6" s="36" t="s">
        <v>393</v>
      </c>
      <c r="HL6" s="36" t="s">
        <v>394</v>
      </c>
      <c r="HM6" s="36" t="s">
        <v>395</v>
      </c>
      <c r="HN6" s="36" t="s">
        <v>396</v>
      </c>
      <c r="HO6" s="36" t="s">
        <v>397</v>
      </c>
      <c r="HP6" s="36" t="s">
        <v>398</v>
      </c>
      <c r="HQ6" s="36" t="s">
        <v>399</v>
      </c>
      <c r="HR6" s="36" t="s">
        <v>400</v>
      </c>
      <c r="HS6" s="36" t="s">
        <v>401</v>
      </c>
      <c r="HT6" s="36" t="s">
        <v>402</v>
      </c>
      <c r="HU6" s="36" t="s">
        <v>403</v>
      </c>
      <c r="HV6" s="36" t="s">
        <v>404</v>
      </c>
      <c r="HW6" s="36" t="s">
        <v>406</v>
      </c>
      <c r="HX6" s="36" t="s">
        <v>408</v>
      </c>
      <c r="HY6" s="36" t="s">
        <v>409</v>
      </c>
      <c r="HZ6" s="36" t="s">
        <v>410</v>
      </c>
      <c r="IA6" s="36" t="s">
        <v>411</v>
      </c>
      <c r="IB6" s="36" t="s">
        <v>412</v>
      </c>
      <c r="IC6" s="36" t="s">
        <v>413</v>
      </c>
      <c r="ID6" s="36" t="s">
        <v>413</v>
      </c>
      <c r="IE6" s="36" t="s">
        <v>413</v>
      </c>
      <c r="IF6" s="36"/>
      <c r="IG6" s="34"/>
      <c r="IH6" s="36" t="s">
        <v>417</v>
      </c>
      <c r="II6" s="36" t="s">
        <v>56</v>
      </c>
      <c r="IJ6" s="367"/>
      <c r="IK6" s="369"/>
      <c r="IL6" s="369"/>
      <c r="IM6" s="371"/>
    </row>
    <row r="7" spans="1:250" s="57" customFormat="1" ht="75" customHeight="1" x14ac:dyDescent="0.15">
      <c r="A7" s="358"/>
      <c r="B7" s="361"/>
      <c r="C7" s="361"/>
      <c r="D7" s="361"/>
      <c r="E7" s="361"/>
      <c r="F7" s="355"/>
      <c r="G7" s="373"/>
      <c r="H7" s="375"/>
      <c r="I7" s="43"/>
      <c r="J7" s="44"/>
      <c r="K7" s="45"/>
      <c r="L7" s="44"/>
      <c r="M7" s="44"/>
      <c r="N7" s="46"/>
      <c r="O7" s="43"/>
      <c r="P7" s="44"/>
      <c r="Q7" s="45"/>
      <c r="R7" s="44"/>
      <c r="S7" s="44"/>
      <c r="T7" s="44" t="s">
        <v>57</v>
      </c>
      <c r="U7" s="47" t="s">
        <v>58</v>
      </c>
      <c r="V7" s="446"/>
      <c r="W7" s="48" t="s">
        <v>162</v>
      </c>
      <c r="X7" s="48" t="s">
        <v>163</v>
      </c>
      <c r="Y7" s="48" t="s">
        <v>59</v>
      </c>
      <c r="Z7" s="48" t="s">
        <v>164</v>
      </c>
      <c r="AA7" s="44"/>
      <c r="AB7" s="48" t="s">
        <v>171</v>
      </c>
      <c r="AC7" s="48" t="s">
        <v>172</v>
      </c>
      <c r="AD7" s="48" t="s">
        <v>173</v>
      </c>
      <c r="AE7" s="48"/>
      <c r="AF7" s="48"/>
      <c r="AG7" s="48"/>
      <c r="AH7" s="48"/>
      <c r="AI7" s="48"/>
      <c r="AJ7" s="47"/>
      <c r="AK7" s="48"/>
      <c r="AL7" s="48"/>
      <c r="AM7" s="48"/>
      <c r="AN7" s="48"/>
      <c r="AO7" s="48"/>
      <c r="AP7" s="49"/>
      <c r="AQ7" s="44" t="s">
        <v>61</v>
      </c>
      <c r="AR7" s="48" t="s">
        <v>193</v>
      </c>
      <c r="AS7" s="46" t="s">
        <v>61</v>
      </c>
      <c r="AT7" s="46" t="s">
        <v>62</v>
      </c>
      <c r="AU7" s="46" t="s">
        <v>61</v>
      </c>
      <c r="AV7" s="46" t="s">
        <v>62</v>
      </c>
      <c r="AW7" s="48" t="s">
        <v>198</v>
      </c>
      <c r="AX7" s="48" t="s">
        <v>61</v>
      </c>
      <c r="AY7" s="48" t="s">
        <v>60</v>
      </c>
      <c r="AZ7" s="48" t="s">
        <v>200</v>
      </c>
      <c r="BA7" s="48" t="s">
        <v>202</v>
      </c>
      <c r="BB7" s="48" t="s">
        <v>61</v>
      </c>
      <c r="BC7" s="48" t="s">
        <v>202</v>
      </c>
      <c r="BD7" s="48" t="s">
        <v>61</v>
      </c>
      <c r="BE7" s="48" t="s">
        <v>207</v>
      </c>
      <c r="BF7" s="48" t="s">
        <v>208</v>
      </c>
      <c r="BG7" s="48" t="s">
        <v>209</v>
      </c>
      <c r="BH7" s="48" t="s">
        <v>212</v>
      </c>
      <c r="BI7" s="46"/>
      <c r="BJ7" s="43" t="s">
        <v>63</v>
      </c>
      <c r="BK7" s="46" t="s">
        <v>64</v>
      </c>
      <c r="BL7" s="48" t="s">
        <v>63</v>
      </c>
      <c r="BM7" s="48" t="s">
        <v>65</v>
      </c>
      <c r="BN7" s="48" t="s">
        <v>63</v>
      </c>
      <c r="BO7" s="48" t="s">
        <v>65</v>
      </c>
      <c r="BP7" s="48" t="s">
        <v>65</v>
      </c>
      <c r="BQ7" s="48"/>
      <c r="BR7" s="45"/>
      <c r="BS7" s="48" t="s">
        <v>221</v>
      </c>
      <c r="BT7" s="48" t="s">
        <v>221</v>
      </c>
      <c r="BU7" s="48" t="s">
        <v>221</v>
      </c>
      <c r="BV7" s="48" t="s">
        <v>222</v>
      </c>
      <c r="BW7" s="48" t="s">
        <v>222</v>
      </c>
      <c r="BX7" s="48" t="s">
        <v>222</v>
      </c>
      <c r="BY7" s="48"/>
      <c r="BZ7" s="48"/>
      <c r="CA7" s="48"/>
      <c r="CB7" s="48"/>
      <c r="CC7" s="48"/>
      <c r="CD7" s="48"/>
      <c r="CE7" s="46"/>
      <c r="CF7" s="48" t="s">
        <v>66</v>
      </c>
      <c r="CG7" s="48" t="s">
        <v>66</v>
      </c>
      <c r="CH7" s="48" t="s">
        <v>66</v>
      </c>
      <c r="CI7" s="48" t="s">
        <v>66</v>
      </c>
      <c r="CJ7" s="48" t="s">
        <v>229</v>
      </c>
      <c r="CK7" s="48" t="s">
        <v>229</v>
      </c>
      <c r="CL7" s="48" t="s">
        <v>229</v>
      </c>
      <c r="CM7" s="48" t="s">
        <v>229</v>
      </c>
      <c r="CN7" s="48">
        <v>1200</v>
      </c>
      <c r="CO7" s="48">
        <v>1500</v>
      </c>
      <c r="CP7" s="48">
        <v>1800</v>
      </c>
      <c r="CQ7" s="48" t="s">
        <v>222</v>
      </c>
      <c r="CR7" s="48" t="s">
        <v>234</v>
      </c>
      <c r="CS7" s="46" t="s">
        <v>67</v>
      </c>
      <c r="CT7" s="46" t="s">
        <v>68</v>
      </c>
      <c r="CU7" s="48" t="s">
        <v>221</v>
      </c>
      <c r="CV7" s="48"/>
      <c r="CW7" s="48"/>
      <c r="CX7" s="46"/>
      <c r="CY7" s="50"/>
      <c r="CZ7" s="51"/>
      <c r="DA7" s="51"/>
      <c r="DB7" s="51" t="s">
        <v>221</v>
      </c>
      <c r="DC7" s="51" t="s">
        <v>244</v>
      </c>
      <c r="DD7" s="51" t="s">
        <v>248</v>
      </c>
      <c r="DE7" s="51" t="s">
        <v>67</v>
      </c>
      <c r="DF7" s="52" t="s">
        <v>68</v>
      </c>
      <c r="DG7" s="51" t="s">
        <v>67</v>
      </c>
      <c r="DH7" s="52" t="s">
        <v>68</v>
      </c>
      <c r="DI7" s="51"/>
      <c r="DJ7" s="51"/>
      <c r="DK7" s="51" t="s">
        <v>67</v>
      </c>
      <c r="DL7" s="51" t="s">
        <v>68</v>
      </c>
      <c r="DM7" s="51" t="s">
        <v>67</v>
      </c>
      <c r="DN7" s="51" t="s">
        <v>68</v>
      </c>
      <c r="DO7" s="51" t="s">
        <v>255</v>
      </c>
      <c r="DP7" s="51" t="s">
        <v>257</v>
      </c>
      <c r="DQ7" s="51" t="s">
        <v>67</v>
      </c>
      <c r="DR7" s="51" t="s">
        <v>68</v>
      </c>
      <c r="DS7" s="51" t="s">
        <v>255</v>
      </c>
      <c r="DT7" s="51" t="s">
        <v>264</v>
      </c>
      <c r="DU7" s="51" t="s">
        <v>265</v>
      </c>
      <c r="DV7" s="51" t="s">
        <v>67</v>
      </c>
      <c r="DW7" s="51" t="s">
        <v>68</v>
      </c>
      <c r="DX7" s="51"/>
      <c r="DY7" s="51" t="s">
        <v>269</v>
      </c>
      <c r="DZ7" s="51" t="s">
        <v>67</v>
      </c>
      <c r="EA7" s="51" t="s">
        <v>68</v>
      </c>
      <c r="EB7" s="51" t="s">
        <v>67</v>
      </c>
      <c r="EC7" s="51" t="s">
        <v>68</v>
      </c>
      <c r="ED7" s="51" t="s">
        <v>67</v>
      </c>
      <c r="EE7" s="51" t="s">
        <v>278</v>
      </c>
      <c r="EF7" s="51" t="s">
        <v>221</v>
      </c>
      <c r="EG7" s="51" t="s">
        <v>264</v>
      </c>
      <c r="EH7" s="51" t="s">
        <v>264</v>
      </c>
      <c r="EI7" s="51" t="s">
        <v>284</v>
      </c>
      <c r="EJ7" s="51"/>
      <c r="EK7" s="51"/>
      <c r="EL7" s="51"/>
      <c r="EM7" s="51"/>
      <c r="EN7" s="51"/>
      <c r="EO7" s="51"/>
      <c r="EP7" s="51"/>
      <c r="EQ7" s="53"/>
      <c r="ER7" s="44"/>
      <c r="ES7" s="44"/>
      <c r="ET7" s="44"/>
      <c r="EU7" s="48"/>
      <c r="EV7" s="48" t="s">
        <v>308</v>
      </c>
      <c r="EW7" s="48" t="s">
        <v>309</v>
      </c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 t="s">
        <v>221</v>
      </c>
      <c r="FI7" s="48" t="s">
        <v>255</v>
      </c>
      <c r="FJ7" s="48"/>
      <c r="FK7" s="52" t="s">
        <v>330</v>
      </c>
      <c r="FL7" s="52" t="s">
        <v>69</v>
      </c>
      <c r="FM7" s="52" t="s">
        <v>70</v>
      </c>
      <c r="FN7" s="48"/>
      <c r="FO7" s="48"/>
      <c r="FP7" s="48"/>
      <c r="FQ7" s="48"/>
      <c r="FR7" s="46" t="s">
        <v>338</v>
      </c>
      <c r="FS7" s="46" t="s">
        <v>71</v>
      </c>
      <c r="FT7" s="46" t="s">
        <v>339</v>
      </c>
      <c r="FU7" s="46" t="s">
        <v>339</v>
      </c>
      <c r="FV7" s="48"/>
      <c r="FW7" s="48"/>
      <c r="FX7" s="48"/>
      <c r="FY7" s="48" t="s">
        <v>347</v>
      </c>
      <c r="FZ7" s="48" t="s">
        <v>347</v>
      </c>
      <c r="GA7" s="48" t="s">
        <v>348</v>
      </c>
      <c r="GB7" s="48" t="s">
        <v>348</v>
      </c>
      <c r="GC7" s="48"/>
      <c r="GD7" s="48"/>
      <c r="GE7" s="48"/>
      <c r="GF7" s="48"/>
      <c r="GG7" s="48"/>
      <c r="GH7" s="48" t="s">
        <v>362</v>
      </c>
      <c r="GI7" s="48" t="s">
        <v>363</v>
      </c>
      <c r="GJ7" s="48"/>
      <c r="GK7" s="47"/>
      <c r="GL7" s="43"/>
      <c r="GM7" s="48"/>
      <c r="GN7" s="48" t="s">
        <v>72</v>
      </c>
      <c r="GO7" s="48" t="s">
        <v>365</v>
      </c>
      <c r="GP7" s="48" t="s">
        <v>366</v>
      </c>
      <c r="GQ7" s="48"/>
      <c r="GR7" s="48" t="s">
        <v>370</v>
      </c>
      <c r="GS7" s="48"/>
      <c r="GT7" s="48"/>
      <c r="GU7" s="48"/>
      <c r="GV7" s="48"/>
      <c r="GW7" s="48"/>
      <c r="GX7" s="48" t="s">
        <v>383</v>
      </c>
      <c r="GY7" s="48" t="s">
        <v>73</v>
      </c>
      <c r="GZ7" s="46" t="s">
        <v>74</v>
      </c>
      <c r="HA7" s="46" t="s">
        <v>384</v>
      </c>
      <c r="HB7" s="46" t="s">
        <v>75</v>
      </c>
      <c r="HC7" s="46" t="s">
        <v>384</v>
      </c>
      <c r="HD7" s="46" t="s">
        <v>75</v>
      </c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 t="s">
        <v>405</v>
      </c>
      <c r="HW7" s="48" t="s">
        <v>407</v>
      </c>
      <c r="HX7" s="48"/>
      <c r="HY7" s="48"/>
      <c r="HZ7" s="48"/>
      <c r="IA7" s="48"/>
      <c r="IB7" s="48"/>
      <c r="IC7" s="48" t="s">
        <v>414</v>
      </c>
      <c r="ID7" s="48" t="s">
        <v>415</v>
      </c>
      <c r="IE7" s="48" t="s">
        <v>416</v>
      </c>
      <c r="IF7" s="48"/>
      <c r="IG7" s="45"/>
      <c r="IH7" s="48">
        <v>970</v>
      </c>
      <c r="II7" s="48">
        <v>1200</v>
      </c>
      <c r="IJ7" s="54"/>
      <c r="IK7" s="55"/>
      <c r="IL7" s="55"/>
      <c r="IM7" s="56"/>
    </row>
    <row r="8" spans="1:250" s="75" customFormat="1" ht="22.5" customHeight="1" x14ac:dyDescent="0.3">
      <c r="A8" s="358"/>
      <c r="B8" s="361"/>
      <c r="C8" s="361"/>
      <c r="D8" s="361"/>
      <c r="E8" s="361"/>
      <c r="F8" s="355"/>
      <c r="G8" s="376" t="s">
        <v>76</v>
      </c>
      <c r="H8" s="379" t="s">
        <v>77</v>
      </c>
      <c r="I8" s="58" t="s">
        <v>78</v>
      </c>
      <c r="J8" s="59" t="s">
        <v>79</v>
      </c>
      <c r="K8" s="60" t="s">
        <v>80</v>
      </c>
      <c r="L8" s="61" t="s">
        <v>78</v>
      </c>
      <c r="M8" s="59" t="s">
        <v>79</v>
      </c>
      <c r="N8" s="62" t="s">
        <v>80</v>
      </c>
      <c r="O8" s="58" t="s">
        <v>78</v>
      </c>
      <c r="P8" s="59" t="s">
        <v>79</v>
      </c>
      <c r="Q8" s="60" t="s">
        <v>80</v>
      </c>
      <c r="R8" s="61" t="s">
        <v>81</v>
      </c>
      <c r="S8" s="59" t="s">
        <v>82</v>
      </c>
      <c r="T8" s="59" t="s">
        <v>83</v>
      </c>
      <c r="U8" s="62" t="s">
        <v>84</v>
      </c>
      <c r="V8" s="58" t="s">
        <v>161</v>
      </c>
      <c r="W8" s="77" t="s">
        <v>165</v>
      </c>
      <c r="X8" s="77" t="s">
        <v>165</v>
      </c>
      <c r="Y8" s="77" t="s">
        <v>165</v>
      </c>
      <c r="Z8" s="77" t="s">
        <v>165</v>
      </c>
      <c r="AA8" s="59" t="s">
        <v>166</v>
      </c>
      <c r="AB8" s="59" t="s">
        <v>166</v>
      </c>
      <c r="AC8" s="59" t="s">
        <v>166</v>
      </c>
      <c r="AD8" s="59" t="s">
        <v>166</v>
      </c>
      <c r="AE8" s="59" t="s">
        <v>175</v>
      </c>
      <c r="AF8" s="59" t="s">
        <v>184</v>
      </c>
      <c r="AG8" s="59" t="s">
        <v>185</v>
      </c>
      <c r="AH8" s="59" t="s">
        <v>186</v>
      </c>
      <c r="AI8" s="59" t="s">
        <v>187</v>
      </c>
      <c r="AJ8" s="62" t="s">
        <v>85</v>
      </c>
      <c r="AK8" s="59" t="s">
        <v>188</v>
      </c>
      <c r="AL8" s="62" t="s">
        <v>189</v>
      </c>
      <c r="AM8" s="59" t="s">
        <v>190</v>
      </c>
      <c r="AN8" s="62" t="s">
        <v>191</v>
      </c>
      <c r="AO8" s="59"/>
      <c r="AP8" s="63"/>
      <c r="AQ8" s="61" t="s">
        <v>86</v>
      </c>
      <c r="AR8" s="59" t="s">
        <v>194</v>
      </c>
      <c r="AS8" s="59" t="s">
        <v>87</v>
      </c>
      <c r="AT8" s="59" t="s">
        <v>87</v>
      </c>
      <c r="AU8" s="59" t="s">
        <v>196</v>
      </c>
      <c r="AV8" s="59" t="s">
        <v>196</v>
      </c>
      <c r="AW8" s="59" t="s">
        <v>199</v>
      </c>
      <c r="AX8" s="59" t="s">
        <v>88</v>
      </c>
      <c r="AY8" s="59" t="s">
        <v>88</v>
      </c>
      <c r="AZ8" s="59" t="s">
        <v>88</v>
      </c>
      <c r="BA8" s="59" t="s">
        <v>203</v>
      </c>
      <c r="BB8" s="59" t="s">
        <v>203</v>
      </c>
      <c r="BC8" s="59" t="s">
        <v>205</v>
      </c>
      <c r="BD8" s="59" t="s">
        <v>205</v>
      </c>
      <c r="BE8" s="59" t="s">
        <v>210</v>
      </c>
      <c r="BF8" s="59" t="s">
        <v>210</v>
      </c>
      <c r="BG8" s="59" t="s">
        <v>210</v>
      </c>
      <c r="BH8" s="59" t="s">
        <v>213</v>
      </c>
      <c r="BI8" s="62"/>
      <c r="BJ8" s="58" t="s">
        <v>89</v>
      </c>
      <c r="BK8" s="62" t="s">
        <v>89</v>
      </c>
      <c r="BL8" s="59" t="s">
        <v>90</v>
      </c>
      <c r="BM8" s="59" t="s">
        <v>90</v>
      </c>
      <c r="BN8" s="59" t="s">
        <v>216</v>
      </c>
      <c r="BO8" s="59" t="s">
        <v>216</v>
      </c>
      <c r="BP8" s="59" t="s">
        <v>215</v>
      </c>
      <c r="BQ8" s="59"/>
      <c r="BR8" s="60"/>
      <c r="BS8" s="59" t="s">
        <v>220</v>
      </c>
      <c r="BT8" s="59" t="s">
        <v>220</v>
      </c>
      <c r="BU8" s="59" t="s">
        <v>220</v>
      </c>
      <c r="BV8" s="62" t="s">
        <v>223</v>
      </c>
      <c r="BW8" s="59" t="s">
        <v>223</v>
      </c>
      <c r="BX8" s="59" t="s">
        <v>223</v>
      </c>
      <c r="BY8" s="59" t="s">
        <v>91</v>
      </c>
      <c r="BZ8" s="59" t="s">
        <v>91</v>
      </c>
      <c r="CA8" s="59" t="s">
        <v>91</v>
      </c>
      <c r="CB8" s="59" t="s">
        <v>92</v>
      </c>
      <c r="CC8" s="59" t="s">
        <v>92</v>
      </c>
      <c r="CD8" s="59" t="s">
        <v>92</v>
      </c>
      <c r="CE8" s="59" t="s">
        <v>92</v>
      </c>
      <c r="CF8" s="61" t="s">
        <v>228</v>
      </c>
      <c r="CG8" s="61" t="s">
        <v>228</v>
      </c>
      <c r="CH8" s="61" t="s">
        <v>228</v>
      </c>
      <c r="CI8" s="61" t="s">
        <v>228</v>
      </c>
      <c r="CJ8" s="61" t="s">
        <v>93</v>
      </c>
      <c r="CK8" s="61" t="s">
        <v>93</v>
      </c>
      <c r="CL8" s="61" t="s">
        <v>93</v>
      </c>
      <c r="CM8" s="61" t="s">
        <v>93</v>
      </c>
      <c r="CN8" s="59" t="s">
        <v>94</v>
      </c>
      <c r="CO8" s="59" t="s">
        <v>94</v>
      </c>
      <c r="CP8" s="59" t="s">
        <v>94</v>
      </c>
      <c r="CQ8" s="59" t="s">
        <v>235</v>
      </c>
      <c r="CR8" s="59" t="s">
        <v>236</v>
      </c>
      <c r="CS8" s="62" t="s">
        <v>237</v>
      </c>
      <c r="CT8" s="62" t="s">
        <v>237</v>
      </c>
      <c r="CU8" s="59" t="s">
        <v>239</v>
      </c>
      <c r="CV8" s="59"/>
      <c r="CW8" s="59"/>
      <c r="CX8" s="62"/>
      <c r="CY8" s="65" t="s">
        <v>95</v>
      </c>
      <c r="CZ8" s="59" t="s">
        <v>96</v>
      </c>
      <c r="DA8" s="59" t="s">
        <v>241</v>
      </c>
      <c r="DB8" s="66" t="s">
        <v>243</v>
      </c>
      <c r="DC8" s="66" t="s">
        <v>245</v>
      </c>
      <c r="DD8" s="66" t="s">
        <v>246</v>
      </c>
      <c r="DE8" s="66" t="s">
        <v>97</v>
      </c>
      <c r="DF8" s="66" t="s">
        <v>97</v>
      </c>
      <c r="DG8" s="66" t="s">
        <v>98</v>
      </c>
      <c r="DH8" s="66" t="s">
        <v>98</v>
      </c>
      <c r="DI8" s="66" t="s">
        <v>250</v>
      </c>
      <c r="DJ8" s="66" t="s">
        <v>252</v>
      </c>
      <c r="DK8" s="66" t="s">
        <v>99</v>
      </c>
      <c r="DL8" s="66" t="s">
        <v>99</v>
      </c>
      <c r="DM8" s="66" t="s">
        <v>99</v>
      </c>
      <c r="DN8" s="66" t="s">
        <v>99</v>
      </c>
      <c r="DO8" s="66" t="s">
        <v>256</v>
      </c>
      <c r="DP8" s="66" t="s">
        <v>256</v>
      </c>
      <c r="DQ8" s="66" t="s">
        <v>261</v>
      </c>
      <c r="DR8" s="66" t="s">
        <v>261</v>
      </c>
      <c r="DS8" s="66" t="s">
        <v>262</v>
      </c>
      <c r="DT8" s="66" t="s">
        <v>262</v>
      </c>
      <c r="DU8" s="66" t="s">
        <v>262</v>
      </c>
      <c r="DV8" s="66" t="s">
        <v>263</v>
      </c>
      <c r="DW8" s="66" t="s">
        <v>263</v>
      </c>
      <c r="DX8" s="66" t="s">
        <v>267</v>
      </c>
      <c r="DY8" s="66" t="s">
        <v>270</v>
      </c>
      <c r="DZ8" s="66" t="s">
        <v>272</v>
      </c>
      <c r="EA8" s="66" t="s">
        <v>272</v>
      </c>
      <c r="EB8" s="66" t="s">
        <v>274</v>
      </c>
      <c r="EC8" s="66" t="s">
        <v>274</v>
      </c>
      <c r="ED8" s="66" t="s">
        <v>276</v>
      </c>
      <c r="EE8" s="66" t="s">
        <v>279</v>
      </c>
      <c r="EF8" s="66" t="s">
        <v>281</v>
      </c>
      <c r="EG8" s="66" t="s">
        <v>281</v>
      </c>
      <c r="EH8" s="66" t="s">
        <v>283</v>
      </c>
      <c r="EI8" s="66" t="s">
        <v>283</v>
      </c>
      <c r="EJ8" s="66" t="s">
        <v>286</v>
      </c>
      <c r="EK8" s="66" t="s">
        <v>288</v>
      </c>
      <c r="EL8" s="66" t="s">
        <v>290</v>
      </c>
      <c r="EM8" s="66" t="s">
        <v>292</v>
      </c>
      <c r="EN8" s="66" t="s">
        <v>295</v>
      </c>
      <c r="EO8" s="66" t="s">
        <v>296</v>
      </c>
      <c r="EP8" s="66"/>
      <c r="EQ8" s="67"/>
      <c r="ER8" s="61" t="s">
        <v>100</v>
      </c>
      <c r="ES8" s="61" t="s">
        <v>298</v>
      </c>
      <c r="ET8" s="59" t="s">
        <v>101</v>
      </c>
      <c r="EU8" s="59" t="s">
        <v>315</v>
      </c>
      <c r="EV8" s="59" t="s">
        <v>316</v>
      </c>
      <c r="EW8" s="59" t="s">
        <v>316</v>
      </c>
      <c r="EX8" s="59" t="s">
        <v>317</v>
      </c>
      <c r="EY8" s="59" t="s">
        <v>318</v>
      </c>
      <c r="EZ8" s="59" t="s">
        <v>319</v>
      </c>
      <c r="FA8" s="59" t="s">
        <v>320</v>
      </c>
      <c r="FB8" s="59" t="s">
        <v>321</v>
      </c>
      <c r="FC8" s="59" t="s">
        <v>322</v>
      </c>
      <c r="FD8" s="59" t="s">
        <v>323</v>
      </c>
      <c r="FE8" s="59" t="s">
        <v>324</v>
      </c>
      <c r="FF8" s="59" t="s">
        <v>325</v>
      </c>
      <c r="FG8" s="59" t="s">
        <v>326</v>
      </c>
      <c r="FH8" s="59" t="s">
        <v>327</v>
      </c>
      <c r="FI8" s="59" t="s">
        <v>327</v>
      </c>
      <c r="FJ8" s="59" t="s">
        <v>328</v>
      </c>
      <c r="FK8" s="66" t="s">
        <v>102</v>
      </c>
      <c r="FL8" s="66" t="s">
        <v>102</v>
      </c>
      <c r="FM8" s="68" t="s">
        <v>102</v>
      </c>
      <c r="FN8" s="59" t="s">
        <v>332</v>
      </c>
      <c r="FO8" s="59" t="s">
        <v>333</v>
      </c>
      <c r="FP8" s="59" t="s">
        <v>337</v>
      </c>
      <c r="FQ8" s="59" t="s">
        <v>337</v>
      </c>
      <c r="FR8" s="59" t="s">
        <v>103</v>
      </c>
      <c r="FS8" s="59" t="s">
        <v>103</v>
      </c>
      <c r="FT8" s="59" t="s">
        <v>340</v>
      </c>
      <c r="FU8" s="59" t="s">
        <v>341</v>
      </c>
      <c r="FV8" s="59" t="s">
        <v>349</v>
      </c>
      <c r="FW8" s="59" t="s">
        <v>350</v>
      </c>
      <c r="FX8" s="59" t="s">
        <v>351</v>
      </c>
      <c r="FY8" s="59" t="s">
        <v>352</v>
      </c>
      <c r="FZ8" s="59" t="s">
        <v>353</v>
      </c>
      <c r="GA8" s="59" t="s">
        <v>354</v>
      </c>
      <c r="GB8" s="59" t="s">
        <v>355</v>
      </c>
      <c r="GC8" s="59"/>
      <c r="GD8" s="59"/>
      <c r="GE8" s="59"/>
      <c r="GF8" s="59"/>
      <c r="GG8" s="59"/>
      <c r="GH8" s="59"/>
      <c r="GI8" s="59"/>
      <c r="GJ8" s="59"/>
      <c r="GK8" s="64"/>
      <c r="GL8" s="58" t="s">
        <v>104</v>
      </c>
      <c r="GM8" s="59" t="s">
        <v>105</v>
      </c>
      <c r="GN8" s="59" t="s">
        <v>106</v>
      </c>
      <c r="GO8" s="59" t="s">
        <v>364</v>
      </c>
      <c r="GP8" s="59" t="s">
        <v>364</v>
      </c>
      <c r="GQ8" s="59" t="s">
        <v>368</v>
      </c>
      <c r="GR8" s="59" t="s">
        <v>371</v>
      </c>
      <c r="GS8" s="59" t="s">
        <v>373</v>
      </c>
      <c r="GT8" s="59" t="s">
        <v>374</v>
      </c>
      <c r="GU8" s="59" t="s">
        <v>375</v>
      </c>
      <c r="GV8" s="59" t="s">
        <v>376</v>
      </c>
      <c r="GW8" s="59" t="s">
        <v>381</v>
      </c>
      <c r="GX8" s="59" t="s">
        <v>382</v>
      </c>
      <c r="GY8" s="59" t="s">
        <v>107</v>
      </c>
      <c r="GZ8" s="59" t="s">
        <v>107</v>
      </c>
      <c r="HA8" s="59" t="s">
        <v>107</v>
      </c>
      <c r="HB8" s="59" t="s">
        <v>107</v>
      </c>
      <c r="HC8" s="59" t="s">
        <v>386</v>
      </c>
      <c r="HD8" s="59" t="s">
        <v>386</v>
      </c>
      <c r="HE8" s="59" t="s">
        <v>418</v>
      </c>
      <c r="HF8" s="59" t="s">
        <v>423</v>
      </c>
      <c r="HG8" s="59" t="s">
        <v>424</v>
      </c>
      <c r="HH8" s="59" t="s">
        <v>419</v>
      </c>
      <c r="HI8" s="59" t="s">
        <v>420</v>
      </c>
      <c r="HJ8" s="59" t="s">
        <v>421</v>
      </c>
      <c r="HK8" s="59" t="s">
        <v>422</v>
      </c>
      <c r="HL8" s="59" t="s">
        <v>425</v>
      </c>
      <c r="HM8" s="59" t="s">
        <v>426</v>
      </c>
      <c r="HN8" s="59" t="s">
        <v>427</v>
      </c>
      <c r="HO8" s="59" t="s">
        <v>428</v>
      </c>
      <c r="HP8" s="59" t="s">
        <v>429</v>
      </c>
      <c r="HQ8" s="59" t="s">
        <v>430</v>
      </c>
      <c r="HR8" s="59" t="s">
        <v>431</v>
      </c>
      <c r="HS8" s="59" t="s">
        <v>432</v>
      </c>
      <c r="HT8" s="59" t="s">
        <v>433</v>
      </c>
      <c r="HU8" s="59" t="s">
        <v>434</v>
      </c>
      <c r="HV8" s="59" t="s">
        <v>435</v>
      </c>
      <c r="HW8" s="59" t="s">
        <v>436</v>
      </c>
      <c r="HX8" s="59" t="s">
        <v>437</v>
      </c>
      <c r="HY8" s="59" t="s">
        <v>438</v>
      </c>
      <c r="HZ8" s="59" t="s">
        <v>439</v>
      </c>
      <c r="IA8" s="59" t="s">
        <v>440</v>
      </c>
      <c r="IB8" s="59" t="s">
        <v>441</v>
      </c>
      <c r="IC8" s="59" t="s">
        <v>442</v>
      </c>
      <c r="ID8" s="59" t="s">
        <v>443</v>
      </c>
      <c r="IE8" s="59" t="s">
        <v>444</v>
      </c>
      <c r="IF8" s="59"/>
      <c r="IG8" s="60"/>
      <c r="IH8" s="59"/>
      <c r="II8" s="59"/>
      <c r="IJ8" s="69" t="s">
        <v>108</v>
      </c>
      <c r="IK8" s="70"/>
      <c r="IL8" s="71"/>
      <c r="IM8" s="72"/>
      <c r="IN8" s="73"/>
      <c r="IO8" s="74"/>
    </row>
    <row r="9" spans="1:250" s="75" customFormat="1" ht="22.5" customHeight="1" x14ac:dyDescent="0.3">
      <c r="A9" s="358"/>
      <c r="B9" s="361"/>
      <c r="C9" s="361"/>
      <c r="D9" s="361"/>
      <c r="E9" s="361"/>
      <c r="F9" s="355"/>
      <c r="G9" s="377"/>
      <c r="H9" s="355"/>
      <c r="I9" s="76"/>
      <c r="J9" s="77"/>
      <c r="K9" s="78"/>
      <c r="L9" s="79"/>
      <c r="M9" s="77"/>
      <c r="N9" s="80"/>
      <c r="O9" s="76"/>
      <c r="P9" s="77"/>
      <c r="Q9" s="78"/>
      <c r="R9" s="79"/>
      <c r="S9" s="77"/>
      <c r="T9" s="77"/>
      <c r="U9" s="80"/>
      <c r="V9" s="81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59"/>
      <c r="AK9" s="77"/>
      <c r="AL9" s="77"/>
      <c r="AM9" s="77"/>
      <c r="AN9" s="77"/>
      <c r="AO9" s="77"/>
      <c r="AP9" s="78"/>
      <c r="AQ9" s="82"/>
      <c r="AR9" s="85"/>
      <c r="AS9" s="83"/>
      <c r="AT9" s="59"/>
      <c r="AU9" s="59"/>
      <c r="AV9" s="59"/>
      <c r="AW9" s="85"/>
      <c r="AX9" s="84"/>
      <c r="AY9" s="84"/>
      <c r="AZ9" s="84"/>
      <c r="BA9" s="85"/>
      <c r="BB9" s="85"/>
      <c r="BC9" s="85"/>
      <c r="BD9" s="85"/>
      <c r="BE9" s="85"/>
      <c r="BF9" s="85"/>
      <c r="BG9" s="85"/>
      <c r="BH9" s="85"/>
      <c r="BI9" s="86"/>
      <c r="BJ9" s="76"/>
      <c r="BK9" s="77"/>
      <c r="BL9" s="85"/>
      <c r="BM9" s="85"/>
      <c r="BN9" s="85"/>
      <c r="BO9" s="85"/>
      <c r="BP9" s="85"/>
      <c r="BQ9" s="85"/>
      <c r="BR9" s="78"/>
      <c r="BS9" s="77"/>
      <c r="BT9" s="83"/>
      <c r="BU9" s="453"/>
      <c r="BV9" s="83"/>
      <c r="BW9" s="453"/>
      <c r="BX9" s="453"/>
      <c r="BY9" s="453"/>
      <c r="BZ9" s="453"/>
      <c r="CA9" s="453"/>
      <c r="CB9" s="84"/>
      <c r="CC9" s="84"/>
      <c r="CD9" s="84"/>
      <c r="CE9" s="85"/>
      <c r="CF9" s="85"/>
      <c r="CG9" s="85"/>
      <c r="CH9" s="85"/>
      <c r="CI9" s="85"/>
      <c r="CJ9" s="85"/>
      <c r="CK9" s="85"/>
      <c r="CL9" s="85"/>
      <c r="CM9" s="85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86"/>
      <c r="CY9" s="81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8"/>
      <c r="ER9" s="79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89"/>
      <c r="FL9" s="89"/>
      <c r="FM9" s="89"/>
      <c r="FN9" s="77"/>
      <c r="FO9" s="77"/>
      <c r="FP9" s="77"/>
      <c r="FQ9" s="77"/>
      <c r="FR9" s="77"/>
      <c r="FS9" s="77"/>
      <c r="FT9" s="77"/>
      <c r="FU9" s="77"/>
      <c r="FV9" s="77"/>
      <c r="FW9" s="77"/>
      <c r="FX9" s="77"/>
      <c r="FY9" s="77"/>
      <c r="FZ9" s="77"/>
      <c r="GA9" s="77"/>
      <c r="GB9" s="77"/>
      <c r="GC9" s="77"/>
      <c r="GD9" s="77"/>
      <c r="GE9" s="77"/>
      <c r="GF9" s="77"/>
      <c r="GG9" s="77"/>
      <c r="GH9" s="77"/>
      <c r="GI9" s="77"/>
      <c r="GJ9" s="77"/>
      <c r="GK9" s="80"/>
      <c r="GL9" s="76"/>
      <c r="GM9" s="77"/>
      <c r="GN9" s="77"/>
      <c r="GO9" s="77"/>
      <c r="GP9" s="77"/>
      <c r="GQ9" s="77"/>
      <c r="GR9" s="77"/>
      <c r="GS9" s="77"/>
      <c r="GT9" s="77"/>
      <c r="GU9" s="77"/>
      <c r="GV9" s="77"/>
      <c r="GW9" s="77"/>
      <c r="GX9" s="77"/>
      <c r="GY9" s="77"/>
      <c r="GZ9" s="77"/>
      <c r="HA9" s="77"/>
      <c r="HB9" s="77"/>
      <c r="HC9" s="77"/>
      <c r="HD9" s="77"/>
      <c r="HE9" s="77"/>
      <c r="HF9" s="77"/>
      <c r="HG9" s="77"/>
      <c r="HH9" s="77"/>
      <c r="HI9" s="77"/>
      <c r="HJ9" s="77"/>
      <c r="HK9" s="77"/>
      <c r="HL9" s="77"/>
      <c r="HM9" s="77"/>
      <c r="HN9" s="77"/>
      <c r="HO9" s="77"/>
      <c r="HP9" s="77"/>
      <c r="HQ9" s="77"/>
      <c r="HR9" s="77"/>
      <c r="HS9" s="77"/>
      <c r="HT9" s="77"/>
      <c r="HU9" s="77"/>
      <c r="HV9" s="77"/>
      <c r="HW9" s="77"/>
      <c r="HX9" s="77"/>
      <c r="HY9" s="77"/>
      <c r="HZ9" s="77"/>
      <c r="IA9" s="77"/>
      <c r="IB9" s="77"/>
      <c r="IC9" s="77"/>
      <c r="ID9" s="77"/>
      <c r="IE9" s="77"/>
      <c r="IF9" s="77"/>
      <c r="IG9" s="78"/>
      <c r="IH9" s="77"/>
      <c r="II9" s="77"/>
      <c r="IJ9" s="69" t="s">
        <v>109</v>
      </c>
      <c r="IK9" s="70"/>
      <c r="IL9" s="71"/>
      <c r="IM9" s="72"/>
      <c r="IN9" s="73" t="s">
        <v>110</v>
      </c>
    </row>
    <row r="10" spans="1:250" s="75" customFormat="1" ht="22.5" customHeight="1" thickBot="1" x14ac:dyDescent="0.35">
      <c r="A10" s="359"/>
      <c r="B10" s="362"/>
      <c r="C10" s="362"/>
      <c r="D10" s="362"/>
      <c r="E10" s="362"/>
      <c r="F10" s="356"/>
      <c r="G10" s="378"/>
      <c r="H10" s="356"/>
      <c r="I10" s="90"/>
      <c r="J10" s="91"/>
      <c r="K10" s="92"/>
      <c r="L10" s="93"/>
      <c r="M10" s="91"/>
      <c r="N10" s="94"/>
      <c r="O10" s="90"/>
      <c r="P10" s="91"/>
      <c r="Q10" s="92"/>
      <c r="R10" s="93"/>
      <c r="S10" s="91"/>
      <c r="T10" s="91"/>
      <c r="U10" s="94"/>
      <c r="V10" s="95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6"/>
      <c r="AR10" s="96"/>
      <c r="AS10" s="97"/>
      <c r="AT10" s="91"/>
      <c r="AU10" s="91"/>
      <c r="AV10" s="91"/>
      <c r="AW10" s="96"/>
      <c r="AX10" s="98"/>
      <c r="AY10" s="98"/>
      <c r="AZ10" s="98"/>
      <c r="BA10" s="96"/>
      <c r="BB10" s="96"/>
      <c r="BC10" s="96"/>
      <c r="BD10" s="96"/>
      <c r="BE10" s="96"/>
      <c r="BF10" s="96"/>
      <c r="BG10" s="96"/>
      <c r="BH10" s="96"/>
      <c r="BI10" s="99"/>
      <c r="BJ10" s="90"/>
      <c r="BK10" s="91"/>
      <c r="BL10" s="96"/>
      <c r="BM10" s="96"/>
      <c r="BN10" s="96"/>
      <c r="BO10" s="96"/>
      <c r="BP10" s="96"/>
      <c r="BQ10" s="96"/>
      <c r="BR10" s="92"/>
      <c r="BS10" s="91"/>
      <c r="BT10" s="97"/>
      <c r="BU10" s="98"/>
      <c r="BV10" s="97"/>
      <c r="BW10" s="98"/>
      <c r="BX10" s="98"/>
      <c r="BY10" s="98"/>
      <c r="BZ10" s="98"/>
      <c r="CA10" s="98"/>
      <c r="CB10" s="98"/>
      <c r="CC10" s="98"/>
      <c r="CD10" s="98"/>
      <c r="CE10" s="96"/>
      <c r="CF10" s="96"/>
      <c r="CG10" s="96"/>
      <c r="CH10" s="96"/>
      <c r="CI10" s="96"/>
      <c r="CJ10" s="96"/>
      <c r="CK10" s="96"/>
      <c r="CL10" s="96"/>
      <c r="CM10" s="96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9"/>
      <c r="CY10" s="95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1"/>
      <c r="ER10" s="93"/>
      <c r="ES10" s="91"/>
      <c r="ET10" s="91"/>
      <c r="EU10" s="91"/>
      <c r="EV10" s="91"/>
      <c r="EW10" s="91"/>
      <c r="EX10" s="91"/>
      <c r="EY10" s="91"/>
      <c r="EZ10" s="91"/>
      <c r="FA10" s="91"/>
      <c r="FB10" s="91"/>
      <c r="FC10" s="91"/>
      <c r="FD10" s="91"/>
      <c r="FE10" s="91"/>
      <c r="FF10" s="91"/>
      <c r="FG10" s="91"/>
      <c r="FH10" s="91"/>
      <c r="FI10" s="91"/>
      <c r="FJ10" s="91"/>
      <c r="FK10" s="102"/>
      <c r="FL10" s="102"/>
      <c r="FM10" s="102"/>
      <c r="FN10" s="91"/>
      <c r="FO10" s="91"/>
      <c r="FP10" s="91"/>
      <c r="FQ10" s="91"/>
      <c r="FR10" s="91"/>
      <c r="FS10" s="91"/>
      <c r="FT10" s="91"/>
      <c r="FU10" s="91"/>
      <c r="FV10" s="91"/>
      <c r="FW10" s="91"/>
      <c r="FX10" s="91"/>
      <c r="FY10" s="91"/>
      <c r="FZ10" s="91"/>
      <c r="GA10" s="91"/>
      <c r="GB10" s="91"/>
      <c r="GC10" s="91"/>
      <c r="GD10" s="91"/>
      <c r="GE10" s="91"/>
      <c r="GF10" s="91"/>
      <c r="GG10" s="91"/>
      <c r="GH10" s="91"/>
      <c r="GI10" s="91"/>
      <c r="GJ10" s="91"/>
      <c r="GK10" s="94"/>
      <c r="GL10" s="90"/>
      <c r="GM10" s="91"/>
      <c r="GN10" s="91"/>
      <c r="GO10" s="91"/>
      <c r="GP10" s="91"/>
      <c r="GQ10" s="91"/>
      <c r="GR10" s="91"/>
      <c r="GS10" s="91"/>
      <c r="GT10" s="91"/>
      <c r="GU10" s="91"/>
      <c r="GV10" s="91"/>
      <c r="GW10" s="91"/>
      <c r="GX10" s="91"/>
      <c r="GY10" s="91"/>
      <c r="GZ10" s="91"/>
      <c r="HA10" s="91"/>
      <c r="HB10" s="91"/>
      <c r="HC10" s="91"/>
      <c r="HD10" s="91"/>
      <c r="HE10" s="91"/>
      <c r="HF10" s="91"/>
      <c r="HG10" s="91"/>
      <c r="HH10" s="91"/>
      <c r="HI10" s="91"/>
      <c r="HJ10" s="91"/>
      <c r="HK10" s="91"/>
      <c r="HL10" s="91"/>
      <c r="HM10" s="91"/>
      <c r="HN10" s="91"/>
      <c r="HO10" s="91"/>
      <c r="HP10" s="91"/>
      <c r="HQ10" s="91"/>
      <c r="HR10" s="91"/>
      <c r="HS10" s="91"/>
      <c r="HT10" s="91"/>
      <c r="HU10" s="91"/>
      <c r="HV10" s="91"/>
      <c r="HW10" s="91"/>
      <c r="HX10" s="91"/>
      <c r="HY10" s="91"/>
      <c r="HZ10" s="91"/>
      <c r="IA10" s="91"/>
      <c r="IB10" s="91"/>
      <c r="IC10" s="91"/>
      <c r="ID10" s="91"/>
      <c r="IE10" s="91"/>
      <c r="IF10" s="91"/>
      <c r="IG10" s="92"/>
      <c r="IH10" s="91"/>
      <c r="II10" s="91"/>
      <c r="IJ10" s="103" t="s">
        <v>111</v>
      </c>
      <c r="IK10" s="104"/>
      <c r="IL10" s="105"/>
      <c r="IM10" s="106"/>
      <c r="IN10" s="107" t="s">
        <v>112</v>
      </c>
      <c r="IO10" s="75" t="s">
        <v>113</v>
      </c>
    </row>
    <row r="11" spans="1:250" s="15" customFormat="1" ht="56.1" customHeight="1" thickBot="1" x14ac:dyDescent="0.2">
      <c r="A11" s="108" t="s">
        <v>114</v>
      </c>
      <c r="B11" s="109">
        <f>COUNTA(B12:B63)</f>
        <v>0</v>
      </c>
      <c r="C11" s="110" t="s">
        <v>115</v>
      </c>
      <c r="D11" s="111"/>
      <c r="E11" s="111"/>
      <c r="F11" s="112">
        <f>SUM(F12:F63)</f>
        <v>0</v>
      </c>
      <c r="G11" s="113">
        <f>COUNTIF(I11:IG11,"&gt;0")</f>
        <v>0</v>
      </c>
      <c r="H11" s="114">
        <f>SUM(I11:IG11)</f>
        <v>0</v>
      </c>
      <c r="I11" s="115">
        <f>SUM(I12:I63)</f>
        <v>0</v>
      </c>
      <c r="J11" s="115">
        <f t="shared" ref="J11:II11" si="0">SUM(J12:J63)</f>
        <v>0</v>
      </c>
      <c r="K11" s="115">
        <f t="shared" si="0"/>
        <v>0</v>
      </c>
      <c r="L11" s="115">
        <f t="shared" si="0"/>
        <v>0</v>
      </c>
      <c r="M11" s="115">
        <f t="shared" si="0"/>
        <v>0</v>
      </c>
      <c r="N11" s="115">
        <f t="shared" si="0"/>
        <v>0</v>
      </c>
      <c r="O11" s="115">
        <f t="shared" si="0"/>
        <v>0</v>
      </c>
      <c r="P11" s="115">
        <f t="shared" si="0"/>
        <v>0</v>
      </c>
      <c r="Q11" s="115">
        <f t="shared" si="0"/>
        <v>0</v>
      </c>
      <c r="R11" s="115">
        <f t="shared" si="0"/>
        <v>0</v>
      </c>
      <c r="S11" s="115">
        <f t="shared" si="0"/>
        <v>0</v>
      </c>
      <c r="T11" s="115">
        <f t="shared" si="0"/>
        <v>0</v>
      </c>
      <c r="U11" s="115">
        <f t="shared" si="0"/>
        <v>0</v>
      </c>
      <c r="V11" s="115">
        <f t="shared" si="0"/>
        <v>0</v>
      </c>
      <c r="W11" s="115">
        <f t="shared" ref="W11:AI11" si="1">SUM(W12:W63)</f>
        <v>0</v>
      </c>
      <c r="X11" s="115">
        <f t="shared" ref="X11:Y11" si="2">SUM(X12:X63)</f>
        <v>0</v>
      </c>
      <c r="Y11" s="115">
        <f t="shared" si="2"/>
        <v>0</v>
      </c>
      <c r="Z11" s="115">
        <f t="shared" si="1"/>
        <v>0</v>
      </c>
      <c r="AA11" s="115">
        <f t="shared" si="1"/>
        <v>0</v>
      </c>
      <c r="AB11" s="115">
        <f t="shared" ref="AB11:AC11" si="3">SUM(AB12:AB63)</f>
        <v>0</v>
      </c>
      <c r="AC11" s="115">
        <f t="shared" si="3"/>
        <v>0</v>
      </c>
      <c r="AD11" s="115">
        <f t="shared" si="1"/>
        <v>0</v>
      </c>
      <c r="AE11" s="115">
        <f t="shared" si="1"/>
        <v>0</v>
      </c>
      <c r="AF11" s="115">
        <f t="shared" si="1"/>
        <v>0</v>
      </c>
      <c r="AG11" s="115">
        <f t="shared" ref="AG11:AH11" si="4">SUM(AG12:AG63)</f>
        <v>0</v>
      </c>
      <c r="AH11" s="115">
        <f t="shared" si="4"/>
        <v>0</v>
      </c>
      <c r="AI11" s="115">
        <f t="shared" si="1"/>
        <v>0</v>
      </c>
      <c r="AJ11" s="115">
        <f t="shared" si="0"/>
        <v>0</v>
      </c>
      <c r="AK11" s="115">
        <f t="shared" ref="AK11" si="5">SUM(AK12:AK63)</f>
        <v>0</v>
      </c>
      <c r="AL11" s="115">
        <f t="shared" si="0"/>
        <v>0</v>
      </c>
      <c r="AM11" s="115">
        <f t="shared" ref="AM11:AN11" si="6">SUM(AM12:AM63)</f>
        <v>0</v>
      </c>
      <c r="AN11" s="115">
        <f t="shared" si="6"/>
        <v>0</v>
      </c>
      <c r="AO11" s="115">
        <f t="shared" si="0"/>
        <v>0</v>
      </c>
      <c r="AP11" s="115">
        <f t="shared" si="0"/>
        <v>0</v>
      </c>
      <c r="AQ11" s="115">
        <f t="shared" si="0"/>
        <v>0</v>
      </c>
      <c r="AR11" s="115">
        <f t="shared" ref="AR11" si="7">SUM(AR12:AR63)</f>
        <v>0</v>
      </c>
      <c r="AS11" s="115">
        <f t="shared" si="0"/>
        <v>0</v>
      </c>
      <c r="AT11" s="115">
        <f t="shared" si="0"/>
        <v>0</v>
      </c>
      <c r="AU11" s="115">
        <f t="shared" ref="AU11:AY11" si="8">SUM(AU12:AU63)</f>
        <v>0</v>
      </c>
      <c r="AV11" s="115">
        <f t="shared" si="8"/>
        <v>0</v>
      </c>
      <c r="AW11" s="115">
        <f t="shared" si="8"/>
        <v>0</v>
      </c>
      <c r="AX11" s="115">
        <f t="shared" ref="AX11" si="9">SUM(AX12:AX63)</f>
        <v>0</v>
      </c>
      <c r="AY11" s="115">
        <f t="shared" si="8"/>
        <v>0</v>
      </c>
      <c r="AZ11" s="115">
        <f t="shared" si="0"/>
        <v>0</v>
      </c>
      <c r="BA11" s="115">
        <f t="shared" ref="BA11:BG11" si="10">SUM(BA12:BA63)</f>
        <v>0</v>
      </c>
      <c r="BB11" s="115">
        <f t="shared" si="10"/>
        <v>0</v>
      </c>
      <c r="BC11" s="115">
        <f t="shared" ref="BC11" si="11">SUM(BC12:BC63)</f>
        <v>0</v>
      </c>
      <c r="BD11" s="115">
        <f t="shared" si="10"/>
        <v>0</v>
      </c>
      <c r="BE11" s="115">
        <f t="shared" ref="BE11:BF11" si="12">SUM(BE12:BE63)</f>
        <v>0</v>
      </c>
      <c r="BF11" s="115">
        <f t="shared" si="12"/>
        <v>0</v>
      </c>
      <c r="BG11" s="115">
        <f t="shared" si="10"/>
        <v>0</v>
      </c>
      <c r="BH11" s="115">
        <f t="shared" si="0"/>
        <v>0</v>
      </c>
      <c r="BI11" s="115">
        <f t="shared" si="0"/>
        <v>0</v>
      </c>
      <c r="BJ11" s="115">
        <f t="shared" si="0"/>
        <v>0</v>
      </c>
      <c r="BK11" s="115">
        <f t="shared" si="0"/>
        <v>0</v>
      </c>
      <c r="BL11" s="115">
        <f t="shared" ref="BL11" si="13">SUM(BL12:BL63)</f>
        <v>0</v>
      </c>
      <c r="BM11" s="115">
        <f t="shared" si="0"/>
        <v>0</v>
      </c>
      <c r="BN11" s="115">
        <f t="shared" ref="BN11:BO11" si="14">SUM(BN12:BN63)</f>
        <v>0</v>
      </c>
      <c r="BO11" s="115">
        <f t="shared" si="14"/>
        <v>0</v>
      </c>
      <c r="BP11" s="115">
        <f t="shared" ref="BP11" si="15">SUM(BP12:BP63)</f>
        <v>0</v>
      </c>
      <c r="BQ11" s="115">
        <f t="shared" si="0"/>
        <v>0</v>
      </c>
      <c r="BR11" s="115">
        <f t="shared" si="0"/>
        <v>0</v>
      </c>
      <c r="BS11" s="115">
        <f t="shared" ref="BS11:BV11" si="16">SUM(BS12:BS63)</f>
        <v>0</v>
      </c>
      <c r="BT11" s="115">
        <f t="shared" ref="BT11:BZ11" si="17">SUM(BT12:BT63)</f>
        <v>0</v>
      </c>
      <c r="BU11" s="115">
        <f t="shared" si="16"/>
        <v>0</v>
      </c>
      <c r="BV11" s="115">
        <f t="shared" si="16"/>
        <v>0</v>
      </c>
      <c r="BW11" s="115">
        <f t="shared" si="17"/>
        <v>0</v>
      </c>
      <c r="BX11" s="115">
        <f t="shared" si="17"/>
        <v>0</v>
      </c>
      <c r="BY11" s="115">
        <f t="shared" ref="BY11" si="18">SUM(BY12:BY63)</f>
        <v>0</v>
      </c>
      <c r="BZ11" s="115">
        <f t="shared" si="17"/>
        <v>0</v>
      </c>
      <c r="CA11" s="115">
        <f t="shared" si="0"/>
        <v>0</v>
      </c>
      <c r="CB11" s="115">
        <f>SUM(CB12:CB63)</f>
        <v>0</v>
      </c>
      <c r="CC11" s="115">
        <f>SUM(CC12:CC63)</f>
        <v>0</v>
      </c>
      <c r="CD11" s="115">
        <f>SUM(CD12:CD63)</f>
        <v>0</v>
      </c>
      <c r="CE11" s="115">
        <f t="shared" si="0"/>
        <v>0</v>
      </c>
      <c r="CF11" s="115">
        <f t="shared" si="0"/>
        <v>0</v>
      </c>
      <c r="CG11" s="115">
        <f t="shared" ref="CG11:CH11" si="19">SUM(CG12:CG63)</f>
        <v>0</v>
      </c>
      <c r="CH11" s="115">
        <f t="shared" si="19"/>
        <v>0</v>
      </c>
      <c r="CI11" s="115">
        <f t="shared" si="0"/>
        <v>0</v>
      </c>
      <c r="CJ11" s="115">
        <f t="shared" ref="CJ11:CO11" si="20">SUM(CJ12:CJ63)</f>
        <v>0</v>
      </c>
      <c r="CK11" s="115">
        <f t="shared" si="20"/>
        <v>0</v>
      </c>
      <c r="CL11" s="115">
        <f t="shared" si="20"/>
        <v>0</v>
      </c>
      <c r="CM11" s="115">
        <f t="shared" si="20"/>
        <v>0</v>
      </c>
      <c r="CN11" s="115">
        <f t="shared" si="20"/>
        <v>0</v>
      </c>
      <c r="CO11" s="115">
        <f t="shared" si="20"/>
        <v>0</v>
      </c>
      <c r="CP11" s="115">
        <f t="shared" si="0"/>
        <v>0</v>
      </c>
      <c r="CQ11" s="115">
        <f t="shared" ref="CQ11:CR11" si="21">SUM(CQ12:CQ63)</f>
        <v>0</v>
      </c>
      <c r="CR11" s="115">
        <f t="shared" si="21"/>
        <v>0</v>
      </c>
      <c r="CS11" s="115">
        <f t="shared" si="0"/>
        <v>0</v>
      </c>
      <c r="CT11" s="115">
        <f t="shared" si="0"/>
        <v>0</v>
      </c>
      <c r="CU11" s="115">
        <f t="shared" ref="CU11:CV11" si="22">SUM(CU12:CU63)</f>
        <v>0</v>
      </c>
      <c r="CV11" s="115">
        <f t="shared" si="22"/>
        <v>0</v>
      </c>
      <c r="CW11" s="115">
        <f t="shared" si="0"/>
        <v>0</v>
      </c>
      <c r="CX11" s="115">
        <f t="shared" si="0"/>
        <v>0</v>
      </c>
      <c r="CY11" s="115">
        <f t="shared" si="0"/>
        <v>0</v>
      </c>
      <c r="CZ11" s="115">
        <f t="shared" si="0"/>
        <v>0</v>
      </c>
      <c r="DA11" s="115">
        <f t="shared" ref="DA11:DD11" si="23">SUM(DA12:DA63)</f>
        <v>0</v>
      </c>
      <c r="DB11" s="115">
        <f t="shared" ref="DB11:DC11" si="24">SUM(DB12:DB63)</f>
        <v>0</v>
      </c>
      <c r="DC11" s="115">
        <f t="shared" si="24"/>
        <v>0</v>
      </c>
      <c r="DD11" s="115">
        <f t="shared" si="23"/>
        <v>0</v>
      </c>
      <c r="DE11" s="115">
        <f t="shared" si="0"/>
        <v>0</v>
      </c>
      <c r="DF11" s="115">
        <f t="shared" si="0"/>
        <v>0</v>
      </c>
      <c r="DG11" s="115">
        <f t="shared" si="0"/>
        <v>0</v>
      </c>
      <c r="DH11" s="115">
        <f t="shared" si="0"/>
        <v>0</v>
      </c>
      <c r="DI11" s="115">
        <f t="shared" ref="DI11:DM11" si="25">SUM(DI12:DI63)</f>
        <v>0</v>
      </c>
      <c r="DJ11" s="115">
        <f t="shared" si="25"/>
        <v>0</v>
      </c>
      <c r="DK11" s="115">
        <f t="shared" ref="DK11:DL11" si="26">SUM(DK12:DK63)</f>
        <v>0</v>
      </c>
      <c r="DL11" s="115">
        <f t="shared" si="26"/>
        <v>0</v>
      </c>
      <c r="DM11" s="115">
        <f t="shared" si="25"/>
        <v>0</v>
      </c>
      <c r="DN11" s="115">
        <f t="shared" si="0"/>
        <v>0</v>
      </c>
      <c r="DO11" s="115">
        <f t="shared" ref="DO11:DQ11" si="27">SUM(DO12:DO63)</f>
        <v>0</v>
      </c>
      <c r="DP11" s="115">
        <f t="shared" si="27"/>
        <v>0</v>
      </c>
      <c r="DQ11" s="115">
        <f t="shared" si="27"/>
        <v>0</v>
      </c>
      <c r="DR11" s="115">
        <f t="shared" si="0"/>
        <v>0</v>
      </c>
      <c r="DS11" s="115">
        <f t="shared" ref="DS11" si="28">SUM(DS12:DS63)</f>
        <v>0</v>
      </c>
      <c r="DT11" s="115">
        <f t="shared" si="0"/>
        <v>0</v>
      </c>
      <c r="DU11" s="115">
        <f t="shared" ref="DU11:EO11" si="29">SUM(DU12:DU63)</f>
        <v>0</v>
      </c>
      <c r="DV11" s="115">
        <f t="shared" ref="DV11" si="30">SUM(DV12:DV63)</f>
        <v>0</v>
      </c>
      <c r="DW11" s="115">
        <f t="shared" si="29"/>
        <v>0</v>
      </c>
      <c r="DX11" s="115">
        <f t="shared" ref="DX11:EB11" si="31">SUM(DX12:DX63)</f>
        <v>0</v>
      </c>
      <c r="DY11" s="115">
        <f t="shared" si="31"/>
        <v>0</v>
      </c>
      <c r="DZ11" s="115">
        <f t="shared" ref="DZ11" si="32">SUM(DZ12:DZ63)</f>
        <v>0</v>
      </c>
      <c r="EA11" s="115">
        <f t="shared" si="31"/>
        <v>0</v>
      </c>
      <c r="EB11" s="115">
        <f t="shared" si="31"/>
        <v>0</v>
      </c>
      <c r="EC11" s="115">
        <f t="shared" si="29"/>
        <v>0</v>
      </c>
      <c r="ED11" s="115">
        <f t="shared" ref="ED11:EM11" si="33">SUM(ED12:ED63)</f>
        <v>0</v>
      </c>
      <c r="EE11" s="115">
        <f t="shared" si="33"/>
        <v>0</v>
      </c>
      <c r="EF11" s="115">
        <f t="shared" si="33"/>
        <v>0</v>
      </c>
      <c r="EG11" s="115">
        <f t="shared" ref="EG11:EJ11" si="34">SUM(EG12:EG63)</f>
        <v>0</v>
      </c>
      <c r="EH11" s="115">
        <f t="shared" ref="EH11" si="35">SUM(EH12:EH63)</f>
        <v>0</v>
      </c>
      <c r="EI11" s="115">
        <f t="shared" si="34"/>
        <v>0</v>
      </c>
      <c r="EJ11" s="115">
        <f t="shared" si="34"/>
        <v>0</v>
      </c>
      <c r="EK11" s="115">
        <f t="shared" si="33"/>
        <v>0</v>
      </c>
      <c r="EL11" s="115">
        <f t="shared" si="33"/>
        <v>0</v>
      </c>
      <c r="EM11" s="115">
        <f t="shared" si="33"/>
        <v>0</v>
      </c>
      <c r="EN11" s="115">
        <f t="shared" ref="EN11" si="36">SUM(EN12:EN63)</f>
        <v>0</v>
      </c>
      <c r="EO11" s="115">
        <f t="shared" si="29"/>
        <v>0</v>
      </c>
      <c r="EP11" s="115">
        <f t="shared" si="0"/>
        <v>0</v>
      </c>
      <c r="EQ11" s="115">
        <f t="shared" si="0"/>
        <v>0</v>
      </c>
      <c r="ER11" s="115">
        <f t="shared" si="0"/>
        <v>0</v>
      </c>
      <c r="ES11" s="115">
        <f t="shared" ref="ES11" si="37">SUM(ES12:ES63)</f>
        <v>0</v>
      </c>
      <c r="ET11" s="115">
        <f t="shared" si="0"/>
        <v>0</v>
      </c>
      <c r="EU11" s="115">
        <f t="shared" ref="EU11:EW11" si="38">SUM(EU12:EU63)</f>
        <v>0</v>
      </c>
      <c r="EV11" s="115">
        <f t="shared" ref="EV11" si="39">SUM(EV12:EV63)</f>
        <v>0</v>
      </c>
      <c r="EW11" s="115">
        <f t="shared" si="38"/>
        <v>0</v>
      </c>
      <c r="EX11" s="115">
        <f t="shared" si="0"/>
        <v>0</v>
      </c>
      <c r="EY11" s="115">
        <f t="shared" si="0"/>
        <v>0</v>
      </c>
      <c r="EZ11" s="115">
        <f t="shared" ref="EZ11:FK11" si="40">SUM(EZ12:EZ63)</f>
        <v>0</v>
      </c>
      <c r="FA11" s="115">
        <f t="shared" ref="FA11:FC11" si="41">SUM(FA12:FA63)</f>
        <v>0</v>
      </c>
      <c r="FB11" s="115">
        <f t="shared" si="41"/>
        <v>0</v>
      </c>
      <c r="FC11" s="115">
        <f t="shared" si="41"/>
        <v>0</v>
      </c>
      <c r="FD11" s="115">
        <f t="shared" si="40"/>
        <v>0</v>
      </c>
      <c r="FE11" s="115">
        <f t="shared" si="40"/>
        <v>0</v>
      </c>
      <c r="FF11" s="115">
        <f t="shared" ref="FF11" si="42">SUM(FF12:FF63)</f>
        <v>0</v>
      </c>
      <c r="FG11" s="115">
        <f t="shared" ref="FG11:FI11" si="43">SUM(FG12:FG63)</f>
        <v>0</v>
      </c>
      <c r="FH11" s="115">
        <f t="shared" ref="FH11" si="44">SUM(FH12:FH63)</f>
        <v>0</v>
      </c>
      <c r="FI11" s="115">
        <f t="shared" si="43"/>
        <v>0</v>
      </c>
      <c r="FJ11" s="115">
        <f t="shared" si="40"/>
        <v>0</v>
      </c>
      <c r="FK11" s="115">
        <f t="shared" si="40"/>
        <v>0</v>
      </c>
      <c r="FL11" s="115">
        <f t="shared" si="0"/>
        <v>0</v>
      </c>
      <c r="FM11" s="115">
        <f t="shared" si="0"/>
        <v>0</v>
      </c>
      <c r="FN11" s="115">
        <f t="shared" si="0"/>
        <v>0</v>
      </c>
      <c r="FO11" s="115">
        <f t="shared" ref="FO11:FS11" si="45">SUM(FO12:FO63)</f>
        <v>0</v>
      </c>
      <c r="FP11" s="115">
        <f t="shared" ref="FP11" si="46">SUM(FP12:FP63)</f>
        <v>0</v>
      </c>
      <c r="FQ11" s="115">
        <f t="shared" si="45"/>
        <v>0</v>
      </c>
      <c r="FR11" s="115">
        <f t="shared" si="45"/>
        <v>0</v>
      </c>
      <c r="FS11" s="115">
        <f t="shared" si="45"/>
        <v>0</v>
      </c>
      <c r="FT11" s="115">
        <f t="shared" si="0"/>
        <v>0</v>
      </c>
      <c r="FU11" s="115">
        <f t="shared" ref="FU11:FX11" si="47">SUM(FU12:FU63)</f>
        <v>0</v>
      </c>
      <c r="FV11" s="115">
        <f t="shared" si="47"/>
        <v>0</v>
      </c>
      <c r="FW11" s="115">
        <f t="shared" si="47"/>
        <v>0</v>
      </c>
      <c r="FX11" s="115">
        <f t="shared" si="47"/>
        <v>0</v>
      </c>
      <c r="FY11" s="115">
        <f t="shared" si="0"/>
        <v>0</v>
      </c>
      <c r="FZ11" s="115">
        <f t="shared" si="0"/>
        <v>0</v>
      </c>
      <c r="GA11" s="115">
        <f t="shared" si="0"/>
        <v>0</v>
      </c>
      <c r="GB11" s="115">
        <f t="shared" ref="GB11" si="48">SUM(GB12:GB63)</f>
        <v>0</v>
      </c>
      <c r="GC11" s="115">
        <f t="shared" ref="GC11:GF11" si="49">SUM(GC12:GC63)</f>
        <v>0</v>
      </c>
      <c r="GD11" s="115">
        <f t="shared" si="49"/>
        <v>0</v>
      </c>
      <c r="GE11" s="115">
        <f t="shared" si="49"/>
        <v>0</v>
      </c>
      <c r="GF11" s="115">
        <f t="shared" si="49"/>
        <v>0</v>
      </c>
      <c r="GG11" s="115">
        <f t="shared" ref="GG11:GI11" si="50">SUM(GG12:GG63)</f>
        <v>0</v>
      </c>
      <c r="GH11" s="115">
        <f t="shared" si="50"/>
        <v>0</v>
      </c>
      <c r="GI11" s="115">
        <f t="shared" si="50"/>
        <v>0</v>
      </c>
      <c r="GJ11" s="115">
        <f t="shared" si="0"/>
        <v>0</v>
      </c>
      <c r="GK11" s="115">
        <f t="shared" si="0"/>
        <v>0</v>
      </c>
      <c r="GL11" s="115">
        <f t="shared" si="0"/>
        <v>0</v>
      </c>
      <c r="GM11" s="115">
        <f t="shared" si="0"/>
        <v>0</v>
      </c>
      <c r="GN11" s="115">
        <f t="shared" ref="GN11:GO11" si="51">SUM(GN12:GN63)</f>
        <v>0</v>
      </c>
      <c r="GO11" s="115">
        <f t="shared" si="51"/>
        <v>0</v>
      </c>
      <c r="GP11" s="115">
        <f t="shared" si="0"/>
        <v>0</v>
      </c>
      <c r="GQ11" s="115">
        <f t="shared" ref="GQ11:GS11" si="52">SUM(GQ12:GQ63)</f>
        <v>0</v>
      </c>
      <c r="GR11" s="115">
        <f t="shared" si="52"/>
        <v>0</v>
      </c>
      <c r="GS11" s="115">
        <f t="shared" si="52"/>
        <v>0</v>
      </c>
      <c r="GT11" s="115">
        <f t="shared" si="0"/>
        <v>0</v>
      </c>
      <c r="GU11" s="115">
        <f t="shared" si="0"/>
        <v>0</v>
      </c>
      <c r="GV11" s="115">
        <f t="shared" si="0"/>
        <v>0</v>
      </c>
      <c r="GW11" s="115">
        <f t="shared" ref="GW11:GX11" si="53">SUM(GW12:GW63)</f>
        <v>0</v>
      </c>
      <c r="GX11" s="115">
        <f t="shared" si="53"/>
        <v>0</v>
      </c>
      <c r="GY11" s="115">
        <f t="shared" si="0"/>
        <v>0</v>
      </c>
      <c r="GZ11" s="115">
        <f t="shared" ref="GZ11" si="54">SUM(GZ12:GZ63)</f>
        <v>0</v>
      </c>
      <c r="HA11" s="115">
        <f t="shared" si="0"/>
        <v>0</v>
      </c>
      <c r="HB11" s="115">
        <f t="shared" si="0"/>
        <v>0</v>
      </c>
      <c r="HC11" s="115">
        <f t="shared" si="0"/>
        <v>0</v>
      </c>
      <c r="HD11" s="115">
        <f t="shared" si="0"/>
        <v>0</v>
      </c>
      <c r="HE11" s="115">
        <f t="shared" si="0"/>
        <v>0</v>
      </c>
      <c r="HF11" s="115">
        <f t="shared" si="0"/>
        <v>0</v>
      </c>
      <c r="HG11" s="115">
        <f t="shared" si="0"/>
        <v>0</v>
      </c>
      <c r="HH11" s="115">
        <f t="shared" si="0"/>
        <v>0</v>
      </c>
      <c r="HI11" s="115">
        <f t="shared" si="0"/>
        <v>0</v>
      </c>
      <c r="HJ11" s="115">
        <f t="shared" si="0"/>
        <v>0</v>
      </c>
      <c r="HK11" s="115">
        <f t="shared" si="0"/>
        <v>0</v>
      </c>
      <c r="HL11" s="115">
        <f t="shared" ref="HL11:HQ11" si="55">SUM(HL12:HL63)</f>
        <v>0</v>
      </c>
      <c r="HM11" s="115">
        <f t="shared" si="55"/>
        <v>0</v>
      </c>
      <c r="HN11" s="115">
        <f t="shared" si="55"/>
        <v>0</v>
      </c>
      <c r="HO11" s="115">
        <f t="shared" si="55"/>
        <v>0</v>
      </c>
      <c r="HP11" s="115">
        <f t="shared" si="55"/>
        <v>0</v>
      </c>
      <c r="HQ11" s="115">
        <f t="shared" si="55"/>
        <v>0</v>
      </c>
      <c r="HR11" s="115">
        <f t="shared" ref="HR11:HT11" si="56">SUM(HR12:HR63)</f>
        <v>0</v>
      </c>
      <c r="HS11" s="115">
        <f t="shared" si="56"/>
        <v>0</v>
      </c>
      <c r="HT11" s="115">
        <f t="shared" si="56"/>
        <v>0</v>
      </c>
      <c r="HU11" s="115">
        <f t="shared" ref="HU11:IC11" si="57">SUM(HU12:HU63)</f>
        <v>0</v>
      </c>
      <c r="HV11" s="115">
        <f t="shared" si="57"/>
        <v>0</v>
      </c>
      <c r="HW11" s="115">
        <f t="shared" si="57"/>
        <v>0</v>
      </c>
      <c r="HX11" s="115">
        <f t="shared" si="57"/>
        <v>0</v>
      </c>
      <c r="HY11" s="115">
        <f t="shared" si="57"/>
        <v>0</v>
      </c>
      <c r="HZ11" s="115">
        <f t="shared" si="57"/>
        <v>0</v>
      </c>
      <c r="IA11" s="115">
        <f t="shared" si="57"/>
        <v>0</v>
      </c>
      <c r="IB11" s="115">
        <f t="shared" si="57"/>
        <v>0</v>
      </c>
      <c r="IC11" s="115">
        <f t="shared" si="57"/>
        <v>0</v>
      </c>
      <c r="ID11" s="115">
        <f t="shared" si="0"/>
        <v>0</v>
      </c>
      <c r="IE11" s="115">
        <f t="shared" si="0"/>
        <v>0</v>
      </c>
      <c r="IF11" s="115">
        <f t="shared" si="0"/>
        <v>0</v>
      </c>
      <c r="IG11" s="115">
        <f t="shared" si="0"/>
        <v>0</v>
      </c>
      <c r="IH11" s="115">
        <f t="shared" ref="IH11" si="58">SUM(IH12:IH63)</f>
        <v>0</v>
      </c>
      <c r="II11" s="115">
        <f t="shared" si="0"/>
        <v>0</v>
      </c>
      <c r="IJ11" s="380"/>
      <c r="IK11" s="381"/>
      <c r="IL11" s="381"/>
      <c r="IM11" s="382"/>
      <c r="IN11" s="116">
        <f ca="1">SUM(IN12:IN74)</f>
        <v>0</v>
      </c>
      <c r="IO11" s="116">
        <f ca="1">SUM(IO12:IO74)</f>
        <v>0</v>
      </c>
    </row>
    <row r="12" spans="1:250" s="135" customFormat="1" ht="15" customHeight="1" thickBot="1" x14ac:dyDescent="0.35">
      <c r="A12" s="117"/>
      <c r="B12" s="118"/>
      <c r="C12" s="119"/>
      <c r="D12" s="120"/>
      <c r="E12" s="118"/>
      <c r="F12" s="121"/>
      <c r="G12" s="122"/>
      <c r="H12" s="123"/>
      <c r="I12" s="124"/>
      <c r="J12" s="125"/>
      <c r="K12" s="126"/>
      <c r="L12" s="125"/>
      <c r="M12" s="125"/>
      <c r="N12" s="125"/>
      <c r="O12" s="124"/>
      <c r="P12" s="125"/>
      <c r="Q12" s="126"/>
      <c r="R12" s="125"/>
      <c r="S12" s="125"/>
      <c r="T12" s="125"/>
      <c r="U12" s="125"/>
      <c r="V12" s="124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4"/>
      <c r="AK12" s="125"/>
      <c r="AL12" s="125"/>
      <c r="AM12" s="125"/>
      <c r="AN12" s="125"/>
      <c r="AO12" s="125"/>
      <c r="AP12" s="126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4"/>
      <c r="BK12" s="125"/>
      <c r="BL12" s="125"/>
      <c r="BM12" s="125"/>
      <c r="BN12" s="125"/>
      <c r="BO12" s="125"/>
      <c r="BP12" s="125"/>
      <c r="BQ12" s="125"/>
      <c r="BR12" s="127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4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9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30"/>
      <c r="FL12" s="130"/>
      <c r="FM12" s="128"/>
      <c r="FN12" s="125"/>
      <c r="FO12" s="125"/>
      <c r="FP12" s="125"/>
      <c r="FQ12" s="125"/>
      <c r="FR12" s="125"/>
      <c r="FS12" s="125"/>
      <c r="FT12" s="125"/>
      <c r="FU12" s="125"/>
      <c r="FV12" s="125"/>
      <c r="FW12" s="125"/>
      <c r="FX12" s="125"/>
      <c r="FY12" s="125"/>
      <c r="FZ12" s="125"/>
      <c r="GA12" s="125"/>
      <c r="GB12" s="125"/>
      <c r="GC12" s="125"/>
      <c r="GD12" s="125"/>
      <c r="GE12" s="125"/>
      <c r="GF12" s="125"/>
      <c r="GG12" s="125"/>
      <c r="GH12" s="125"/>
      <c r="GI12" s="125"/>
      <c r="GJ12" s="125"/>
      <c r="GK12" s="125"/>
      <c r="GL12" s="124"/>
      <c r="GM12" s="125"/>
      <c r="GN12" s="125"/>
      <c r="GO12" s="125"/>
      <c r="GP12" s="125"/>
      <c r="GQ12" s="125"/>
      <c r="GR12" s="125"/>
      <c r="GS12" s="125"/>
      <c r="GT12" s="125"/>
      <c r="GU12" s="125"/>
      <c r="GV12" s="125"/>
      <c r="GW12" s="125"/>
      <c r="GX12" s="125"/>
      <c r="GY12" s="125"/>
      <c r="GZ12" s="125"/>
      <c r="HA12" s="125"/>
      <c r="HB12" s="125"/>
      <c r="HC12" s="125"/>
      <c r="HD12" s="125"/>
      <c r="HE12" s="125"/>
      <c r="HF12" s="125"/>
      <c r="HG12" s="125"/>
      <c r="HH12" s="125"/>
      <c r="HI12" s="125"/>
      <c r="HJ12" s="125"/>
      <c r="HK12" s="125"/>
      <c r="HL12" s="125"/>
      <c r="HM12" s="125"/>
      <c r="HN12" s="125"/>
      <c r="HO12" s="125"/>
      <c r="HP12" s="125"/>
      <c r="HQ12" s="125"/>
      <c r="HR12" s="125"/>
      <c r="HS12" s="125"/>
      <c r="HT12" s="125"/>
      <c r="HU12" s="125"/>
      <c r="HV12" s="125"/>
      <c r="HW12" s="125"/>
      <c r="HX12" s="125"/>
      <c r="HY12" s="125"/>
      <c r="HZ12" s="125"/>
      <c r="IA12" s="125"/>
      <c r="IB12" s="125"/>
      <c r="IC12" s="125"/>
      <c r="ID12" s="125"/>
      <c r="IE12" s="125"/>
      <c r="IF12" s="125"/>
      <c r="IG12" s="126"/>
      <c r="IH12" s="125"/>
      <c r="II12" s="125"/>
      <c r="IJ12" s="131"/>
      <c r="IK12" s="132"/>
      <c r="IL12" s="133"/>
      <c r="IM12" s="134"/>
      <c r="IN12" s="12"/>
    </row>
    <row r="13" spans="1:250" s="15" customFormat="1" ht="52.5" customHeight="1" x14ac:dyDescent="0.15">
      <c r="A13" s="136"/>
      <c r="B13" s="137"/>
      <c r="C13" s="137"/>
      <c r="D13" s="138"/>
      <c r="E13" s="139">
        <f>COUNTA(IK13:IL13)</f>
        <v>0</v>
      </c>
      <c r="F13" s="140"/>
      <c r="G13" s="141"/>
      <c r="H13" s="142"/>
      <c r="I13" s="143"/>
      <c r="J13" s="144"/>
      <c r="K13" s="145"/>
      <c r="L13" s="146"/>
      <c r="M13" s="144"/>
      <c r="N13" s="147"/>
      <c r="O13" s="143"/>
      <c r="P13" s="144"/>
      <c r="Q13" s="145"/>
      <c r="R13" s="146"/>
      <c r="S13" s="144"/>
      <c r="T13" s="144"/>
      <c r="U13" s="147"/>
      <c r="V13" s="143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6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7"/>
      <c r="BJ13" s="143"/>
      <c r="BK13" s="144"/>
      <c r="BL13" s="144"/>
      <c r="BM13" s="144"/>
      <c r="BN13" s="144"/>
      <c r="BO13" s="144"/>
      <c r="BP13" s="144"/>
      <c r="BQ13" s="144"/>
      <c r="BR13" s="145"/>
      <c r="BS13" s="148"/>
      <c r="BT13" s="146"/>
      <c r="BU13" s="146"/>
      <c r="BV13" s="146"/>
      <c r="BW13" s="146"/>
      <c r="BX13" s="146"/>
      <c r="BY13" s="146"/>
      <c r="BZ13" s="146"/>
      <c r="CA13" s="146"/>
      <c r="CB13" s="144"/>
      <c r="CC13" s="144"/>
      <c r="CD13" s="144"/>
      <c r="CE13" s="144"/>
      <c r="CF13" s="144"/>
      <c r="CG13" s="144"/>
      <c r="CH13" s="144"/>
      <c r="CI13" s="144"/>
      <c r="CJ13" s="144"/>
      <c r="CK13" s="144"/>
      <c r="CL13" s="144"/>
      <c r="CM13" s="144"/>
      <c r="CN13" s="144"/>
      <c r="CO13" s="144"/>
      <c r="CP13" s="144"/>
      <c r="CQ13" s="148"/>
      <c r="CR13" s="148"/>
      <c r="CS13" s="144"/>
      <c r="CT13" s="144"/>
      <c r="CU13" s="148"/>
      <c r="CV13" s="148"/>
      <c r="CW13" s="148"/>
      <c r="CX13" s="147"/>
      <c r="CY13" s="143"/>
      <c r="CZ13" s="144"/>
      <c r="DA13" s="144"/>
      <c r="DB13" s="144"/>
      <c r="DC13" s="144"/>
      <c r="DD13" s="144"/>
      <c r="DE13" s="149"/>
      <c r="DF13" s="149"/>
      <c r="DG13" s="149"/>
      <c r="DH13" s="144"/>
      <c r="DI13" s="144"/>
      <c r="DJ13" s="144"/>
      <c r="DK13" s="144"/>
      <c r="DL13" s="144"/>
      <c r="DM13" s="144"/>
      <c r="DN13" s="144"/>
      <c r="DO13" s="144"/>
      <c r="DP13" s="144"/>
      <c r="DQ13" s="144"/>
      <c r="DR13" s="144"/>
      <c r="DS13" s="144"/>
      <c r="DT13" s="144"/>
      <c r="DU13" s="144"/>
      <c r="DV13" s="144"/>
      <c r="DW13" s="144"/>
      <c r="DX13" s="144"/>
      <c r="DY13" s="144"/>
      <c r="DZ13" s="144"/>
      <c r="EA13" s="144"/>
      <c r="EB13" s="144"/>
      <c r="EC13" s="144"/>
      <c r="ED13" s="144"/>
      <c r="EE13" s="144"/>
      <c r="EF13" s="144"/>
      <c r="EG13" s="144"/>
      <c r="EH13" s="144"/>
      <c r="EI13" s="144"/>
      <c r="EJ13" s="144"/>
      <c r="EK13" s="144"/>
      <c r="EL13" s="144"/>
      <c r="EM13" s="144"/>
      <c r="EN13" s="144"/>
      <c r="EO13" s="144"/>
      <c r="EP13" s="144"/>
      <c r="EQ13" s="145"/>
      <c r="ER13" s="146"/>
      <c r="ES13" s="144"/>
      <c r="ET13" s="144"/>
      <c r="EU13" s="144"/>
      <c r="EV13" s="144"/>
      <c r="EW13" s="144"/>
      <c r="EX13" s="144"/>
      <c r="EY13" s="144"/>
      <c r="EZ13" s="144"/>
      <c r="FA13" s="144"/>
      <c r="FB13" s="144"/>
      <c r="FC13" s="144"/>
      <c r="FD13" s="144"/>
      <c r="FE13" s="144"/>
      <c r="FF13" s="144"/>
      <c r="FG13" s="144"/>
      <c r="FH13" s="144"/>
      <c r="FI13" s="144"/>
      <c r="FJ13" s="144"/>
      <c r="FK13" s="144"/>
      <c r="FL13" s="144"/>
      <c r="FM13" s="144"/>
      <c r="FN13" s="144"/>
      <c r="FO13" s="144"/>
      <c r="FP13" s="144"/>
      <c r="FQ13" s="144"/>
      <c r="FR13" s="144"/>
      <c r="FS13" s="144"/>
      <c r="FT13" s="144"/>
      <c r="FU13" s="144"/>
      <c r="FV13" s="144"/>
      <c r="FW13" s="144"/>
      <c r="FX13" s="144"/>
      <c r="FY13" s="144"/>
      <c r="FZ13" s="144"/>
      <c r="GA13" s="144"/>
      <c r="GB13" s="144"/>
      <c r="GC13" s="144"/>
      <c r="GD13" s="144"/>
      <c r="GE13" s="144"/>
      <c r="GF13" s="144"/>
      <c r="GG13" s="144"/>
      <c r="GH13" s="144"/>
      <c r="GI13" s="144"/>
      <c r="GJ13" s="144"/>
      <c r="GK13" s="147"/>
      <c r="GL13" s="143"/>
      <c r="GM13" s="144"/>
      <c r="GN13" s="144"/>
      <c r="GO13" s="144"/>
      <c r="GP13" s="144"/>
      <c r="GQ13" s="144"/>
      <c r="GR13" s="144"/>
      <c r="GS13" s="144"/>
      <c r="GT13" s="144"/>
      <c r="GU13" s="144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44"/>
      <c r="HI13" s="144"/>
      <c r="HJ13" s="144"/>
      <c r="HK13" s="144"/>
      <c r="HL13" s="144"/>
      <c r="HM13" s="144"/>
      <c r="HN13" s="144"/>
      <c r="HO13" s="144"/>
      <c r="HP13" s="144"/>
      <c r="HQ13" s="144"/>
      <c r="HR13" s="144"/>
      <c r="HS13" s="144"/>
      <c r="HT13" s="144"/>
      <c r="HU13" s="144"/>
      <c r="HV13" s="144"/>
      <c r="HW13" s="144"/>
      <c r="HX13" s="144"/>
      <c r="HY13" s="144"/>
      <c r="HZ13" s="144"/>
      <c r="IA13" s="144"/>
      <c r="IB13" s="144"/>
      <c r="IC13" s="144"/>
      <c r="ID13" s="144"/>
      <c r="IE13" s="144"/>
      <c r="IF13" s="144"/>
      <c r="IG13" s="145"/>
      <c r="IH13" s="144"/>
      <c r="II13" s="144"/>
      <c r="IJ13" s="150"/>
      <c r="IK13" s="139"/>
      <c r="IL13" s="139"/>
      <c r="IM13" s="151"/>
      <c r="IN13" s="152">
        <f>F13*10%</f>
        <v>0</v>
      </c>
      <c r="IO13" s="152">
        <f>F13+IN13</f>
        <v>0</v>
      </c>
    </row>
    <row r="14" spans="1:250" s="15" customFormat="1" ht="52.5" customHeight="1" x14ac:dyDescent="0.15">
      <c r="A14" s="153"/>
      <c r="B14" s="154"/>
      <c r="C14" s="154"/>
      <c r="D14" s="155"/>
      <c r="E14" s="156">
        <f t="shared" ref="E14:E62" si="59">COUNTA(IK14:IL14)</f>
        <v>0</v>
      </c>
      <c r="F14" s="157"/>
      <c r="G14" s="141">
        <f>COUNTA(I14:IG14)</f>
        <v>0</v>
      </c>
      <c r="H14" s="142">
        <f>SUM(I14:IG14)</f>
        <v>0</v>
      </c>
      <c r="I14" s="158"/>
      <c r="J14" s="159"/>
      <c r="K14" s="160"/>
      <c r="L14" s="161"/>
      <c r="M14" s="159"/>
      <c r="N14" s="162"/>
      <c r="O14" s="158"/>
      <c r="P14" s="159"/>
      <c r="Q14" s="160"/>
      <c r="R14" s="161"/>
      <c r="S14" s="159"/>
      <c r="T14" s="159"/>
      <c r="U14" s="162"/>
      <c r="V14" s="158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60"/>
      <c r="AQ14" s="161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62"/>
      <c r="BJ14" s="158"/>
      <c r="BK14" s="159"/>
      <c r="BL14" s="159"/>
      <c r="BM14" s="159"/>
      <c r="BN14" s="159"/>
      <c r="BO14" s="159"/>
      <c r="BP14" s="159"/>
      <c r="BQ14" s="159"/>
      <c r="BR14" s="160"/>
      <c r="BS14" s="163"/>
      <c r="BT14" s="161"/>
      <c r="BU14" s="161"/>
      <c r="BV14" s="161"/>
      <c r="BW14" s="161"/>
      <c r="BX14" s="161"/>
      <c r="BY14" s="161"/>
      <c r="BZ14" s="161"/>
      <c r="CA14" s="161"/>
      <c r="CB14" s="159"/>
      <c r="CC14" s="159"/>
      <c r="CD14" s="159"/>
      <c r="CE14" s="159"/>
      <c r="CF14" s="159"/>
      <c r="CG14" s="159"/>
      <c r="CH14" s="159"/>
      <c r="CI14" s="159"/>
      <c r="CJ14" s="159"/>
      <c r="CK14" s="159"/>
      <c r="CL14" s="159"/>
      <c r="CM14" s="159"/>
      <c r="CN14" s="159"/>
      <c r="CO14" s="159"/>
      <c r="CP14" s="159"/>
      <c r="CQ14" s="163"/>
      <c r="CR14" s="163"/>
      <c r="CS14" s="159"/>
      <c r="CT14" s="159"/>
      <c r="CU14" s="163"/>
      <c r="CV14" s="163"/>
      <c r="CW14" s="163"/>
      <c r="CX14" s="162"/>
      <c r="CY14" s="158"/>
      <c r="CZ14" s="159"/>
      <c r="DA14" s="159"/>
      <c r="DB14" s="159"/>
      <c r="DC14" s="159"/>
      <c r="DD14" s="159"/>
      <c r="DE14" s="164"/>
      <c r="DF14" s="164"/>
      <c r="DG14" s="164"/>
      <c r="DH14" s="159"/>
      <c r="DI14" s="159"/>
      <c r="DJ14" s="159"/>
      <c r="DK14" s="159"/>
      <c r="DL14" s="159"/>
      <c r="DM14" s="159"/>
      <c r="DN14" s="159"/>
      <c r="DO14" s="159"/>
      <c r="DP14" s="159"/>
      <c r="DQ14" s="159"/>
      <c r="DR14" s="159"/>
      <c r="DS14" s="159"/>
      <c r="DT14" s="159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59"/>
      <c r="EG14" s="159"/>
      <c r="EH14" s="159"/>
      <c r="EI14" s="159"/>
      <c r="EJ14" s="159"/>
      <c r="EK14" s="159"/>
      <c r="EL14" s="159"/>
      <c r="EM14" s="159"/>
      <c r="EN14" s="159"/>
      <c r="EO14" s="159"/>
      <c r="EP14" s="159"/>
      <c r="EQ14" s="160"/>
      <c r="ER14" s="161"/>
      <c r="ES14" s="159"/>
      <c r="ET14" s="159"/>
      <c r="EU14" s="159"/>
      <c r="EV14" s="159"/>
      <c r="EW14" s="159"/>
      <c r="EX14" s="159"/>
      <c r="EY14" s="159"/>
      <c r="EZ14" s="159"/>
      <c r="FA14" s="159"/>
      <c r="FB14" s="159"/>
      <c r="FC14" s="159"/>
      <c r="FD14" s="159"/>
      <c r="FE14" s="159"/>
      <c r="FF14" s="159"/>
      <c r="FG14" s="159"/>
      <c r="FH14" s="159"/>
      <c r="FI14" s="159"/>
      <c r="FJ14" s="159"/>
      <c r="FK14" s="159"/>
      <c r="FL14" s="159"/>
      <c r="FM14" s="159"/>
      <c r="FN14" s="159"/>
      <c r="FO14" s="159"/>
      <c r="FP14" s="159"/>
      <c r="FQ14" s="159"/>
      <c r="FR14" s="159"/>
      <c r="FS14" s="159"/>
      <c r="FT14" s="159"/>
      <c r="FU14" s="159"/>
      <c r="FV14" s="159"/>
      <c r="FW14" s="159"/>
      <c r="FX14" s="159"/>
      <c r="FY14" s="159"/>
      <c r="FZ14" s="159"/>
      <c r="GA14" s="159"/>
      <c r="GB14" s="159"/>
      <c r="GC14" s="159"/>
      <c r="GD14" s="159"/>
      <c r="GE14" s="159"/>
      <c r="GF14" s="159"/>
      <c r="GG14" s="159"/>
      <c r="GH14" s="159"/>
      <c r="GI14" s="159"/>
      <c r="GJ14" s="159"/>
      <c r="GK14" s="162"/>
      <c r="GL14" s="158"/>
      <c r="GM14" s="159"/>
      <c r="GN14" s="159"/>
      <c r="GO14" s="159"/>
      <c r="GP14" s="159"/>
      <c r="GQ14" s="159"/>
      <c r="GR14" s="159"/>
      <c r="GS14" s="159"/>
      <c r="GT14" s="159"/>
      <c r="GU14" s="159"/>
      <c r="GV14" s="159"/>
      <c r="GW14" s="159"/>
      <c r="GX14" s="159"/>
      <c r="GY14" s="159"/>
      <c r="GZ14" s="159"/>
      <c r="HA14" s="159"/>
      <c r="HB14" s="159"/>
      <c r="HC14" s="159"/>
      <c r="HD14" s="159"/>
      <c r="HE14" s="159"/>
      <c r="HF14" s="159"/>
      <c r="HG14" s="159"/>
      <c r="HH14" s="159"/>
      <c r="HI14" s="159"/>
      <c r="HJ14" s="159"/>
      <c r="HK14" s="159"/>
      <c r="HL14" s="159"/>
      <c r="HM14" s="159"/>
      <c r="HN14" s="159"/>
      <c r="HO14" s="159"/>
      <c r="HP14" s="159"/>
      <c r="HQ14" s="159"/>
      <c r="HR14" s="159"/>
      <c r="HS14" s="159"/>
      <c r="HT14" s="159"/>
      <c r="HU14" s="159"/>
      <c r="HV14" s="159"/>
      <c r="HW14" s="159"/>
      <c r="HX14" s="159"/>
      <c r="HY14" s="159"/>
      <c r="HZ14" s="159"/>
      <c r="IA14" s="159"/>
      <c r="IB14" s="159"/>
      <c r="IC14" s="159"/>
      <c r="ID14" s="159"/>
      <c r="IE14" s="159"/>
      <c r="IF14" s="159"/>
      <c r="IG14" s="160"/>
      <c r="IH14" s="159"/>
      <c r="II14" s="159"/>
      <c r="IJ14" s="165"/>
      <c r="IK14" s="156"/>
      <c r="IL14" s="156"/>
      <c r="IM14" s="166"/>
      <c r="IN14" s="152">
        <f>F14*10%</f>
        <v>0</v>
      </c>
      <c r="IO14" s="152">
        <f>F14+IN14</f>
        <v>0</v>
      </c>
    </row>
    <row r="15" spans="1:250" s="15" customFormat="1" ht="52.5" customHeight="1" x14ac:dyDescent="0.15">
      <c r="A15" s="153"/>
      <c r="B15" s="167"/>
      <c r="C15" s="154"/>
      <c r="D15" s="168"/>
      <c r="E15" s="156">
        <f t="shared" si="59"/>
        <v>0</v>
      </c>
      <c r="F15" s="169"/>
      <c r="G15" s="141">
        <f>COUNTA(I15:IG15)</f>
        <v>0</v>
      </c>
      <c r="H15" s="142">
        <f>SUM(I15:IG15)</f>
        <v>0</v>
      </c>
      <c r="I15" s="158"/>
      <c r="J15" s="159"/>
      <c r="K15" s="160"/>
      <c r="L15" s="161"/>
      <c r="M15" s="159"/>
      <c r="N15" s="162"/>
      <c r="O15" s="158"/>
      <c r="P15" s="159"/>
      <c r="Q15" s="160"/>
      <c r="R15" s="161"/>
      <c r="S15" s="159"/>
      <c r="T15" s="159"/>
      <c r="U15" s="162"/>
      <c r="V15" s="158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60"/>
      <c r="AQ15" s="161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62"/>
      <c r="BJ15" s="158"/>
      <c r="BK15" s="159"/>
      <c r="BL15" s="159"/>
      <c r="BM15" s="159"/>
      <c r="BN15" s="159"/>
      <c r="BO15" s="159"/>
      <c r="BP15" s="159"/>
      <c r="BQ15" s="159"/>
      <c r="BR15" s="160"/>
      <c r="BS15" s="163"/>
      <c r="BT15" s="161"/>
      <c r="BU15" s="161"/>
      <c r="BV15" s="161"/>
      <c r="BW15" s="161"/>
      <c r="BX15" s="161"/>
      <c r="BY15" s="161"/>
      <c r="BZ15" s="161"/>
      <c r="CA15" s="161"/>
      <c r="CB15" s="159"/>
      <c r="CC15" s="159"/>
      <c r="CD15" s="159"/>
      <c r="CE15" s="159"/>
      <c r="CF15" s="159"/>
      <c r="CG15" s="159"/>
      <c r="CH15" s="159"/>
      <c r="CI15" s="159"/>
      <c r="CJ15" s="159"/>
      <c r="CK15" s="159"/>
      <c r="CL15" s="159"/>
      <c r="CM15" s="159"/>
      <c r="CN15" s="159"/>
      <c r="CO15" s="159"/>
      <c r="CP15" s="159"/>
      <c r="CQ15" s="163"/>
      <c r="CR15" s="163"/>
      <c r="CS15" s="159"/>
      <c r="CT15" s="159"/>
      <c r="CU15" s="163"/>
      <c r="CV15" s="163"/>
      <c r="CW15" s="163"/>
      <c r="CX15" s="170"/>
      <c r="CY15" s="171"/>
      <c r="CZ15" s="163"/>
      <c r="DA15" s="163"/>
      <c r="DB15" s="159"/>
      <c r="DC15" s="159"/>
      <c r="DD15" s="159"/>
      <c r="DE15" s="164"/>
      <c r="DF15" s="164"/>
      <c r="DG15" s="164"/>
      <c r="DH15" s="159"/>
      <c r="DI15" s="159"/>
      <c r="DJ15" s="159"/>
      <c r="DK15" s="159"/>
      <c r="DL15" s="159"/>
      <c r="DM15" s="159"/>
      <c r="DN15" s="159"/>
      <c r="DO15" s="159"/>
      <c r="DP15" s="159"/>
      <c r="DQ15" s="159"/>
      <c r="DR15" s="159"/>
      <c r="DS15" s="159"/>
      <c r="DT15" s="159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59"/>
      <c r="EG15" s="159"/>
      <c r="EH15" s="159"/>
      <c r="EI15" s="159"/>
      <c r="EJ15" s="159"/>
      <c r="EK15" s="159"/>
      <c r="EL15" s="159"/>
      <c r="EM15" s="159"/>
      <c r="EN15" s="159"/>
      <c r="EO15" s="159"/>
      <c r="EP15" s="159"/>
      <c r="EQ15" s="160"/>
      <c r="ER15" s="161"/>
      <c r="ES15" s="159"/>
      <c r="ET15" s="159"/>
      <c r="EU15" s="159"/>
      <c r="EV15" s="159"/>
      <c r="EW15" s="159"/>
      <c r="EX15" s="159"/>
      <c r="EY15" s="159"/>
      <c r="EZ15" s="159"/>
      <c r="FA15" s="159"/>
      <c r="FB15" s="159"/>
      <c r="FC15" s="159"/>
      <c r="FD15" s="159"/>
      <c r="FE15" s="159"/>
      <c r="FF15" s="159"/>
      <c r="FG15" s="159"/>
      <c r="FH15" s="159"/>
      <c r="FI15" s="159"/>
      <c r="FJ15" s="159"/>
      <c r="FK15" s="159"/>
      <c r="FL15" s="159"/>
      <c r="FM15" s="159"/>
      <c r="FN15" s="159"/>
      <c r="FO15" s="159"/>
      <c r="FP15" s="159"/>
      <c r="FQ15" s="159"/>
      <c r="FR15" s="159"/>
      <c r="FS15" s="159"/>
      <c r="FT15" s="159"/>
      <c r="FU15" s="159"/>
      <c r="FV15" s="159"/>
      <c r="FW15" s="159"/>
      <c r="FX15" s="159"/>
      <c r="FY15" s="159"/>
      <c r="FZ15" s="159"/>
      <c r="GA15" s="159"/>
      <c r="GB15" s="159"/>
      <c r="GC15" s="159"/>
      <c r="GD15" s="159"/>
      <c r="GE15" s="159"/>
      <c r="GF15" s="159"/>
      <c r="GG15" s="159"/>
      <c r="GH15" s="159"/>
      <c r="GI15" s="159"/>
      <c r="GJ15" s="159"/>
      <c r="GK15" s="162"/>
      <c r="GL15" s="158"/>
      <c r="GM15" s="159"/>
      <c r="GN15" s="159"/>
      <c r="GO15" s="159"/>
      <c r="GP15" s="159"/>
      <c r="GQ15" s="159"/>
      <c r="GR15" s="159"/>
      <c r="GS15" s="159"/>
      <c r="GT15" s="159"/>
      <c r="GU15" s="159"/>
      <c r="GV15" s="159"/>
      <c r="GW15" s="159"/>
      <c r="GX15" s="159"/>
      <c r="GY15" s="159"/>
      <c r="GZ15" s="159"/>
      <c r="HA15" s="159"/>
      <c r="HB15" s="159"/>
      <c r="HC15" s="159"/>
      <c r="HD15" s="159"/>
      <c r="HE15" s="159"/>
      <c r="HF15" s="159"/>
      <c r="HG15" s="159"/>
      <c r="HH15" s="159"/>
      <c r="HI15" s="159"/>
      <c r="HJ15" s="159"/>
      <c r="HK15" s="159"/>
      <c r="HL15" s="159"/>
      <c r="HM15" s="159"/>
      <c r="HN15" s="159"/>
      <c r="HO15" s="159"/>
      <c r="HP15" s="159"/>
      <c r="HQ15" s="159"/>
      <c r="HR15" s="159"/>
      <c r="HS15" s="159"/>
      <c r="HT15" s="159"/>
      <c r="HU15" s="159"/>
      <c r="HV15" s="159"/>
      <c r="HW15" s="159"/>
      <c r="HX15" s="159"/>
      <c r="HY15" s="159"/>
      <c r="HZ15" s="159"/>
      <c r="IA15" s="159"/>
      <c r="IB15" s="159"/>
      <c r="IC15" s="159"/>
      <c r="ID15" s="159"/>
      <c r="IE15" s="159"/>
      <c r="IF15" s="159"/>
      <c r="IG15" s="160"/>
      <c r="IH15" s="159"/>
      <c r="II15" s="159"/>
      <c r="IJ15" s="172"/>
      <c r="IK15" s="156"/>
      <c r="IL15" s="173"/>
      <c r="IM15" s="166"/>
      <c r="IN15" s="152">
        <f>F15*10%</f>
        <v>0</v>
      </c>
      <c r="IO15" s="152">
        <f>F15+IN15</f>
        <v>0</v>
      </c>
    </row>
    <row r="16" spans="1:250" s="15" customFormat="1" ht="52.5" customHeight="1" x14ac:dyDescent="0.15">
      <c r="A16" s="153"/>
      <c r="B16" s="154"/>
      <c r="C16" s="154"/>
      <c r="D16" s="168"/>
      <c r="E16" s="156">
        <f t="shared" si="59"/>
        <v>0</v>
      </c>
      <c r="F16" s="169"/>
      <c r="G16" s="141">
        <f>COUNTA(I16:IG16)</f>
        <v>0</v>
      </c>
      <c r="H16" s="142">
        <f>SUM(I16:IG16)</f>
        <v>0</v>
      </c>
      <c r="I16" s="158"/>
      <c r="J16" s="159"/>
      <c r="K16" s="160"/>
      <c r="L16" s="161"/>
      <c r="M16" s="159"/>
      <c r="N16" s="162"/>
      <c r="O16" s="158"/>
      <c r="P16" s="159"/>
      <c r="Q16" s="160"/>
      <c r="R16" s="161"/>
      <c r="S16" s="159"/>
      <c r="T16" s="159"/>
      <c r="U16" s="162"/>
      <c r="V16" s="158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60"/>
      <c r="AQ16" s="161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62"/>
      <c r="BJ16" s="158"/>
      <c r="BK16" s="159"/>
      <c r="BL16" s="159"/>
      <c r="BM16" s="159"/>
      <c r="BN16" s="159"/>
      <c r="BO16" s="159"/>
      <c r="BP16" s="159"/>
      <c r="BQ16" s="159"/>
      <c r="BR16" s="160"/>
      <c r="BS16" s="174"/>
      <c r="BT16" s="161"/>
      <c r="BU16" s="161"/>
      <c r="BV16" s="161"/>
      <c r="BW16" s="161"/>
      <c r="BX16" s="161"/>
      <c r="BY16" s="161"/>
      <c r="BZ16" s="161"/>
      <c r="CA16" s="161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74"/>
      <c r="CR16" s="174"/>
      <c r="CS16" s="159"/>
      <c r="CT16" s="159"/>
      <c r="CU16" s="174"/>
      <c r="CV16" s="174"/>
      <c r="CW16" s="174"/>
      <c r="CX16" s="175"/>
      <c r="CY16" s="171"/>
      <c r="CZ16" s="163"/>
      <c r="DA16" s="163"/>
      <c r="DB16" s="177"/>
      <c r="DC16" s="177"/>
      <c r="DD16" s="177"/>
      <c r="DE16" s="176"/>
      <c r="DF16" s="176"/>
      <c r="DG16" s="176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8"/>
      <c r="ER16" s="161"/>
      <c r="ES16" s="159"/>
      <c r="ET16" s="159"/>
      <c r="EU16" s="159"/>
      <c r="EV16" s="159"/>
      <c r="EW16" s="159"/>
      <c r="EX16" s="159"/>
      <c r="EY16" s="159"/>
      <c r="EZ16" s="159"/>
      <c r="FA16" s="159"/>
      <c r="FB16" s="159"/>
      <c r="FC16" s="159"/>
      <c r="FD16" s="159"/>
      <c r="FE16" s="159"/>
      <c r="FF16" s="159"/>
      <c r="FG16" s="159"/>
      <c r="FH16" s="159"/>
      <c r="FI16" s="159"/>
      <c r="FJ16" s="159"/>
      <c r="FK16" s="159"/>
      <c r="FL16" s="159"/>
      <c r="FM16" s="159"/>
      <c r="FN16" s="159"/>
      <c r="FO16" s="159"/>
      <c r="FP16" s="159"/>
      <c r="FQ16" s="159"/>
      <c r="FR16" s="159"/>
      <c r="FS16" s="159"/>
      <c r="FT16" s="159"/>
      <c r="FU16" s="159"/>
      <c r="FV16" s="159"/>
      <c r="FW16" s="159"/>
      <c r="FX16" s="159"/>
      <c r="FY16" s="159"/>
      <c r="FZ16" s="159"/>
      <c r="GA16" s="159"/>
      <c r="GB16" s="159"/>
      <c r="GC16" s="159"/>
      <c r="GD16" s="159"/>
      <c r="GE16" s="159"/>
      <c r="GF16" s="159"/>
      <c r="GG16" s="159"/>
      <c r="GH16" s="159"/>
      <c r="GI16" s="159"/>
      <c r="GJ16" s="159"/>
      <c r="GK16" s="162"/>
      <c r="GL16" s="158"/>
      <c r="GM16" s="159"/>
      <c r="GN16" s="159"/>
      <c r="GO16" s="159"/>
      <c r="GP16" s="159"/>
      <c r="GQ16" s="159"/>
      <c r="GR16" s="159"/>
      <c r="GS16" s="159"/>
      <c r="GT16" s="159"/>
      <c r="GU16" s="159"/>
      <c r="GV16" s="159"/>
      <c r="GW16" s="159"/>
      <c r="GX16" s="159"/>
      <c r="GY16" s="159"/>
      <c r="GZ16" s="159"/>
      <c r="HA16" s="159"/>
      <c r="HB16" s="159"/>
      <c r="HC16" s="159"/>
      <c r="HD16" s="159"/>
      <c r="HE16" s="159"/>
      <c r="HF16" s="159"/>
      <c r="HG16" s="159"/>
      <c r="HH16" s="159"/>
      <c r="HI16" s="159"/>
      <c r="HJ16" s="159"/>
      <c r="HK16" s="159"/>
      <c r="HL16" s="159"/>
      <c r="HM16" s="159"/>
      <c r="HN16" s="159"/>
      <c r="HO16" s="159"/>
      <c r="HP16" s="159"/>
      <c r="HQ16" s="159"/>
      <c r="HR16" s="159"/>
      <c r="HS16" s="159"/>
      <c r="HT16" s="159"/>
      <c r="HU16" s="159"/>
      <c r="HV16" s="159"/>
      <c r="HW16" s="159"/>
      <c r="HX16" s="159"/>
      <c r="HY16" s="159"/>
      <c r="HZ16" s="159"/>
      <c r="IA16" s="159"/>
      <c r="IB16" s="159"/>
      <c r="IC16" s="159"/>
      <c r="ID16" s="159"/>
      <c r="IE16" s="159"/>
      <c r="IF16" s="159"/>
      <c r="IG16" s="160"/>
      <c r="IH16" s="159"/>
      <c r="II16" s="159"/>
      <c r="IJ16" s="172"/>
      <c r="IK16" s="156"/>
      <c r="IL16" s="173"/>
      <c r="IM16" s="166"/>
      <c r="IN16" s="152">
        <f>F16*10%</f>
        <v>0</v>
      </c>
      <c r="IO16" s="152">
        <f>F16+IN16</f>
        <v>0</v>
      </c>
      <c r="IP16" s="152"/>
    </row>
    <row r="17" spans="1:271" s="15" customFormat="1" ht="52.5" customHeight="1" x14ac:dyDescent="0.15">
      <c r="A17" s="153"/>
      <c r="B17" s="179"/>
      <c r="C17" s="179"/>
      <c r="D17" s="155"/>
      <c r="E17" s="156">
        <f t="shared" si="59"/>
        <v>0</v>
      </c>
      <c r="F17" s="169"/>
      <c r="G17" s="141">
        <f>COUNTA(I17:IG17)</f>
        <v>0</v>
      </c>
      <c r="H17" s="142">
        <f>SUM(I17:IG17)</f>
        <v>0</v>
      </c>
      <c r="I17" s="158"/>
      <c r="J17" s="159"/>
      <c r="K17" s="160"/>
      <c r="L17" s="161"/>
      <c r="M17" s="159"/>
      <c r="N17" s="162"/>
      <c r="O17" s="158"/>
      <c r="P17" s="159"/>
      <c r="Q17" s="160"/>
      <c r="R17" s="161"/>
      <c r="S17" s="159"/>
      <c r="T17" s="159"/>
      <c r="U17" s="162"/>
      <c r="V17" s="158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60"/>
      <c r="AQ17" s="161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62"/>
      <c r="BJ17" s="158"/>
      <c r="BK17" s="159"/>
      <c r="BL17" s="159"/>
      <c r="BM17" s="159"/>
      <c r="BN17" s="159"/>
      <c r="BO17" s="159"/>
      <c r="BP17" s="159"/>
      <c r="BQ17" s="159"/>
      <c r="BR17" s="160"/>
      <c r="BS17" s="159"/>
      <c r="BT17" s="161"/>
      <c r="BU17" s="161"/>
      <c r="BV17" s="161"/>
      <c r="BW17" s="161"/>
      <c r="BX17" s="161"/>
      <c r="BY17" s="161"/>
      <c r="BZ17" s="161"/>
      <c r="CA17" s="161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62"/>
      <c r="CY17" s="158"/>
      <c r="CZ17" s="159"/>
      <c r="DA17" s="159"/>
      <c r="DB17" s="180"/>
      <c r="DC17" s="180"/>
      <c r="DD17" s="180"/>
      <c r="DE17" s="159"/>
      <c r="DF17" s="180"/>
      <c r="DG17" s="180"/>
      <c r="DH17" s="180"/>
      <c r="DI17" s="180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80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N17" s="180"/>
      <c r="EO17" s="180"/>
      <c r="EP17" s="180"/>
      <c r="EQ17" s="181"/>
      <c r="ER17" s="161"/>
      <c r="ES17" s="159"/>
      <c r="ET17" s="159"/>
      <c r="EU17" s="159"/>
      <c r="EV17" s="159"/>
      <c r="EW17" s="159"/>
      <c r="EX17" s="159"/>
      <c r="EY17" s="159"/>
      <c r="EZ17" s="159"/>
      <c r="FA17" s="159"/>
      <c r="FB17" s="159"/>
      <c r="FC17" s="159"/>
      <c r="FD17" s="159"/>
      <c r="FE17" s="159"/>
      <c r="FF17" s="159"/>
      <c r="FG17" s="159"/>
      <c r="FH17" s="159"/>
      <c r="FI17" s="159"/>
      <c r="FJ17" s="159"/>
      <c r="FK17" s="180"/>
      <c r="FL17" s="180"/>
      <c r="FM17" s="180"/>
      <c r="FN17" s="159"/>
      <c r="FO17" s="159"/>
      <c r="FP17" s="159"/>
      <c r="FQ17" s="159"/>
      <c r="FR17" s="159"/>
      <c r="FS17" s="159"/>
      <c r="FT17" s="159"/>
      <c r="FU17" s="159"/>
      <c r="FV17" s="159"/>
      <c r="FW17" s="159"/>
      <c r="FX17" s="159"/>
      <c r="FY17" s="159"/>
      <c r="FZ17" s="159"/>
      <c r="GA17" s="159"/>
      <c r="GB17" s="159"/>
      <c r="GC17" s="159"/>
      <c r="GD17" s="159"/>
      <c r="GE17" s="159"/>
      <c r="GF17" s="159"/>
      <c r="GG17" s="159"/>
      <c r="GH17" s="159"/>
      <c r="GI17" s="159"/>
      <c r="GJ17" s="159"/>
      <c r="GK17" s="162"/>
      <c r="GL17" s="158"/>
      <c r="GM17" s="159"/>
      <c r="GN17" s="159"/>
      <c r="GO17" s="159"/>
      <c r="GP17" s="159"/>
      <c r="GQ17" s="159"/>
      <c r="GR17" s="159"/>
      <c r="GS17" s="159"/>
      <c r="GT17" s="159"/>
      <c r="GU17" s="159"/>
      <c r="GV17" s="159"/>
      <c r="GW17" s="159"/>
      <c r="GX17" s="159"/>
      <c r="GY17" s="159"/>
      <c r="GZ17" s="159"/>
      <c r="HA17" s="159"/>
      <c r="HB17" s="159"/>
      <c r="HC17" s="159"/>
      <c r="HD17" s="159"/>
      <c r="HE17" s="159"/>
      <c r="HF17" s="159"/>
      <c r="HG17" s="159"/>
      <c r="HH17" s="159"/>
      <c r="HI17" s="159"/>
      <c r="HJ17" s="159"/>
      <c r="HK17" s="159"/>
      <c r="HL17" s="159"/>
      <c r="HM17" s="159"/>
      <c r="HN17" s="159"/>
      <c r="HO17" s="159"/>
      <c r="HP17" s="159"/>
      <c r="HQ17" s="159"/>
      <c r="HR17" s="159"/>
      <c r="HS17" s="159"/>
      <c r="HT17" s="159"/>
      <c r="HU17" s="159"/>
      <c r="HV17" s="159"/>
      <c r="HW17" s="159"/>
      <c r="HX17" s="159"/>
      <c r="HY17" s="159"/>
      <c r="HZ17" s="159"/>
      <c r="IA17" s="159"/>
      <c r="IB17" s="159"/>
      <c r="IC17" s="159"/>
      <c r="ID17" s="159"/>
      <c r="IE17" s="159"/>
      <c r="IF17" s="159"/>
      <c r="IG17" s="160"/>
      <c r="IH17" s="159"/>
      <c r="II17" s="159"/>
      <c r="IJ17" s="182"/>
      <c r="IK17" s="156"/>
      <c r="IL17" s="173"/>
      <c r="IM17" s="166"/>
      <c r="IN17" s="152">
        <f>F17*10%</f>
        <v>0</v>
      </c>
      <c r="IO17" s="152">
        <f>F17+IN17</f>
        <v>0</v>
      </c>
      <c r="JK17" s="183"/>
    </row>
    <row r="18" spans="1:271" ht="52.5" customHeight="1" x14ac:dyDescent="0.3">
      <c r="A18" s="153"/>
      <c r="B18" s="154"/>
      <c r="C18" s="167"/>
      <c r="D18" s="155"/>
      <c r="E18" s="156">
        <f t="shared" si="59"/>
        <v>0</v>
      </c>
      <c r="F18" s="169"/>
      <c r="G18" s="141">
        <f>COUNTA(I18:IG18)</f>
        <v>0</v>
      </c>
      <c r="H18" s="142">
        <f>SUM(I18:IG18)</f>
        <v>0</v>
      </c>
      <c r="I18" s="158"/>
      <c r="J18" s="159"/>
      <c r="K18" s="160"/>
      <c r="L18" s="161"/>
      <c r="M18" s="159"/>
      <c r="N18" s="162"/>
      <c r="O18" s="158"/>
      <c r="P18" s="159"/>
      <c r="Q18" s="160"/>
      <c r="R18" s="161"/>
      <c r="S18" s="159"/>
      <c r="T18" s="159"/>
      <c r="U18" s="162"/>
      <c r="V18" s="158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60"/>
      <c r="AQ18" s="161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62"/>
      <c r="BJ18" s="158"/>
      <c r="BK18" s="159"/>
      <c r="BL18" s="159"/>
      <c r="BM18" s="159"/>
      <c r="BN18" s="159"/>
      <c r="BO18" s="159"/>
      <c r="BP18" s="159"/>
      <c r="BQ18" s="159"/>
      <c r="BR18" s="160"/>
      <c r="BS18" s="159"/>
      <c r="BT18" s="161"/>
      <c r="BU18" s="161"/>
      <c r="BV18" s="161"/>
      <c r="BW18" s="161"/>
      <c r="BX18" s="161"/>
      <c r="BY18" s="161"/>
      <c r="BZ18" s="161"/>
      <c r="CA18" s="161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62"/>
      <c r="CY18" s="158"/>
      <c r="CZ18" s="159"/>
      <c r="DA18" s="159"/>
      <c r="DB18" s="180"/>
      <c r="DC18" s="180"/>
      <c r="DD18" s="180"/>
      <c r="DE18" s="159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180"/>
      <c r="ED18" s="180"/>
      <c r="EE18" s="180"/>
      <c r="EF18" s="180"/>
      <c r="EG18" s="180"/>
      <c r="EH18" s="180"/>
      <c r="EI18" s="180"/>
      <c r="EJ18" s="180"/>
      <c r="EK18" s="180"/>
      <c r="EL18" s="180"/>
      <c r="EM18" s="180"/>
      <c r="EN18" s="180"/>
      <c r="EO18" s="180"/>
      <c r="EP18" s="180"/>
      <c r="EQ18" s="181"/>
      <c r="ER18" s="161"/>
      <c r="ES18" s="159"/>
      <c r="ET18" s="159"/>
      <c r="EU18" s="159"/>
      <c r="EV18" s="159"/>
      <c r="EW18" s="159"/>
      <c r="EX18" s="159"/>
      <c r="EY18" s="159"/>
      <c r="EZ18" s="159"/>
      <c r="FA18" s="159"/>
      <c r="FB18" s="159"/>
      <c r="FC18" s="159"/>
      <c r="FD18" s="159"/>
      <c r="FE18" s="159"/>
      <c r="FF18" s="159"/>
      <c r="FG18" s="159"/>
      <c r="FH18" s="159"/>
      <c r="FI18" s="159"/>
      <c r="FJ18" s="159"/>
      <c r="FK18" s="180"/>
      <c r="FL18" s="180"/>
      <c r="FM18" s="180"/>
      <c r="FN18" s="159"/>
      <c r="FO18" s="159"/>
      <c r="FP18" s="159"/>
      <c r="FQ18" s="159"/>
      <c r="FR18" s="159"/>
      <c r="FS18" s="159"/>
      <c r="FT18" s="159"/>
      <c r="FU18" s="159"/>
      <c r="FV18" s="159"/>
      <c r="FW18" s="159"/>
      <c r="FX18" s="159"/>
      <c r="FY18" s="159"/>
      <c r="FZ18" s="159"/>
      <c r="GA18" s="159"/>
      <c r="GB18" s="159"/>
      <c r="GC18" s="159"/>
      <c r="GD18" s="159"/>
      <c r="GE18" s="159"/>
      <c r="GF18" s="159"/>
      <c r="GG18" s="159"/>
      <c r="GH18" s="159"/>
      <c r="GI18" s="159"/>
      <c r="GJ18" s="159"/>
      <c r="GK18" s="162"/>
      <c r="GL18" s="158"/>
      <c r="GM18" s="159"/>
      <c r="GN18" s="159"/>
      <c r="GO18" s="159"/>
      <c r="GP18" s="159"/>
      <c r="GQ18" s="159"/>
      <c r="GR18" s="159"/>
      <c r="GS18" s="159"/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60"/>
      <c r="IH18" s="159"/>
      <c r="II18" s="159"/>
      <c r="IJ18" s="182"/>
      <c r="IK18" s="156"/>
      <c r="IL18" s="156"/>
      <c r="IM18" s="166"/>
      <c r="IN18" s="152">
        <f>F18*10%</f>
        <v>0</v>
      </c>
      <c r="IO18" s="152">
        <f>F18+IN18</f>
        <v>0</v>
      </c>
    </row>
    <row r="19" spans="1:271" ht="52.5" customHeight="1" x14ac:dyDescent="0.3">
      <c r="A19" s="153"/>
      <c r="B19" s="154"/>
      <c r="C19" s="154"/>
      <c r="D19" s="155"/>
      <c r="E19" s="156">
        <f t="shared" si="59"/>
        <v>0</v>
      </c>
      <c r="F19" s="169"/>
      <c r="G19" s="141">
        <f>COUNTA(I19:IG19)</f>
        <v>0</v>
      </c>
      <c r="H19" s="142">
        <f>SUM(I19:IG19)</f>
        <v>0</v>
      </c>
      <c r="I19" s="158"/>
      <c r="J19" s="159"/>
      <c r="K19" s="160"/>
      <c r="L19" s="161"/>
      <c r="M19" s="159"/>
      <c r="N19" s="162"/>
      <c r="O19" s="158"/>
      <c r="P19" s="159"/>
      <c r="Q19" s="160"/>
      <c r="R19" s="161"/>
      <c r="S19" s="159"/>
      <c r="T19" s="159"/>
      <c r="U19" s="162"/>
      <c r="V19" s="158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60"/>
      <c r="AQ19" s="161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62"/>
      <c r="BJ19" s="158"/>
      <c r="BK19" s="159"/>
      <c r="BL19" s="159"/>
      <c r="BM19" s="159"/>
      <c r="BN19" s="159"/>
      <c r="BO19" s="159"/>
      <c r="BP19" s="159"/>
      <c r="BQ19" s="159"/>
      <c r="BR19" s="160"/>
      <c r="BS19" s="159"/>
      <c r="BT19" s="161"/>
      <c r="BU19" s="161"/>
      <c r="BV19" s="161"/>
      <c r="BW19" s="161"/>
      <c r="BX19" s="161"/>
      <c r="BY19" s="161"/>
      <c r="BZ19" s="161"/>
      <c r="CA19" s="161"/>
      <c r="CB19" s="159"/>
      <c r="CC19" s="159"/>
      <c r="CD19" s="159"/>
      <c r="CE19" s="159"/>
      <c r="CF19" s="159"/>
      <c r="CG19" s="159"/>
      <c r="CH19" s="159"/>
      <c r="CI19" s="159"/>
      <c r="CJ19" s="159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59"/>
      <c r="CW19" s="159"/>
      <c r="CX19" s="162"/>
      <c r="CY19" s="158"/>
      <c r="CZ19" s="159"/>
      <c r="DA19" s="159"/>
      <c r="DB19" s="180"/>
      <c r="DC19" s="180"/>
      <c r="DD19" s="180"/>
      <c r="DE19" s="164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80"/>
      <c r="DZ19" s="180"/>
      <c r="EA19" s="180"/>
      <c r="EB19" s="180"/>
      <c r="EC19" s="180"/>
      <c r="ED19" s="180"/>
      <c r="EE19" s="180"/>
      <c r="EF19" s="180"/>
      <c r="EG19" s="180"/>
      <c r="EH19" s="180"/>
      <c r="EI19" s="180"/>
      <c r="EJ19" s="180"/>
      <c r="EK19" s="180"/>
      <c r="EL19" s="180"/>
      <c r="EM19" s="180"/>
      <c r="EN19" s="180"/>
      <c r="EO19" s="180"/>
      <c r="EP19" s="180"/>
      <c r="EQ19" s="181"/>
      <c r="ER19" s="161"/>
      <c r="ES19" s="159"/>
      <c r="ET19" s="159"/>
      <c r="EU19" s="159"/>
      <c r="EV19" s="159"/>
      <c r="EW19" s="159"/>
      <c r="EX19" s="159"/>
      <c r="EY19" s="159"/>
      <c r="EZ19" s="159"/>
      <c r="FA19" s="159"/>
      <c r="FB19" s="159"/>
      <c r="FC19" s="159"/>
      <c r="FD19" s="159"/>
      <c r="FE19" s="159"/>
      <c r="FF19" s="159"/>
      <c r="FG19" s="159"/>
      <c r="FH19" s="159"/>
      <c r="FI19" s="159"/>
      <c r="FJ19" s="159"/>
      <c r="FK19" s="180"/>
      <c r="FL19" s="180"/>
      <c r="FM19" s="180"/>
      <c r="FN19" s="159"/>
      <c r="FO19" s="159"/>
      <c r="FP19" s="159"/>
      <c r="FQ19" s="159"/>
      <c r="FR19" s="159"/>
      <c r="FS19" s="159"/>
      <c r="FT19" s="159"/>
      <c r="FU19" s="159"/>
      <c r="FV19" s="159"/>
      <c r="FW19" s="159"/>
      <c r="FX19" s="159"/>
      <c r="FY19" s="159"/>
      <c r="FZ19" s="159"/>
      <c r="GA19" s="159"/>
      <c r="GB19" s="159"/>
      <c r="GC19" s="159"/>
      <c r="GD19" s="159"/>
      <c r="GE19" s="159"/>
      <c r="GF19" s="159"/>
      <c r="GG19" s="159"/>
      <c r="GH19" s="159"/>
      <c r="GI19" s="159"/>
      <c r="GJ19" s="159"/>
      <c r="GK19" s="162"/>
      <c r="GL19" s="158"/>
      <c r="GM19" s="159"/>
      <c r="GN19" s="159"/>
      <c r="GO19" s="159"/>
      <c r="GP19" s="159"/>
      <c r="GQ19" s="159"/>
      <c r="GR19" s="159"/>
      <c r="GS19" s="159"/>
      <c r="GT19" s="159"/>
      <c r="GU19" s="159"/>
      <c r="GV19" s="159"/>
      <c r="GW19" s="159"/>
      <c r="GX19" s="159"/>
      <c r="GY19" s="159"/>
      <c r="GZ19" s="159"/>
      <c r="HA19" s="159"/>
      <c r="HB19" s="159"/>
      <c r="HC19" s="159"/>
      <c r="HD19" s="159"/>
      <c r="HE19" s="159"/>
      <c r="HF19" s="159"/>
      <c r="HG19" s="159"/>
      <c r="HH19" s="159"/>
      <c r="HI19" s="159"/>
      <c r="HJ19" s="159"/>
      <c r="HK19" s="159"/>
      <c r="HL19" s="159"/>
      <c r="HM19" s="159"/>
      <c r="HN19" s="159"/>
      <c r="HO19" s="159"/>
      <c r="HP19" s="159"/>
      <c r="HQ19" s="159"/>
      <c r="HR19" s="159"/>
      <c r="HS19" s="159"/>
      <c r="HT19" s="159"/>
      <c r="HU19" s="159"/>
      <c r="HV19" s="159"/>
      <c r="HW19" s="159"/>
      <c r="HX19" s="159"/>
      <c r="HY19" s="159"/>
      <c r="HZ19" s="159"/>
      <c r="IA19" s="159"/>
      <c r="IB19" s="159"/>
      <c r="IC19" s="159"/>
      <c r="ID19" s="159"/>
      <c r="IE19" s="159"/>
      <c r="IF19" s="159"/>
      <c r="IG19" s="160"/>
      <c r="IH19" s="159"/>
      <c r="II19" s="159"/>
      <c r="IJ19" s="182"/>
      <c r="IK19" s="156"/>
      <c r="IL19" s="173"/>
      <c r="IM19" s="166"/>
      <c r="IN19" s="152">
        <f>F19*10%</f>
        <v>0</v>
      </c>
      <c r="IO19" s="152">
        <f>F19+IN19</f>
        <v>0</v>
      </c>
    </row>
    <row r="20" spans="1:271" s="15" customFormat="1" ht="52.5" customHeight="1" x14ac:dyDescent="0.15">
      <c r="A20" s="153"/>
      <c r="B20" s="154"/>
      <c r="C20" s="154"/>
      <c r="D20" s="168"/>
      <c r="E20" s="156">
        <f t="shared" si="59"/>
        <v>0</v>
      </c>
      <c r="F20" s="169"/>
      <c r="G20" s="141">
        <f>COUNTA(I20:IG20)</f>
        <v>0</v>
      </c>
      <c r="H20" s="142">
        <f>SUM(I20:IG20)</f>
        <v>0</v>
      </c>
      <c r="I20" s="158"/>
      <c r="J20" s="159"/>
      <c r="K20" s="160"/>
      <c r="L20" s="161"/>
      <c r="M20" s="159"/>
      <c r="N20" s="162"/>
      <c r="O20" s="158"/>
      <c r="P20" s="159"/>
      <c r="Q20" s="160"/>
      <c r="R20" s="161"/>
      <c r="S20" s="159"/>
      <c r="T20" s="159"/>
      <c r="U20" s="162"/>
      <c r="V20" s="158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1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62"/>
      <c r="BJ20" s="158"/>
      <c r="BK20" s="159"/>
      <c r="BL20" s="159"/>
      <c r="BM20" s="159"/>
      <c r="BN20" s="159"/>
      <c r="BO20" s="159"/>
      <c r="BP20" s="159"/>
      <c r="BQ20" s="159"/>
      <c r="BR20" s="160"/>
      <c r="BS20" s="174"/>
      <c r="BT20" s="161"/>
      <c r="BU20" s="161"/>
      <c r="BV20" s="161"/>
      <c r="BW20" s="161"/>
      <c r="BX20" s="161"/>
      <c r="BY20" s="161"/>
      <c r="BZ20" s="161"/>
      <c r="CA20" s="161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74"/>
      <c r="CR20" s="174"/>
      <c r="CS20" s="159"/>
      <c r="CT20" s="159"/>
      <c r="CU20" s="174"/>
      <c r="CV20" s="174"/>
      <c r="CW20" s="174"/>
      <c r="CX20" s="175"/>
      <c r="CY20" s="184"/>
      <c r="CZ20" s="174"/>
      <c r="DA20" s="174"/>
      <c r="DB20" s="177"/>
      <c r="DC20" s="177"/>
      <c r="DD20" s="177"/>
      <c r="DE20" s="176"/>
      <c r="DF20" s="176"/>
      <c r="DG20" s="176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8"/>
      <c r="ER20" s="161"/>
      <c r="ES20" s="159"/>
      <c r="ET20" s="159"/>
      <c r="EU20" s="159"/>
      <c r="EV20" s="159"/>
      <c r="EW20" s="159"/>
      <c r="EX20" s="159"/>
      <c r="EY20" s="159"/>
      <c r="EZ20" s="159"/>
      <c r="FA20" s="159"/>
      <c r="FB20" s="159"/>
      <c r="FC20" s="159"/>
      <c r="FD20" s="159"/>
      <c r="FE20" s="159"/>
      <c r="FF20" s="159"/>
      <c r="FG20" s="159"/>
      <c r="FH20" s="159"/>
      <c r="FI20" s="159"/>
      <c r="FJ20" s="159"/>
      <c r="FK20" s="177"/>
      <c r="FL20" s="177"/>
      <c r="FM20" s="177"/>
      <c r="FN20" s="159"/>
      <c r="FO20" s="159"/>
      <c r="FP20" s="159"/>
      <c r="FQ20" s="159"/>
      <c r="FR20" s="159"/>
      <c r="FS20" s="159"/>
      <c r="FT20" s="159"/>
      <c r="FU20" s="159"/>
      <c r="FV20" s="159"/>
      <c r="FW20" s="159"/>
      <c r="FX20" s="159"/>
      <c r="FY20" s="159"/>
      <c r="FZ20" s="159"/>
      <c r="GA20" s="159"/>
      <c r="GB20" s="159"/>
      <c r="GC20" s="159"/>
      <c r="GD20" s="159"/>
      <c r="GE20" s="159"/>
      <c r="GF20" s="159"/>
      <c r="GG20" s="159"/>
      <c r="GH20" s="159"/>
      <c r="GI20" s="159"/>
      <c r="GJ20" s="159"/>
      <c r="GK20" s="162"/>
      <c r="GL20" s="158"/>
      <c r="GM20" s="159"/>
      <c r="GN20" s="159"/>
      <c r="GO20" s="159"/>
      <c r="GP20" s="159"/>
      <c r="GQ20" s="159"/>
      <c r="GR20" s="159"/>
      <c r="GS20" s="159"/>
      <c r="GT20" s="159"/>
      <c r="GU20" s="159"/>
      <c r="GV20" s="159"/>
      <c r="GW20" s="159"/>
      <c r="GX20" s="159"/>
      <c r="GY20" s="159"/>
      <c r="GZ20" s="159"/>
      <c r="HA20" s="159"/>
      <c r="HB20" s="159"/>
      <c r="HC20" s="159"/>
      <c r="HD20" s="159"/>
      <c r="HE20" s="159"/>
      <c r="HF20" s="159"/>
      <c r="HG20" s="159"/>
      <c r="HH20" s="159"/>
      <c r="HI20" s="159"/>
      <c r="HJ20" s="159"/>
      <c r="HK20" s="159"/>
      <c r="HL20" s="159"/>
      <c r="HM20" s="159"/>
      <c r="HN20" s="159"/>
      <c r="HO20" s="159"/>
      <c r="HP20" s="159"/>
      <c r="HQ20" s="159"/>
      <c r="HR20" s="159"/>
      <c r="HS20" s="159"/>
      <c r="HT20" s="159"/>
      <c r="HU20" s="159"/>
      <c r="HV20" s="159"/>
      <c r="HW20" s="159"/>
      <c r="HX20" s="159"/>
      <c r="HY20" s="159"/>
      <c r="HZ20" s="159"/>
      <c r="IA20" s="159"/>
      <c r="IB20" s="159"/>
      <c r="IC20" s="159"/>
      <c r="ID20" s="159"/>
      <c r="IE20" s="159"/>
      <c r="IF20" s="159"/>
      <c r="IG20" s="160"/>
      <c r="IH20" s="159"/>
      <c r="II20" s="159"/>
      <c r="IJ20" s="182"/>
      <c r="IK20" s="173"/>
      <c r="IL20" s="173"/>
      <c r="IM20" s="166"/>
      <c r="IN20" s="152">
        <f>F20*10%</f>
        <v>0</v>
      </c>
      <c r="IO20" s="152">
        <f>F20+IN20</f>
        <v>0</v>
      </c>
    </row>
    <row r="21" spans="1:271" s="15" customFormat="1" ht="52.5" customHeight="1" x14ac:dyDescent="0.15">
      <c r="A21" s="153"/>
      <c r="B21" s="179"/>
      <c r="C21" s="179"/>
      <c r="D21" s="168"/>
      <c r="E21" s="156">
        <f t="shared" si="59"/>
        <v>0</v>
      </c>
      <c r="F21" s="169"/>
      <c r="G21" s="141">
        <f>COUNTA(I21:IG21)</f>
        <v>0</v>
      </c>
      <c r="H21" s="142">
        <f>SUM(I21:IG21)</f>
        <v>0</v>
      </c>
      <c r="I21" s="158"/>
      <c r="J21" s="159"/>
      <c r="K21" s="160"/>
      <c r="L21" s="161"/>
      <c r="M21" s="159"/>
      <c r="N21" s="162"/>
      <c r="O21" s="158"/>
      <c r="P21" s="159"/>
      <c r="Q21" s="160"/>
      <c r="R21" s="161"/>
      <c r="S21" s="159"/>
      <c r="T21" s="159"/>
      <c r="U21" s="162"/>
      <c r="V21" s="158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161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62"/>
      <c r="BJ21" s="158"/>
      <c r="BK21" s="159"/>
      <c r="BL21" s="159"/>
      <c r="BM21" s="159"/>
      <c r="BN21" s="159"/>
      <c r="BO21" s="159"/>
      <c r="BP21" s="159"/>
      <c r="BQ21" s="159"/>
      <c r="BR21" s="160"/>
      <c r="BS21" s="159"/>
      <c r="BT21" s="161"/>
      <c r="BU21" s="161"/>
      <c r="BV21" s="161"/>
      <c r="BW21" s="161"/>
      <c r="BX21" s="161"/>
      <c r="BY21" s="161"/>
      <c r="BZ21" s="161"/>
      <c r="CA21" s="161"/>
      <c r="CB21" s="159"/>
      <c r="CC21" s="159"/>
      <c r="CD21" s="159"/>
      <c r="CE21" s="159"/>
      <c r="CF21" s="159"/>
      <c r="CG21" s="159"/>
      <c r="CH21" s="159"/>
      <c r="CI21" s="159"/>
      <c r="CJ21" s="159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59"/>
      <c r="CW21" s="159"/>
      <c r="CX21" s="162"/>
      <c r="CY21" s="158"/>
      <c r="CZ21" s="159"/>
      <c r="DA21" s="159"/>
      <c r="DB21" s="180"/>
      <c r="DC21" s="180"/>
      <c r="DD21" s="180"/>
      <c r="DE21" s="180"/>
      <c r="DF21" s="180"/>
      <c r="DG21" s="180"/>
      <c r="DH21" s="180"/>
      <c r="DI21" s="180"/>
      <c r="DJ21" s="180"/>
      <c r="DK21" s="180"/>
      <c r="DL21" s="180"/>
      <c r="DM21" s="180"/>
      <c r="DN21" s="180"/>
      <c r="DO21" s="180"/>
      <c r="DP21" s="180"/>
      <c r="DQ21" s="180"/>
      <c r="DR21" s="180"/>
      <c r="DS21" s="180"/>
      <c r="DT21" s="180"/>
      <c r="DU21" s="180"/>
      <c r="DV21" s="180"/>
      <c r="DW21" s="180"/>
      <c r="DX21" s="180"/>
      <c r="DY21" s="180"/>
      <c r="DZ21" s="180"/>
      <c r="EA21" s="180"/>
      <c r="EB21" s="180"/>
      <c r="EC21" s="180"/>
      <c r="ED21" s="180"/>
      <c r="EE21" s="180"/>
      <c r="EF21" s="180"/>
      <c r="EG21" s="180"/>
      <c r="EH21" s="180"/>
      <c r="EI21" s="180"/>
      <c r="EJ21" s="180"/>
      <c r="EK21" s="180"/>
      <c r="EL21" s="180"/>
      <c r="EM21" s="180"/>
      <c r="EN21" s="180"/>
      <c r="EO21" s="180"/>
      <c r="EP21" s="180"/>
      <c r="EQ21" s="181"/>
      <c r="ER21" s="161"/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59"/>
      <c r="FF21" s="159"/>
      <c r="FG21" s="159"/>
      <c r="FH21" s="159"/>
      <c r="FI21" s="159"/>
      <c r="FJ21" s="159"/>
      <c r="FK21" s="180"/>
      <c r="FL21" s="180"/>
      <c r="FM21" s="180"/>
      <c r="FN21" s="159"/>
      <c r="FO21" s="159"/>
      <c r="FP21" s="159"/>
      <c r="FQ21" s="159"/>
      <c r="FR21" s="159"/>
      <c r="FS21" s="159"/>
      <c r="FT21" s="159"/>
      <c r="FU21" s="159"/>
      <c r="FV21" s="159"/>
      <c r="FW21" s="159"/>
      <c r="FX21" s="159"/>
      <c r="FY21" s="159"/>
      <c r="FZ21" s="159"/>
      <c r="GA21" s="159"/>
      <c r="GB21" s="159"/>
      <c r="GC21" s="159"/>
      <c r="GD21" s="159"/>
      <c r="GE21" s="159"/>
      <c r="GF21" s="159"/>
      <c r="GG21" s="159"/>
      <c r="GH21" s="159"/>
      <c r="GI21" s="159"/>
      <c r="GJ21" s="159"/>
      <c r="GK21" s="162"/>
      <c r="GL21" s="158"/>
      <c r="GM21" s="159"/>
      <c r="GN21" s="159"/>
      <c r="GO21" s="159"/>
      <c r="GP21" s="159"/>
      <c r="GQ21" s="159"/>
      <c r="GR21" s="159"/>
      <c r="GS21" s="159"/>
      <c r="GT21" s="159"/>
      <c r="GU21" s="159"/>
      <c r="GV21" s="159"/>
      <c r="GW21" s="159"/>
      <c r="GX21" s="159"/>
      <c r="GY21" s="159"/>
      <c r="GZ21" s="159"/>
      <c r="HA21" s="159"/>
      <c r="HB21" s="159"/>
      <c r="HC21" s="159"/>
      <c r="HD21" s="159"/>
      <c r="HE21" s="159"/>
      <c r="HF21" s="159"/>
      <c r="HG21" s="159"/>
      <c r="HH21" s="159"/>
      <c r="HI21" s="159"/>
      <c r="HJ21" s="159"/>
      <c r="HK21" s="159"/>
      <c r="HL21" s="159"/>
      <c r="HM21" s="159"/>
      <c r="HN21" s="159"/>
      <c r="HO21" s="159"/>
      <c r="HP21" s="159"/>
      <c r="HQ21" s="159"/>
      <c r="HR21" s="159"/>
      <c r="HS21" s="159"/>
      <c r="HT21" s="159"/>
      <c r="HU21" s="159"/>
      <c r="HV21" s="159"/>
      <c r="HW21" s="159"/>
      <c r="HX21" s="159"/>
      <c r="HY21" s="159"/>
      <c r="HZ21" s="159"/>
      <c r="IA21" s="159"/>
      <c r="IB21" s="159"/>
      <c r="IC21" s="159"/>
      <c r="ID21" s="159"/>
      <c r="IE21" s="159"/>
      <c r="IF21" s="159"/>
      <c r="IG21" s="160"/>
      <c r="IH21" s="159"/>
      <c r="II21" s="159"/>
      <c r="IJ21" s="182"/>
      <c r="IK21" s="173"/>
      <c r="IL21" s="173"/>
      <c r="IM21" s="166"/>
      <c r="IN21" s="152">
        <f>F21*10%</f>
        <v>0</v>
      </c>
      <c r="IO21" s="152">
        <f>F21+IN21</f>
        <v>0</v>
      </c>
    </row>
    <row r="22" spans="1:271" s="15" customFormat="1" ht="52.5" customHeight="1" x14ac:dyDescent="0.15">
      <c r="A22" s="153"/>
      <c r="B22" s="167"/>
      <c r="C22" s="167"/>
      <c r="D22" s="155"/>
      <c r="E22" s="156">
        <f t="shared" si="59"/>
        <v>0</v>
      </c>
      <c r="F22" s="169"/>
      <c r="G22" s="141">
        <f>COUNTA(I22:IG22)</f>
        <v>0</v>
      </c>
      <c r="H22" s="142">
        <f>SUM(I22:IG22)</f>
        <v>0</v>
      </c>
      <c r="I22" s="158"/>
      <c r="J22" s="159"/>
      <c r="K22" s="160"/>
      <c r="L22" s="161"/>
      <c r="M22" s="159"/>
      <c r="N22" s="162"/>
      <c r="O22" s="158"/>
      <c r="P22" s="159"/>
      <c r="Q22" s="160"/>
      <c r="R22" s="161"/>
      <c r="S22" s="159"/>
      <c r="T22" s="159"/>
      <c r="U22" s="162"/>
      <c r="V22" s="158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61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62"/>
      <c r="BJ22" s="158"/>
      <c r="BK22" s="159"/>
      <c r="BL22" s="159"/>
      <c r="BM22" s="159"/>
      <c r="BN22" s="159"/>
      <c r="BO22" s="159"/>
      <c r="BP22" s="159"/>
      <c r="BQ22" s="159"/>
      <c r="BR22" s="160"/>
      <c r="BS22" s="159"/>
      <c r="BT22" s="161"/>
      <c r="BU22" s="161"/>
      <c r="BV22" s="161"/>
      <c r="BW22" s="161"/>
      <c r="BX22" s="161"/>
      <c r="BY22" s="161"/>
      <c r="BZ22" s="161"/>
      <c r="CA22" s="161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62"/>
      <c r="CY22" s="158"/>
      <c r="CZ22" s="159"/>
      <c r="DA22" s="159"/>
      <c r="DB22" s="180"/>
      <c r="DC22" s="180"/>
      <c r="DD22" s="180"/>
      <c r="DE22" s="180"/>
      <c r="DF22" s="180"/>
      <c r="DG22" s="180"/>
      <c r="DH22" s="180"/>
      <c r="DI22" s="180"/>
      <c r="DJ22" s="180"/>
      <c r="DK22" s="180"/>
      <c r="DL22" s="180"/>
      <c r="DM22" s="180"/>
      <c r="DN22" s="180"/>
      <c r="DO22" s="180"/>
      <c r="DP22" s="180"/>
      <c r="DQ22" s="180"/>
      <c r="DR22" s="180"/>
      <c r="DS22" s="180"/>
      <c r="DT22" s="180"/>
      <c r="DU22" s="180"/>
      <c r="DV22" s="180"/>
      <c r="DW22" s="180"/>
      <c r="DX22" s="180"/>
      <c r="DY22" s="180"/>
      <c r="DZ22" s="180"/>
      <c r="EA22" s="180"/>
      <c r="EB22" s="180"/>
      <c r="EC22" s="180"/>
      <c r="ED22" s="180"/>
      <c r="EE22" s="180"/>
      <c r="EF22" s="180"/>
      <c r="EG22" s="180"/>
      <c r="EH22" s="180"/>
      <c r="EI22" s="180"/>
      <c r="EJ22" s="180"/>
      <c r="EK22" s="180"/>
      <c r="EL22" s="180"/>
      <c r="EM22" s="180"/>
      <c r="EN22" s="180"/>
      <c r="EO22" s="180"/>
      <c r="EP22" s="180"/>
      <c r="EQ22" s="181"/>
      <c r="ER22" s="161"/>
      <c r="ES22" s="159"/>
      <c r="ET22" s="159"/>
      <c r="EU22" s="159"/>
      <c r="EV22" s="159"/>
      <c r="EW22" s="159"/>
      <c r="EX22" s="159"/>
      <c r="EY22" s="159"/>
      <c r="EZ22" s="159"/>
      <c r="FA22" s="159"/>
      <c r="FB22" s="159"/>
      <c r="FC22" s="159"/>
      <c r="FD22" s="159"/>
      <c r="FE22" s="159"/>
      <c r="FF22" s="159"/>
      <c r="FG22" s="159"/>
      <c r="FH22" s="159"/>
      <c r="FI22" s="159"/>
      <c r="FJ22" s="159"/>
      <c r="FK22" s="180"/>
      <c r="FL22" s="180"/>
      <c r="FM22" s="180"/>
      <c r="FN22" s="159"/>
      <c r="FO22" s="159"/>
      <c r="FP22" s="159"/>
      <c r="FQ22" s="159"/>
      <c r="FR22" s="159"/>
      <c r="FS22" s="159"/>
      <c r="FT22" s="159"/>
      <c r="FU22" s="159"/>
      <c r="FV22" s="159"/>
      <c r="FW22" s="159"/>
      <c r="FX22" s="159"/>
      <c r="FY22" s="159"/>
      <c r="FZ22" s="159"/>
      <c r="GA22" s="159"/>
      <c r="GB22" s="159"/>
      <c r="GC22" s="159"/>
      <c r="GD22" s="159"/>
      <c r="GE22" s="159"/>
      <c r="GF22" s="159"/>
      <c r="GG22" s="159"/>
      <c r="GH22" s="159"/>
      <c r="GI22" s="159"/>
      <c r="GJ22" s="159"/>
      <c r="GK22" s="162"/>
      <c r="GL22" s="158"/>
      <c r="GM22" s="159"/>
      <c r="GN22" s="159"/>
      <c r="GO22" s="159"/>
      <c r="GP22" s="159"/>
      <c r="GQ22" s="159"/>
      <c r="GR22" s="159"/>
      <c r="GS22" s="159"/>
      <c r="GT22" s="159"/>
      <c r="GU22" s="159"/>
      <c r="GV22" s="159"/>
      <c r="GW22" s="159"/>
      <c r="GX22" s="159"/>
      <c r="GY22" s="159"/>
      <c r="GZ22" s="159"/>
      <c r="HA22" s="159"/>
      <c r="HB22" s="159"/>
      <c r="HC22" s="159"/>
      <c r="HD22" s="159"/>
      <c r="HE22" s="159"/>
      <c r="HF22" s="159"/>
      <c r="HG22" s="159"/>
      <c r="HH22" s="159"/>
      <c r="HI22" s="159"/>
      <c r="HJ22" s="159"/>
      <c r="HK22" s="159"/>
      <c r="HL22" s="159"/>
      <c r="HM22" s="159"/>
      <c r="HN22" s="159"/>
      <c r="HO22" s="159"/>
      <c r="HP22" s="159"/>
      <c r="HQ22" s="159"/>
      <c r="HR22" s="159"/>
      <c r="HS22" s="159"/>
      <c r="HT22" s="159"/>
      <c r="HU22" s="159"/>
      <c r="HV22" s="159"/>
      <c r="HW22" s="159"/>
      <c r="HX22" s="159"/>
      <c r="HY22" s="159"/>
      <c r="HZ22" s="159"/>
      <c r="IA22" s="159"/>
      <c r="IB22" s="159"/>
      <c r="IC22" s="159"/>
      <c r="ID22" s="159"/>
      <c r="IE22" s="159"/>
      <c r="IF22" s="159"/>
      <c r="IG22" s="160"/>
      <c r="IH22" s="159"/>
      <c r="II22" s="159"/>
      <c r="IJ22" s="182"/>
      <c r="IK22" s="173"/>
      <c r="IL22" s="173"/>
      <c r="IM22" s="185"/>
      <c r="IN22" s="152">
        <f>F22*10%</f>
        <v>0</v>
      </c>
      <c r="IO22" s="152">
        <f>F22+IN22</f>
        <v>0</v>
      </c>
    </row>
    <row r="23" spans="1:271" s="15" customFormat="1" ht="52.5" customHeight="1" x14ac:dyDescent="0.15">
      <c r="A23" s="153"/>
      <c r="B23" s="167"/>
      <c r="C23" s="167"/>
      <c r="D23" s="155"/>
      <c r="E23" s="156">
        <f t="shared" si="59"/>
        <v>0</v>
      </c>
      <c r="F23" s="169"/>
      <c r="G23" s="141">
        <f>COUNTA(I23:IG23)</f>
        <v>0</v>
      </c>
      <c r="H23" s="142">
        <f>SUM(I23:IG23)</f>
        <v>0</v>
      </c>
      <c r="I23" s="158"/>
      <c r="J23" s="159"/>
      <c r="K23" s="160"/>
      <c r="L23" s="161"/>
      <c r="M23" s="159"/>
      <c r="N23" s="162"/>
      <c r="O23" s="158"/>
      <c r="P23" s="159"/>
      <c r="Q23" s="160"/>
      <c r="R23" s="161"/>
      <c r="S23" s="159"/>
      <c r="T23" s="159"/>
      <c r="U23" s="162"/>
      <c r="V23" s="158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60"/>
      <c r="AQ23" s="161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62"/>
      <c r="BJ23" s="158"/>
      <c r="BK23" s="159"/>
      <c r="BL23" s="159"/>
      <c r="BM23" s="159"/>
      <c r="BN23" s="159"/>
      <c r="BO23" s="159"/>
      <c r="BP23" s="159"/>
      <c r="BQ23" s="159"/>
      <c r="BR23" s="160"/>
      <c r="BS23" s="159"/>
      <c r="BT23" s="161"/>
      <c r="BU23" s="161"/>
      <c r="BV23" s="161"/>
      <c r="BW23" s="161"/>
      <c r="BX23" s="161"/>
      <c r="BY23" s="161"/>
      <c r="BZ23" s="161"/>
      <c r="CA23" s="161"/>
      <c r="CB23" s="159"/>
      <c r="CC23" s="159"/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62"/>
      <c r="CY23" s="158"/>
      <c r="CZ23" s="159"/>
      <c r="DA23" s="159"/>
      <c r="DB23" s="180"/>
      <c r="DC23" s="180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0"/>
      <c r="DQ23" s="180"/>
      <c r="DR23" s="180"/>
      <c r="DS23" s="180"/>
      <c r="DT23" s="180"/>
      <c r="DU23" s="180"/>
      <c r="DV23" s="180"/>
      <c r="DW23" s="180"/>
      <c r="DX23" s="180"/>
      <c r="DY23" s="180"/>
      <c r="DZ23" s="180"/>
      <c r="EA23" s="180"/>
      <c r="EB23" s="180"/>
      <c r="EC23" s="180"/>
      <c r="ED23" s="180"/>
      <c r="EE23" s="180"/>
      <c r="EF23" s="180"/>
      <c r="EG23" s="180"/>
      <c r="EH23" s="180"/>
      <c r="EI23" s="180"/>
      <c r="EJ23" s="180"/>
      <c r="EK23" s="180"/>
      <c r="EL23" s="180"/>
      <c r="EM23" s="180"/>
      <c r="EN23" s="180"/>
      <c r="EO23" s="180"/>
      <c r="EP23" s="180"/>
      <c r="EQ23" s="181"/>
      <c r="ER23" s="161"/>
      <c r="ES23" s="159"/>
      <c r="ET23" s="159"/>
      <c r="EU23" s="159"/>
      <c r="EV23" s="159"/>
      <c r="EW23" s="159"/>
      <c r="EX23" s="159"/>
      <c r="EY23" s="159"/>
      <c r="EZ23" s="159"/>
      <c r="FA23" s="159"/>
      <c r="FB23" s="159"/>
      <c r="FC23" s="159"/>
      <c r="FD23" s="159"/>
      <c r="FE23" s="159"/>
      <c r="FF23" s="159"/>
      <c r="FG23" s="159"/>
      <c r="FH23" s="159"/>
      <c r="FI23" s="159"/>
      <c r="FJ23" s="159"/>
      <c r="FK23" s="180"/>
      <c r="FL23" s="180"/>
      <c r="FM23" s="180"/>
      <c r="FN23" s="159"/>
      <c r="FO23" s="159"/>
      <c r="FP23" s="159"/>
      <c r="FQ23" s="159"/>
      <c r="FR23" s="159"/>
      <c r="FS23" s="159"/>
      <c r="FT23" s="159"/>
      <c r="FU23" s="159"/>
      <c r="FV23" s="159"/>
      <c r="FW23" s="159"/>
      <c r="FX23" s="159"/>
      <c r="FY23" s="159"/>
      <c r="FZ23" s="159"/>
      <c r="GA23" s="159"/>
      <c r="GB23" s="159"/>
      <c r="GC23" s="159"/>
      <c r="GD23" s="159"/>
      <c r="GE23" s="159"/>
      <c r="GF23" s="159"/>
      <c r="GG23" s="159"/>
      <c r="GH23" s="159"/>
      <c r="GI23" s="159"/>
      <c r="GJ23" s="159"/>
      <c r="GK23" s="162"/>
      <c r="GL23" s="158"/>
      <c r="GM23" s="159"/>
      <c r="GN23" s="159"/>
      <c r="GO23" s="159"/>
      <c r="GP23" s="159"/>
      <c r="GQ23" s="159"/>
      <c r="GR23" s="159"/>
      <c r="GS23" s="159"/>
      <c r="GT23" s="159"/>
      <c r="GU23" s="159"/>
      <c r="GV23" s="159"/>
      <c r="GW23" s="159"/>
      <c r="GX23" s="159"/>
      <c r="GY23" s="159"/>
      <c r="GZ23" s="159"/>
      <c r="HA23" s="159"/>
      <c r="HB23" s="159"/>
      <c r="HC23" s="159"/>
      <c r="HD23" s="159"/>
      <c r="HE23" s="159"/>
      <c r="HF23" s="159"/>
      <c r="HG23" s="159"/>
      <c r="HH23" s="159"/>
      <c r="HI23" s="159"/>
      <c r="HJ23" s="159"/>
      <c r="HK23" s="159"/>
      <c r="HL23" s="159"/>
      <c r="HM23" s="159"/>
      <c r="HN23" s="159"/>
      <c r="HO23" s="159"/>
      <c r="HP23" s="159"/>
      <c r="HQ23" s="159"/>
      <c r="HR23" s="159"/>
      <c r="HS23" s="159"/>
      <c r="HT23" s="159"/>
      <c r="HU23" s="159"/>
      <c r="HV23" s="159"/>
      <c r="HW23" s="159"/>
      <c r="HX23" s="159"/>
      <c r="HY23" s="159"/>
      <c r="HZ23" s="159"/>
      <c r="IA23" s="159"/>
      <c r="IB23" s="159"/>
      <c r="IC23" s="159"/>
      <c r="ID23" s="159"/>
      <c r="IE23" s="159"/>
      <c r="IF23" s="159"/>
      <c r="IG23" s="160"/>
      <c r="IH23" s="159"/>
      <c r="II23" s="159"/>
      <c r="IJ23" s="182"/>
      <c r="IK23" s="173"/>
      <c r="IL23" s="173"/>
      <c r="IM23" s="185"/>
      <c r="IN23" s="152">
        <f>F23*10%</f>
        <v>0</v>
      </c>
      <c r="IO23" s="152">
        <f>F23+IN23</f>
        <v>0</v>
      </c>
    </row>
    <row r="24" spans="1:271" s="15" customFormat="1" ht="52.5" customHeight="1" x14ac:dyDescent="0.15">
      <c r="A24" s="153"/>
      <c r="B24" s="167"/>
      <c r="C24" s="167"/>
      <c r="D24" s="155"/>
      <c r="E24" s="156">
        <f t="shared" si="59"/>
        <v>0</v>
      </c>
      <c r="F24" s="169"/>
      <c r="G24" s="141">
        <f>COUNTA(I24:IG24)</f>
        <v>0</v>
      </c>
      <c r="H24" s="142">
        <f>SUM(I24:IG24)</f>
        <v>0</v>
      </c>
      <c r="I24" s="158"/>
      <c r="J24" s="159"/>
      <c r="K24" s="160"/>
      <c r="L24" s="161"/>
      <c r="M24" s="159"/>
      <c r="N24" s="162"/>
      <c r="O24" s="158"/>
      <c r="P24" s="159"/>
      <c r="Q24" s="160"/>
      <c r="R24" s="161"/>
      <c r="S24" s="159"/>
      <c r="T24" s="159"/>
      <c r="U24" s="162"/>
      <c r="V24" s="158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60"/>
      <c r="AQ24" s="161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62"/>
      <c r="BJ24" s="158"/>
      <c r="BK24" s="159"/>
      <c r="BL24" s="159"/>
      <c r="BM24" s="159"/>
      <c r="BN24" s="159"/>
      <c r="BO24" s="159"/>
      <c r="BP24" s="159"/>
      <c r="BQ24" s="159"/>
      <c r="BR24" s="160"/>
      <c r="BS24" s="159"/>
      <c r="BT24" s="161"/>
      <c r="BU24" s="161"/>
      <c r="BV24" s="161"/>
      <c r="BW24" s="161"/>
      <c r="BX24" s="161"/>
      <c r="BY24" s="161"/>
      <c r="BZ24" s="161"/>
      <c r="CA24" s="161"/>
      <c r="CB24" s="159"/>
      <c r="CC24" s="159"/>
      <c r="CD24" s="159"/>
      <c r="CE24" s="159"/>
      <c r="CF24" s="159"/>
      <c r="CG24" s="159"/>
      <c r="CH24" s="159"/>
      <c r="CI24" s="159"/>
      <c r="CJ24" s="159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59"/>
      <c r="CW24" s="159"/>
      <c r="CX24" s="162"/>
      <c r="CY24" s="158"/>
      <c r="CZ24" s="159"/>
      <c r="DA24" s="159"/>
      <c r="DB24" s="180"/>
      <c r="DC24" s="180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1"/>
      <c r="ER24" s="161"/>
      <c r="ES24" s="159"/>
      <c r="ET24" s="159"/>
      <c r="EU24" s="159"/>
      <c r="EV24" s="159"/>
      <c r="EW24" s="159"/>
      <c r="EX24" s="159"/>
      <c r="EY24" s="159"/>
      <c r="EZ24" s="159"/>
      <c r="FA24" s="159"/>
      <c r="FB24" s="159"/>
      <c r="FC24" s="159"/>
      <c r="FD24" s="159"/>
      <c r="FE24" s="159"/>
      <c r="FF24" s="159"/>
      <c r="FG24" s="159"/>
      <c r="FH24" s="159"/>
      <c r="FI24" s="159"/>
      <c r="FJ24" s="159"/>
      <c r="FK24" s="180"/>
      <c r="FL24" s="180"/>
      <c r="FM24" s="180"/>
      <c r="FN24" s="159"/>
      <c r="FO24" s="159"/>
      <c r="FP24" s="159"/>
      <c r="FQ24" s="159"/>
      <c r="FR24" s="159"/>
      <c r="FS24" s="159"/>
      <c r="FT24" s="159"/>
      <c r="FU24" s="159"/>
      <c r="FV24" s="159"/>
      <c r="FW24" s="159"/>
      <c r="FX24" s="159"/>
      <c r="FY24" s="159"/>
      <c r="FZ24" s="159"/>
      <c r="GA24" s="159"/>
      <c r="GB24" s="159"/>
      <c r="GC24" s="159"/>
      <c r="GD24" s="159"/>
      <c r="GE24" s="159"/>
      <c r="GF24" s="159"/>
      <c r="GG24" s="159"/>
      <c r="GH24" s="159"/>
      <c r="GI24" s="159"/>
      <c r="GJ24" s="159"/>
      <c r="GK24" s="162"/>
      <c r="GL24" s="158"/>
      <c r="GM24" s="159"/>
      <c r="GN24" s="159"/>
      <c r="GO24" s="159"/>
      <c r="GP24" s="159"/>
      <c r="GQ24" s="159"/>
      <c r="GR24" s="159"/>
      <c r="GS24" s="159"/>
      <c r="GT24" s="159"/>
      <c r="GU24" s="159"/>
      <c r="GV24" s="159"/>
      <c r="GW24" s="159"/>
      <c r="GX24" s="159"/>
      <c r="GY24" s="159"/>
      <c r="GZ24" s="159"/>
      <c r="HA24" s="159"/>
      <c r="HB24" s="159"/>
      <c r="HC24" s="159"/>
      <c r="HD24" s="159"/>
      <c r="HE24" s="159"/>
      <c r="HF24" s="159"/>
      <c r="HG24" s="159"/>
      <c r="HH24" s="159"/>
      <c r="HI24" s="159"/>
      <c r="HJ24" s="159"/>
      <c r="HK24" s="159"/>
      <c r="HL24" s="159"/>
      <c r="HM24" s="159"/>
      <c r="HN24" s="159"/>
      <c r="HO24" s="159"/>
      <c r="HP24" s="159"/>
      <c r="HQ24" s="159"/>
      <c r="HR24" s="159"/>
      <c r="HS24" s="159"/>
      <c r="HT24" s="159"/>
      <c r="HU24" s="159"/>
      <c r="HV24" s="159"/>
      <c r="HW24" s="159"/>
      <c r="HX24" s="159"/>
      <c r="HY24" s="159"/>
      <c r="HZ24" s="159"/>
      <c r="IA24" s="159"/>
      <c r="IB24" s="159"/>
      <c r="IC24" s="159"/>
      <c r="ID24" s="159"/>
      <c r="IE24" s="159"/>
      <c r="IF24" s="159"/>
      <c r="IG24" s="160"/>
      <c r="IH24" s="159"/>
      <c r="II24" s="159"/>
      <c r="IJ24" s="182"/>
      <c r="IK24" s="173"/>
      <c r="IL24" s="173"/>
      <c r="IM24" s="185"/>
      <c r="IN24" s="152">
        <f>F24*10%</f>
        <v>0</v>
      </c>
      <c r="IO24" s="152">
        <f>F24+IN24</f>
        <v>0</v>
      </c>
    </row>
    <row r="25" spans="1:271" ht="52.5" customHeight="1" x14ac:dyDescent="0.3">
      <c r="A25" s="153"/>
      <c r="B25" s="167"/>
      <c r="C25" s="167"/>
      <c r="D25" s="155"/>
      <c r="E25" s="156">
        <f t="shared" si="59"/>
        <v>0</v>
      </c>
      <c r="F25" s="169"/>
      <c r="G25" s="141">
        <f>COUNTA(I25:IG25)</f>
        <v>0</v>
      </c>
      <c r="H25" s="142">
        <f>SUM(I25:IG25)</f>
        <v>0</v>
      </c>
      <c r="I25" s="158"/>
      <c r="J25" s="159"/>
      <c r="K25" s="160"/>
      <c r="L25" s="161"/>
      <c r="M25" s="159"/>
      <c r="N25" s="162"/>
      <c r="O25" s="158"/>
      <c r="P25" s="159"/>
      <c r="Q25" s="160"/>
      <c r="R25" s="161"/>
      <c r="S25" s="159"/>
      <c r="T25" s="159"/>
      <c r="U25" s="162"/>
      <c r="V25" s="158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60"/>
      <c r="AQ25" s="161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62"/>
      <c r="BJ25" s="158"/>
      <c r="BK25" s="159"/>
      <c r="BL25" s="159"/>
      <c r="BM25" s="159"/>
      <c r="BN25" s="159"/>
      <c r="BO25" s="159"/>
      <c r="BP25" s="159"/>
      <c r="BQ25" s="159"/>
      <c r="BR25" s="160"/>
      <c r="BS25" s="180"/>
      <c r="BT25" s="161"/>
      <c r="BU25" s="161"/>
      <c r="BV25" s="161"/>
      <c r="BW25" s="161"/>
      <c r="BX25" s="161"/>
      <c r="BY25" s="161"/>
      <c r="BZ25" s="161"/>
      <c r="CA25" s="161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80"/>
      <c r="CR25" s="180"/>
      <c r="CS25" s="159"/>
      <c r="CT25" s="159"/>
      <c r="CU25" s="180"/>
      <c r="CV25" s="180"/>
      <c r="CW25" s="180"/>
      <c r="CX25" s="186"/>
      <c r="CY25" s="187"/>
      <c r="CZ25" s="180"/>
      <c r="DA25" s="180"/>
      <c r="DB25" s="159"/>
      <c r="DC25" s="159"/>
      <c r="DD25" s="159"/>
      <c r="DE25" s="164"/>
      <c r="DF25" s="164"/>
      <c r="DG25" s="164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59"/>
      <c r="EG25" s="159"/>
      <c r="EH25" s="159"/>
      <c r="EI25" s="159"/>
      <c r="EJ25" s="159"/>
      <c r="EK25" s="159"/>
      <c r="EL25" s="159"/>
      <c r="EM25" s="159"/>
      <c r="EN25" s="159"/>
      <c r="EO25" s="159"/>
      <c r="EP25" s="159"/>
      <c r="EQ25" s="160"/>
      <c r="ER25" s="161"/>
      <c r="ES25" s="159"/>
      <c r="ET25" s="159"/>
      <c r="EU25" s="159"/>
      <c r="EV25" s="159"/>
      <c r="EW25" s="159"/>
      <c r="EX25" s="159"/>
      <c r="EY25" s="159"/>
      <c r="EZ25" s="159"/>
      <c r="FA25" s="159"/>
      <c r="FB25" s="159"/>
      <c r="FC25" s="159"/>
      <c r="FD25" s="159"/>
      <c r="FE25" s="159"/>
      <c r="FF25" s="159"/>
      <c r="FG25" s="159"/>
      <c r="FH25" s="159"/>
      <c r="FI25" s="159"/>
      <c r="FJ25" s="159"/>
      <c r="FK25" s="159"/>
      <c r="FL25" s="159"/>
      <c r="FM25" s="159"/>
      <c r="FN25" s="159"/>
      <c r="FO25" s="159"/>
      <c r="FP25" s="159"/>
      <c r="FQ25" s="159"/>
      <c r="FR25" s="159"/>
      <c r="FS25" s="159"/>
      <c r="FT25" s="159"/>
      <c r="FU25" s="159"/>
      <c r="FV25" s="159"/>
      <c r="FW25" s="159"/>
      <c r="FX25" s="159"/>
      <c r="FY25" s="159"/>
      <c r="FZ25" s="159"/>
      <c r="GA25" s="159"/>
      <c r="GB25" s="159"/>
      <c r="GC25" s="159"/>
      <c r="GD25" s="159"/>
      <c r="GE25" s="159"/>
      <c r="GF25" s="159"/>
      <c r="GG25" s="159"/>
      <c r="GH25" s="159"/>
      <c r="GI25" s="159"/>
      <c r="GJ25" s="159"/>
      <c r="GK25" s="162"/>
      <c r="GL25" s="158"/>
      <c r="GM25" s="159"/>
      <c r="GN25" s="159"/>
      <c r="GO25" s="159"/>
      <c r="GP25" s="159"/>
      <c r="GQ25" s="159"/>
      <c r="GR25" s="159"/>
      <c r="GS25" s="159"/>
      <c r="GT25" s="159"/>
      <c r="GU25" s="159"/>
      <c r="GV25" s="159"/>
      <c r="GW25" s="159"/>
      <c r="GX25" s="159"/>
      <c r="GY25" s="159"/>
      <c r="GZ25" s="159"/>
      <c r="HA25" s="159"/>
      <c r="HB25" s="159"/>
      <c r="HC25" s="159"/>
      <c r="HD25" s="159"/>
      <c r="HE25" s="159"/>
      <c r="HF25" s="159"/>
      <c r="HG25" s="159"/>
      <c r="HH25" s="159"/>
      <c r="HI25" s="159"/>
      <c r="HJ25" s="159"/>
      <c r="HK25" s="159"/>
      <c r="HL25" s="159"/>
      <c r="HM25" s="159"/>
      <c r="HN25" s="159"/>
      <c r="HO25" s="159"/>
      <c r="HP25" s="159"/>
      <c r="HQ25" s="159"/>
      <c r="HR25" s="159"/>
      <c r="HS25" s="159"/>
      <c r="HT25" s="159"/>
      <c r="HU25" s="159"/>
      <c r="HV25" s="159"/>
      <c r="HW25" s="159"/>
      <c r="HX25" s="159"/>
      <c r="HY25" s="159"/>
      <c r="HZ25" s="159"/>
      <c r="IA25" s="159"/>
      <c r="IB25" s="159"/>
      <c r="IC25" s="159"/>
      <c r="ID25" s="159"/>
      <c r="IE25" s="159"/>
      <c r="IF25" s="159"/>
      <c r="IG25" s="160"/>
      <c r="IH25" s="159"/>
      <c r="II25" s="159"/>
      <c r="IJ25" s="182"/>
      <c r="IK25" s="173"/>
      <c r="IL25" s="173"/>
      <c r="IM25" s="185"/>
      <c r="IN25" s="152">
        <f>F25*10%</f>
        <v>0</v>
      </c>
      <c r="IO25" s="152">
        <f>F25+IN25</f>
        <v>0</v>
      </c>
    </row>
    <row r="26" spans="1:271" ht="52.5" customHeight="1" x14ac:dyDescent="0.3">
      <c r="A26" s="153"/>
      <c r="B26" s="179"/>
      <c r="C26" s="179"/>
      <c r="D26" s="188"/>
      <c r="E26" s="156">
        <f t="shared" si="59"/>
        <v>0</v>
      </c>
      <c r="F26" s="169"/>
      <c r="G26" s="141">
        <f>COUNTA(I26:IG26)</f>
        <v>0</v>
      </c>
      <c r="H26" s="142">
        <f>SUM(I26:IG26)</f>
        <v>0</v>
      </c>
      <c r="I26" s="158"/>
      <c r="J26" s="159"/>
      <c r="K26" s="160"/>
      <c r="L26" s="161"/>
      <c r="M26" s="159"/>
      <c r="N26" s="162"/>
      <c r="O26" s="158"/>
      <c r="P26" s="159"/>
      <c r="Q26" s="160"/>
      <c r="R26" s="161"/>
      <c r="S26" s="159"/>
      <c r="T26" s="159"/>
      <c r="U26" s="162"/>
      <c r="V26" s="158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61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62"/>
      <c r="BJ26" s="158"/>
      <c r="BK26" s="159"/>
      <c r="BL26" s="159"/>
      <c r="BM26" s="159"/>
      <c r="BN26" s="159"/>
      <c r="BO26" s="159"/>
      <c r="BP26" s="159"/>
      <c r="BQ26" s="159"/>
      <c r="BR26" s="160"/>
      <c r="BS26" s="159"/>
      <c r="BT26" s="161"/>
      <c r="BU26" s="161"/>
      <c r="BV26" s="161"/>
      <c r="BW26" s="161"/>
      <c r="BX26" s="161"/>
      <c r="BY26" s="161"/>
      <c r="BZ26" s="161"/>
      <c r="CA26" s="161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59"/>
      <c r="CW26" s="159"/>
      <c r="CX26" s="162"/>
      <c r="CY26" s="158"/>
      <c r="CZ26" s="159"/>
      <c r="DA26" s="159"/>
      <c r="DB26" s="180"/>
      <c r="DC26" s="180"/>
      <c r="DD26" s="180"/>
      <c r="DE26" s="180"/>
      <c r="DF26" s="180"/>
      <c r="DG26" s="180"/>
      <c r="DH26" s="180"/>
      <c r="DI26" s="180"/>
      <c r="DJ26" s="180"/>
      <c r="DK26" s="180"/>
      <c r="DL26" s="180"/>
      <c r="DM26" s="180"/>
      <c r="DN26" s="180"/>
      <c r="DO26" s="180"/>
      <c r="DP26" s="180"/>
      <c r="DQ26" s="180"/>
      <c r="DR26" s="180"/>
      <c r="DS26" s="180"/>
      <c r="DT26" s="180"/>
      <c r="DU26" s="180"/>
      <c r="DV26" s="180"/>
      <c r="DW26" s="180"/>
      <c r="DX26" s="180"/>
      <c r="DY26" s="180"/>
      <c r="DZ26" s="180"/>
      <c r="EA26" s="180"/>
      <c r="EB26" s="180"/>
      <c r="EC26" s="180"/>
      <c r="ED26" s="180"/>
      <c r="EE26" s="180"/>
      <c r="EF26" s="180"/>
      <c r="EG26" s="180"/>
      <c r="EH26" s="180"/>
      <c r="EI26" s="180"/>
      <c r="EJ26" s="180"/>
      <c r="EK26" s="180"/>
      <c r="EL26" s="180"/>
      <c r="EM26" s="180"/>
      <c r="EN26" s="180"/>
      <c r="EO26" s="180"/>
      <c r="EP26" s="180"/>
      <c r="EQ26" s="181"/>
      <c r="ER26" s="161"/>
      <c r="ES26" s="159"/>
      <c r="ET26" s="159"/>
      <c r="EU26" s="159"/>
      <c r="EV26" s="159"/>
      <c r="EW26" s="159"/>
      <c r="EX26" s="159"/>
      <c r="EY26" s="159"/>
      <c r="EZ26" s="159"/>
      <c r="FA26" s="159"/>
      <c r="FB26" s="159"/>
      <c r="FC26" s="159"/>
      <c r="FD26" s="159"/>
      <c r="FE26" s="159"/>
      <c r="FF26" s="159"/>
      <c r="FG26" s="159"/>
      <c r="FH26" s="159"/>
      <c r="FI26" s="159"/>
      <c r="FJ26" s="159"/>
      <c r="FK26" s="180"/>
      <c r="FL26" s="180"/>
      <c r="FM26" s="180"/>
      <c r="FN26" s="159"/>
      <c r="FO26" s="159"/>
      <c r="FP26" s="159"/>
      <c r="FQ26" s="159"/>
      <c r="FR26" s="159"/>
      <c r="FS26" s="159"/>
      <c r="FT26" s="159"/>
      <c r="FU26" s="159"/>
      <c r="FV26" s="159"/>
      <c r="FW26" s="159"/>
      <c r="FX26" s="159"/>
      <c r="FY26" s="159"/>
      <c r="FZ26" s="159"/>
      <c r="GA26" s="159"/>
      <c r="GB26" s="159"/>
      <c r="GC26" s="159"/>
      <c r="GD26" s="159"/>
      <c r="GE26" s="159"/>
      <c r="GF26" s="159"/>
      <c r="GG26" s="159"/>
      <c r="GH26" s="159"/>
      <c r="GI26" s="159"/>
      <c r="GJ26" s="159"/>
      <c r="GK26" s="162"/>
      <c r="GL26" s="158"/>
      <c r="GM26" s="159"/>
      <c r="GN26" s="159"/>
      <c r="GO26" s="159"/>
      <c r="GP26" s="159"/>
      <c r="GQ26" s="159"/>
      <c r="GR26" s="159"/>
      <c r="GS26" s="159"/>
      <c r="GT26" s="159"/>
      <c r="GU26" s="159"/>
      <c r="GV26" s="159"/>
      <c r="GW26" s="159"/>
      <c r="GX26" s="159"/>
      <c r="GY26" s="159"/>
      <c r="GZ26" s="159"/>
      <c r="HA26" s="159"/>
      <c r="HB26" s="159"/>
      <c r="HC26" s="159"/>
      <c r="HD26" s="159"/>
      <c r="HE26" s="159"/>
      <c r="HF26" s="159"/>
      <c r="HG26" s="159"/>
      <c r="HH26" s="159"/>
      <c r="HI26" s="159"/>
      <c r="HJ26" s="159"/>
      <c r="HK26" s="159"/>
      <c r="HL26" s="159"/>
      <c r="HM26" s="159"/>
      <c r="HN26" s="159"/>
      <c r="HO26" s="159"/>
      <c r="HP26" s="159"/>
      <c r="HQ26" s="159"/>
      <c r="HR26" s="159"/>
      <c r="HS26" s="159"/>
      <c r="HT26" s="159"/>
      <c r="HU26" s="159"/>
      <c r="HV26" s="159"/>
      <c r="HW26" s="159"/>
      <c r="HX26" s="159"/>
      <c r="HY26" s="159"/>
      <c r="HZ26" s="159"/>
      <c r="IA26" s="159"/>
      <c r="IB26" s="159"/>
      <c r="IC26" s="159"/>
      <c r="ID26" s="159"/>
      <c r="IE26" s="159"/>
      <c r="IF26" s="159"/>
      <c r="IG26" s="160"/>
      <c r="IH26" s="159"/>
      <c r="II26" s="159"/>
      <c r="IJ26" s="182"/>
      <c r="IK26" s="173"/>
      <c r="IL26" s="173"/>
      <c r="IM26" s="185"/>
      <c r="IN26" s="152">
        <f>F26*10%</f>
        <v>0</v>
      </c>
      <c r="IO26" s="152">
        <f>F26+IN26</f>
        <v>0</v>
      </c>
    </row>
    <row r="27" spans="1:271" ht="52.5" customHeight="1" x14ac:dyDescent="0.3">
      <c r="A27" s="153"/>
      <c r="B27" s="167"/>
      <c r="C27" s="167"/>
      <c r="D27" s="168"/>
      <c r="E27" s="156">
        <f t="shared" si="59"/>
        <v>0</v>
      </c>
      <c r="F27" s="169"/>
      <c r="G27" s="141">
        <f>COUNTA(I27:IG27)</f>
        <v>0</v>
      </c>
      <c r="H27" s="142">
        <f>SUM(I27:IG27)</f>
        <v>0</v>
      </c>
      <c r="I27" s="158"/>
      <c r="J27" s="159"/>
      <c r="K27" s="160"/>
      <c r="L27" s="161"/>
      <c r="M27" s="159"/>
      <c r="N27" s="162"/>
      <c r="O27" s="158"/>
      <c r="P27" s="159"/>
      <c r="Q27" s="160"/>
      <c r="R27" s="161"/>
      <c r="S27" s="159"/>
      <c r="T27" s="159"/>
      <c r="U27" s="162"/>
      <c r="V27" s="158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61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62"/>
      <c r="BJ27" s="158"/>
      <c r="BK27" s="159"/>
      <c r="BL27" s="159"/>
      <c r="BM27" s="159"/>
      <c r="BN27" s="159"/>
      <c r="BO27" s="159"/>
      <c r="BP27" s="159"/>
      <c r="BQ27" s="159"/>
      <c r="BR27" s="160"/>
      <c r="BS27" s="159"/>
      <c r="BT27" s="161"/>
      <c r="BU27" s="161"/>
      <c r="BV27" s="161"/>
      <c r="BW27" s="161"/>
      <c r="BX27" s="161"/>
      <c r="BY27" s="161"/>
      <c r="BZ27" s="161"/>
      <c r="CA27" s="161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62"/>
      <c r="CY27" s="158"/>
      <c r="CZ27" s="159"/>
      <c r="DA27" s="159"/>
      <c r="DB27" s="180"/>
      <c r="DC27" s="180"/>
      <c r="DD27" s="180"/>
      <c r="DE27" s="180"/>
      <c r="DF27" s="180"/>
      <c r="DG27" s="180"/>
      <c r="DH27" s="180"/>
      <c r="DI27" s="180"/>
      <c r="DJ27" s="180"/>
      <c r="DK27" s="180"/>
      <c r="DL27" s="180"/>
      <c r="DM27" s="180"/>
      <c r="DN27" s="180"/>
      <c r="DO27" s="180"/>
      <c r="DP27" s="180"/>
      <c r="DQ27" s="180"/>
      <c r="DR27" s="180"/>
      <c r="DS27" s="180"/>
      <c r="DT27" s="180"/>
      <c r="DU27" s="180"/>
      <c r="DV27" s="180"/>
      <c r="DW27" s="180"/>
      <c r="DX27" s="180"/>
      <c r="DY27" s="180"/>
      <c r="DZ27" s="180"/>
      <c r="EA27" s="180"/>
      <c r="EB27" s="180"/>
      <c r="EC27" s="180"/>
      <c r="ED27" s="180"/>
      <c r="EE27" s="180"/>
      <c r="EF27" s="180"/>
      <c r="EG27" s="180"/>
      <c r="EH27" s="180"/>
      <c r="EI27" s="180"/>
      <c r="EJ27" s="180"/>
      <c r="EK27" s="180"/>
      <c r="EL27" s="180"/>
      <c r="EM27" s="180"/>
      <c r="EN27" s="180"/>
      <c r="EO27" s="180"/>
      <c r="EP27" s="180"/>
      <c r="EQ27" s="181"/>
      <c r="ER27" s="161"/>
      <c r="ES27" s="159"/>
      <c r="ET27" s="159"/>
      <c r="EU27" s="159"/>
      <c r="EV27" s="159"/>
      <c r="EW27" s="159"/>
      <c r="EX27" s="159"/>
      <c r="EY27" s="159"/>
      <c r="EZ27" s="159"/>
      <c r="FA27" s="159"/>
      <c r="FB27" s="159"/>
      <c r="FC27" s="159"/>
      <c r="FD27" s="159"/>
      <c r="FE27" s="159"/>
      <c r="FF27" s="159"/>
      <c r="FG27" s="159"/>
      <c r="FH27" s="159"/>
      <c r="FI27" s="159"/>
      <c r="FJ27" s="159"/>
      <c r="FK27" s="180"/>
      <c r="FL27" s="180"/>
      <c r="FM27" s="180"/>
      <c r="FN27" s="159"/>
      <c r="FO27" s="159"/>
      <c r="FP27" s="159"/>
      <c r="FQ27" s="159"/>
      <c r="FR27" s="159"/>
      <c r="FS27" s="159"/>
      <c r="FT27" s="159"/>
      <c r="FU27" s="159"/>
      <c r="FV27" s="159"/>
      <c r="FW27" s="159"/>
      <c r="FX27" s="159"/>
      <c r="FY27" s="159"/>
      <c r="FZ27" s="159"/>
      <c r="GA27" s="159"/>
      <c r="GB27" s="159"/>
      <c r="GC27" s="159"/>
      <c r="GD27" s="159"/>
      <c r="GE27" s="159"/>
      <c r="GF27" s="159"/>
      <c r="GG27" s="159"/>
      <c r="GH27" s="159"/>
      <c r="GI27" s="159"/>
      <c r="GJ27" s="159"/>
      <c r="GK27" s="162"/>
      <c r="GL27" s="158"/>
      <c r="GM27" s="159"/>
      <c r="GN27" s="159"/>
      <c r="GO27" s="159"/>
      <c r="GP27" s="159"/>
      <c r="GQ27" s="159"/>
      <c r="GR27" s="159"/>
      <c r="GS27" s="159"/>
      <c r="GT27" s="159"/>
      <c r="GU27" s="159"/>
      <c r="GV27" s="159"/>
      <c r="GW27" s="159"/>
      <c r="GX27" s="159"/>
      <c r="GY27" s="159"/>
      <c r="GZ27" s="159"/>
      <c r="HA27" s="159"/>
      <c r="HB27" s="159"/>
      <c r="HC27" s="159"/>
      <c r="HD27" s="159"/>
      <c r="HE27" s="159"/>
      <c r="HF27" s="159"/>
      <c r="HG27" s="159"/>
      <c r="HH27" s="159"/>
      <c r="HI27" s="159"/>
      <c r="HJ27" s="159"/>
      <c r="HK27" s="159"/>
      <c r="HL27" s="159"/>
      <c r="HM27" s="159"/>
      <c r="HN27" s="159"/>
      <c r="HO27" s="159"/>
      <c r="HP27" s="159"/>
      <c r="HQ27" s="159"/>
      <c r="HR27" s="159"/>
      <c r="HS27" s="159"/>
      <c r="HT27" s="159"/>
      <c r="HU27" s="159"/>
      <c r="HV27" s="159"/>
      <c r="HW27" s="159"/>
      <c r="HX27" s="159"/>
      <c r="HY27" s="159"/>
      <c r="HZ27" s="159"/>
      <c r="IA27" s="159"/>
      <c r="IB27" s="159"/>
      <c r="IC27" s="159"/>
      <c r="ID27" s="159"/>
      <c r="IE27" s="159"/>
      <c r="IF27" s="159"/>
      <c r="IG27" s="160"/>
      <c r="IH27" s="159"/>
      <c r="II27" s="159"/>
      <c r="IJ27" s="182"/>
      <c r="IK27" s="173"/>
      <c r="IL27" s="173"/>
      <c r="IM27" s="185"/>
      <c r="IN27" s="152">
        <f>F27*10%</f>
        <v>0</v>
      </c>
      <c r="IO27" s="152">
        <f>F27+IN27</f>
        <v>0</v>
      </c>
    </row>
    <row r="28" spans="1:271" ht="52.5" hidden="1" customHeight="1" x14ac:dyDescent="0.3">
      <c r="A28" s="153"/>
      <c r="B28" s="167"/>
      <c r="C28" s="167"/>
      <c r="D28" s="168"/>
      <c r="E28" s="156">
        <f t="shared" si="59"/>
        <v>0</v>
      </c>
      <c r="F28" s="169"/>
      <c r="G28" s="141">
        <f>COUNTA(I28:IG28)</f>
        <v>0</v>
      </c>
      <c r="H28" s="142">
        <f>SUM(I28:IG28)</f>
        <v>0</v>
      </c>
      <c r="I28" s="158"/>
      <c r="J28" s="159"/>
      <c r="K28" s="160"/>
      <c r="L28" s="161"/>
      <c r="M28" s="159"/>
      <c r="N28" s="162"/>
      <c r="O28" s="158"/>
      <c r="P28" s="159"/>
      <c r="Q28" s="160"/>
      <c r="R28" s="161"/>
      <c r="S28" s="159"/>
      <c r="T28" s="159"/>
      <c r="U28" s="162"/>
      <c r="V28" s="158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60"/>
      <c r="AQ28" s="161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62"/>
      <c r="BJ28" s="158"/>
      <c r="BK28" s="159"/>
      <c r="BL28" s="159"/>
      <c r="BM28" s="159"/>
      <c r="BN28" s="159"/>
      <c r="BO28" s="159"/>
      <c r="BP28" s="159"/>
      <c r="BQ28" s="159"/>
      <c r="BR28" s="160"/>
      <c r="BS28" s="159"/>
      <c r="BT28" s="161"/>
      <c r="BU28" s="161"/>
      <c r="BV28" s="161"/>
      <c r="BW28" s="161"/>
      <c r="BX28" s="161"/>
      <c r="BY28" s="161"/>
      <c r="BZ28" s="161"/>
      <c r="CA28" s="161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59"/>
      <c r="CW28" s="159"/>
      <c r="CX28" s="162"/>
      <c r="CY28" s="158"/>
      <c r="CZ28" s="159"/>
      <c r="DA28" s="159"/>
      <c r="DB28" s="180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80"/>
      <c r="EE28" s="180"/>
      <c r="EF28" s="180"/>
      <c r="EG28" s="180"/>
      <c r="EH28" s="180"/>
      <c r="EI28" s="180"/>
      <c r="EJ28" s="180"/>
      <c r="EK28" s="180"/>
      <c r="EL28" s="180"/>
      <c r="EM28" s="180"/>
      <c r="EN28" s="180"/>
      <c r="EO28" s="180"/>
      <c r="EP28" s="180"/>
      <c r="EQ28" s="181"/>
      <c r="ER28" s="161"/>
      <c r="ES28" s="159"/>
      <c r="ET28" s="159"/>
      <c r="EU28" s="159"/>
      <c r="EV28" s="159"/>
      <c r="EW28" s="159"/>
      <c r="EX28" s="159"/>
      <c r="EY28" s="159"/>
      <c r="EZ28" s="159"/>
      <c r="FA28" s="159"/>
      <c r="FB28" s="159"/>
      <c r="FC28" s="159"/>
      <c r="FD28" s="159"/>
      <c r="FE28" s="159"/>
      <c r="FF28" s="159"/>
      <c r="FG28" s="159"/>
      <c r="FH28" s="159"/>
      <c r="FI28" s="159"/>
      <c r="FJ28" s="159"/>
      <c r="FK28" s="180"/>
      <c r="FL28" s="180"/>
      <c r="FM28" s="180"/>
      <c r="FN28" s="159"/>
      <c r="FO28" s="159"/>
      <c r="FP28" s="159"/>
      <c r="FQ28" s="159"/>
      <c r="FR28" s="159"/>
      <c r="FS28" s="159"/>
      <c r="FT28" s="159"/>
      <c r="FU28" s="159"/>
      <c r="FV28" s="159"/>
      <c r="FW28" s="159"/>
      <c r="FX28" s="159"/>
      <c r="FY28" s="159"/>
      <c r="FZ28" s="159"/>
      <c r="GA28" s="159"/>
      <c r="GB28" s="159"/>
      <c r="GC28" s="159"/>
      <c r="GD28" s="159"/>
      <c r="GE28" s="159"/>
      <c r="GF28" s="159"/>
      <c r="GG28" s="159"/>
      <c r="GH28" s="159"/>
      <c r="GI28" s="159"/>
      <c r="GJ28" s="159"/>
      <c r="GK28" s="162"/>
      <c r="GL28" s="158"/>
      <c r="GM28" s="159"/>
      <c r="GN28" s="159"/>
      <c r="GO28" s="159"/>
      <c r="GP28" s="159"/>
      <c r="GQ28" s="159"/>
      <c r="GR28" s="159"/>
      <c r="GS28" s="159"/>
      <c r="GT28" s="159"/>
      <c r="GU28" s="159"/>
      <c r="GV28" s="159"/>
      <c r="GW28" s="159"/>
      <c r="GX28" s="159"/>
      <c r="GY28" s="159"/>
      <c r="GZ28" s="159"/>
      <c r="HA28" s="159"/>
      <c r="HB28" s="159"/>
      <c r="HC28" s="159"/>
      <c r="HD28" s="159"/>
      <c r="HE28" s="159"/>
      <c r="HF28" s="159"/>
      <c r="HG28" s="159"/>
      <c r="HH28" s="159"/>
      <c r="HI28" s="159"/>
      <c r="HJ28" s="159"/>
      <c r="HK28" s="159"/>
      <c r="HL28" s="159"/>
      <c r="HM28" s="159"/>
      <c r="HN28" s="159"/>
      <c r="HO28" s="159"/>
      <c r="HP28" s="159"/>
      <c r="HQ28" s="159"/>
      <c r="HR28" s="159"/>
      <c r="HS28" s="159"/>
      <c r="HT28" s="159"/>
      <c r="HU28" s="159"/>
      <c r="HV28" s="159"/>
      <c r="HW28" s="159"/>
      <c r="HX28" s="159"/>
      <c r="HY28" s="159"/>
      <c r="HZ28" s="159"/>
      <c r="IA28" s="159"/>
      <c r="IB28" s="159"/>
      <c r="IC28" s="159"/>
      <c r="ID28" s="159"/>
      <c r="IE28" s="159"/>
      <c r="IF28" s="159"/>
      <c r="IG28" s="160"/>
      <c r="IH28" s="159"/>
      <c r="II28" s="159"/>
      <c r="IJ28" s="172"/>
      <c r="IK28" s="156"/>
      <c r="IL28" s="156"/>
      <c r="IM28" s="185"/>
      <c r="IN28" s="152">
        <f>F28*10%</f>
        <v>0</v>
      </c>
      <c r="IO28" s="152">
        <f>F28+IN28</f>
        <v>0</v>
      </c>
    </row>
    <row r="29" spans="1:271" ht="52.5" hidden="1" customHeight="1" thickBot="1" x14ac:dyDescent="0.35">
      <c r="A29" s="153"/>
      <c r="B29" s="189"/>
      <c r="C29" s="189"/>
      <c r="D29" s="190"/>
      <c r="E29" s="156">
        <f t="shared" si="59"/>
        <v>0</v>
      </c>
      <c r="F29" s="169"/>
      <c r="G29" s="141">
        <f>COUNTA(I29:IG29)</f>
        <v>0</v>
      </c>
      <c r="H29" s="142">
        <f>SUM(I29:IG29)</f>
        <v>0</v>
      </c>
      <c r="I29" s="158"/>
      <c r="J29" s="159"/>
      <c r="K29" s="160"/>
      <c r="L29" s="161"/>
      <c r="M29" s="159"/>
      <c r="N29" s="162"/>
      <c r="O29" s="158"/>
      <c r="P29" s="159"/>
      <c r="Q29" s="160"/>
      <c r="R29" s="161"/>
      <c r="S29" s="159"/>
      <c r="T29" s="159"/>
      <c r="U29" s="162"/>
      <c r="V29" s="158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60"/>
      <c r="AQ29" s="161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62"/>
      <c r="BJ29" s="158"/>
      <c r="BK29" s="159"/>
      <c r="BL29" s="159"/>
      <c r="BM29" s="159"/>
      <c r="BN29" s="159"/>
      <c r="BO29" s="159"/>
      <c r="BP29" s="159"/>
      <c r="BQ29" s="159"/>
      <c r="BR29" s="160"/>
      <c r="BS29" s="159"/>
      <c r="BT29" s="161"/>
      <c r="BU29" s="161"/>
      <c r="BV29" s="161"/>
      <c r="BW29" s="161"/>
      <c r="BX29" s="161"/>
      <c r="BY29" s="161"/>
      <c r="BZ29" s="161"/>
      <c r="CA29" s="161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62"/>
      <c r="CY29" s="158"/>
      <c r="CZ29" s="159"/>
      <c r="DA29" s="159"/>
      <c r="DB29" s="180"/>
      <c r="DC29" s="180"/>
      <c r="DD29" s="180"/>
      <c r="DE29" s="180"/>
      <c r="DF29" s="180"/>
      <c r="DG29" s="180"/>
      <c r="DH29" s="180"/>
      <c r="DI29" s="180"/>
      <c r="DJ29" s="180"/>
      <c r="DK29" s="180"/>
      <c r="DL29" s="180"/>
      <c r="DM29" s="180"/>
      <c r="DN29" s="180"/>
      <c r="DO29" s="180"/>
      <c r="DP29" s="180"/>
      <c r="DQ29" s="180"/>
      <c r="DR29" s="180"/>
      <c r="DS29" s="180"/>
      <c r="DT29" s="180"/>
      <c r="DU29" s="180"/>
      <c r="DV29" s="180"/>
      <c r="DW29" s="180"/>
      <c r="DX29" s="180"/>
      <c r="DY29" s="180"/>
      <c r="DZ29" s="180"/>
      <c r="EA29" s="180"/>
      <c r="EB29" s="180"/>
      <c r="EC29" s="180"/>
      <c r="ED29" s="180"/>
      <c r="EE29" s="180"/>
      <c r="EF29" s="180"/>
      <c r="EG29" s="180"/>
      <c r="EH29" s="180"/>
      <c r="EI29" s="180"/>
      <c r="EJ29" s="180"/>
      <c r="EK29" s="180"/>
      <c r="EL29" s="180"/>
      <c r="EM29" s="180"/>
      <c r="EN29" s="180"/>
      <c r="EO29" s="180"/>
      <c r="EP29" s="180"/>
      <c r="EQ29" s="181"/>
      <c r="ER29" s="161"/>
      <c r="ES29" s="159"/>
      <c r="ET29" s="159"/>
      <c r="EU29" s="159"/>
      <c r="EV29" s="159"/>
      <c r="EW29" s="159"/>
      <c r="EX29" s="159"/>
      <c r="EY29" s="159"/>
      <c r="EZ29" s="159"/>
      <c r="FA29" s="159"/>
      <c r="FB29" s="159"/>
      <c r="FC29" s="159"/>
      <c r="FD29" s="159"/>
      <c r="FE29" s="159"/>
      <c r="FF29" s="159"/>
      <c r="FG29" s="159"/>
      <c r="FH29" s="159"/>
      <c r="FI29" s="159"/>
      <c r="FJ29" s="159"/>
      <c r="FK29" s="180"/>
      <c r="FL29" s="180"/>
      <c r="FM29" s="180"/>
      <c r="FN29" s="159"/>
      <c r="FO29" s="159"/>
      <c r="FP29" s="159"/>
      <c r="FQ29" s="159"/>
      <c r="FR29" s="159"/>
      <c r="FS29" s="159"/>
      <c r="FT29" s="159"/>
      <c r="FU29" s="159"/>
      <c r="FV29" s="159"/>
      <c r="FW29" s="159"/>
      <c r="FX29" s="159"/>
      <c r="FY29" s="159"/>
      <c r="FZ29" s="159"/>
      <c r="GA29" s="159"/>
      <c r="GB29" s="159"/>
      <c r="GC29" s="159"/>
      <c r="GD29" s="159"/>
      <c r="GE29" s="159"/>
      <c r="GF29" s="159"/>
      <c r="GG29" s="159"/>
      <c r="GH29" s="159"/>
      <c r="GI29" s="159"/>
      <c r="GJ29" s="159"/>
      <c r="GK29" s="162"/>
      <c r="GL29" s="158"/>
      <c r="GM29" s="159"/>
      <c r="GN29" s="159"/>
      <c r="GO29" s="159"/>
      <c r="GP29" s="159"/>
      <c r="GQ29" s="159"/>
      <c r="GR29" s="159"/>
      <c r="GS29" s="159"/>
      <c r="GT29" s="159"/>
      <c r="GU29" s="159"/>
      <c r="GV29" s="159"/>
      <c r="GW29" s="159"/>
      <c r="GX29" s="159"/>
      <c r="GY29" s="159"/>
      <c r="GZ29" s="159"/>
      <c r="HA29" s="159"/>
      <c r="HB29" s="159"/>
      <c r="HC29" s="159"/>
      <c r="HD29" s="159"/>
      <c r="HE29" s="159"/>
      <c r="HF29" s="159"/>
      <c r="HG29" s="159"/>
      <c r="HH29" s="159"/>
      <c r="HI29" s="159"/>
      <c r="HJ29" s="159"/>
      <c r="HK29" s="159"/>
      <c r="HL29" s="159"/>
      <c r="HM29" s="159"/>
      <c r="HN29" s="159"/>
      <c r="HO29" s="159"/>
      <c r="HP29" s="159"/>
      <c r="HQ29" s="159"/>
      <c r="HR29" s="159"/>
      <c r="HS29" s="159"/>
      <c r="HT29" s="159"/>
      <c r="HU29" s="159"/>
      <c r="HV29" s="159"/>
      <c r="HW29" s="159"/>
      <c r="HX29" s="159"/>
      <c r="HY29" s="159"/>
      <c r="HZ29" s="159"/>
      <c r="IA29" s="159"/>
      <c r="IB29" s="159"/>
      <c r="IC29" s="159"/>
      <c r="ID29" s="159"/>
      <c r="IE29" s="159"/>
      <c r="IF29" s="159"/>
      <c r="IG29" s="160"/>
      <c r="IH29" s="159"/>
      <c r="II29" s="159"/>
      <c r="IJ29" s="182"/>
      <c r="IK29" s="173"/>
      <c r="IL29" s="173"/>
      <c r="IM29" s="185"/>
      <c r="IN29" s="152">
        <f>F29*10%</f>
        <v>0</v>
      </c>
      <c r="IO29" s="152">
        <f>F29+IN29</f>
        <v>0</v>
      </c>
    </row>
    <row r="30" spans="1:271" ht="52.5" hidden="1" customHeight="1" thickBot="1" x14ac:dyDescent="0.35">
      <c r="A30" s="153"/>
      <c r="B30" s="189"/>
      <c r="C30" s="189"/>
      <c r="D30" s="190"/>
      <c r="E30" s="156">
        <f t="shared" si="59"/>
        <v>0</v>
      </c>
      <c r="F30" s="169"/>
      <c r="G30" s="141">
        <f>COUNTA(I30:IG30)</f>
        <v>0</v>
      </c>
      <c r="H30" s="142">
        <f>SUM(I30:IG30)</f>
        <v>0</v>
      </c>
      <c r="I30" s="158"/>
      <c r="J30" s="159"/>
      <c r="K30" s="160"/>
      <c r="L30" s="161"/>
      <c r="M30" s="159"/>
      <c r="N30" s="162"/>
      <c r="O30" s="158"/>
      <c r="P30" s="159"/>
      <c r="Q30" s="160"/>
      <c r="R30" s="161"/>
      <c r="S30" s="159"/>
      <c r="T30" s="159"/>
      <c r="U30" s="162"/>
      <c r="V30" s="158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60"/>
      <c r="AQ30" s="161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62"/>
      <c r="BJ30" s="158"/>
      <c r="BK30" s="159"/>
      <c r="BL30" s="159"/>
      <c r="BM30" s="159"/>
      <c r="BN30" s="159"/>
      <c r="BO30" s="159"/>
      <c r="BP30" s="159"/>
      <c r="BQ30" s="159"/>
      <c r="BR30" s="160"/>
      <c r="BS30" s="159"/>
      <c r="BT30" s="161"/>
      <c r="BU30" s="161"/>
      <c r="BV30" s="161"/>
      <c r="BW30" s="161"/>
      <c r="BX30" s="161"/>
      <c r="BY30" s="161"/>
      <c r="BZ30" s="161"/>
      <c r="CA30" s="161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62"/>
      <c r="CY30" s="158"/>
      <c r="CZ30" s="159"/>
      <c r="DA30" s="159"/>
      <c r="DB30" s="180"/>
      <c r="DC30" s="180"/>
      <c r="DD30" s="180"/>
      <c r="DE30" s="180"/>
      <c r="DF30" s="180"/>
      <c r="DG30" s="180"/>
      <c r="DH30" s="180"/>
      <c r="DI30" s="180"/>
      <c r="DJ30" s="180"/>
      <c r="DK30" s="180"/>
      <c r="DL30" s="180"/>
      <c r="DM30" s="180"/>
      <c r="DN30" s="180"/>
      <c r="DO30" s="180"/>
      <c r="DP30" s="180"/>
      <c r="DQ30" s="180"/>
      <c r="DR30" s="180"/>
      <c r="DS30" s="180"/>
      <c r="DT30" s="180"/>
      <c r="DU30" s="180"/>
      <c r="DV30" s="180"/>
      <c r="DW30" s="180"/>
      <c r="DX30" s="180"/>
      <c r="DY30" s="180"/>
      <c r="DZ30" s="180"/>
      <c r="EA30" s="180"/>
      <c r="EB30" s="180"/>
      <c r="EC30" s="180"/>
      <c r="ED30" s="180"/>
      <c r="EE30" s="180"/>
      <c r="EF30" s="180"/>
      <c r="EG30" s="180"/>
      <c r="EH30" s="180"/>
      <c r="EI30" s="180"/>
      <c r="EJ30" s="180"/>
      <c r="EK30" s="180"/>
      <c r="EL30" s="180"/>
      <c r="EM30" s="180"/>
      <c r="EN30" s="180"/>
      <c r="EO30" s="180"/>
      <c r="EP30" s="180"/>
      <c r="EQ30" s="181"/>
      <c r="ER30" s="161"/>
      <c r="ES30" s="159"/>
      <c r="ET30" s="159"/>
      <c r="EU30" s="159"/>
      <c r="EV30" s="159"/>
      <c r="EW30" s="159"/>
      <c r="EX30" s="159"/>
      <c r="EY30" s="159"/>
      <c r="EZ30" s="159"/>
      <c r="FA30" s="159"/>
      <c r="FB30" s="159"/>
      <c r="FC30" s="159"/>
      <c r="FD30" s="159"/>
      <c r="FE30" s="159"/>
      <c r="FF30" s="159"/>
      <c r="FG30" s="159"/>
      <c r="FH30" s="159"/>
      <c r="FI30" s="159"/>
      <c r="FJ30" s="159"/>
      <c r="FK30" s="180"/>
      <c r="FL30" s="180"/>
      <c r="FM30" s="180"/>
      <c r="FN30" s="159"/>
      <c r="FO30" s="159"/>
      <c r="FP30" s="159"/>
      <c r="FQ30" s="159"/>
      <c r="FR30" s="159"/>
      <c r="FS30" s="159"/>
      <c r="FT30" s="159"/>
      <c r="FU30" s="159"/>
      <c r="FV30" s="159"/>
      <c r="FW30" s="159"/>
      <c r="FX30" s="159"/>
      <c r="FY30" s="159"/>
      <c r="FZ30" s="159"/>
      <c r="GA30" s="159"/>
      <c r="GB30" s="159"/>
      <c r="GC30" s="159"/>
      <c r="GD30" s="159"/>
      <c r="GE30" s="159"/>
      <c r="GF30" s="159"/>
      <c r="GG30" s="159"/>
      <c r="GH30" s="159"/>
      <c r="GI30" s="159"/>
      <c r="GJ30" s="159"/>
      <c r="GK30" s="162"/>
      <c r="GL30" s="158"/>
      <c r="GM30" s="159"/>
      <c r="GN30" s="159"/>
      <c r="GO30" s="159"/>
      <c r="GP30" s="159"/>
      <c r="GQ30" s="159"/>
      <c r="GR30" s="159"/>
      <c r="GS30" s="159"/>
      <c r="GT30" s="159"/>
      <c r="GU30" s="159"/>
      <c r="GV30" s="159"/>
      <c r="GW30" s="159"/>
      <c r="GX30" s="159"/>
      <c r="GY30" s="159"/>
      <c r="GZ30" s="159"/>
      <c r="HA30" s="159"/>
      <c r="HB30" s="159"/>
      <c r="HC30" s="159"/>
      <c r="HD30" s="159"/>
      <c r="HE30" s="159"/>
      <c r="HF30" s="159"/>
      <c r="HG30" s="159"/>
      <c r="HH30" s="159"/>
      <c r="HI30" s="159"/>
      <c r="HJ30" s="159"/>
      <c r="HK30" s="159"/>
      <c r="HL30" s="159"/>
      <c r="HM30" s="159"/>
      <c r="HN30" s="159"/>
      <c r="HO30" s="159"/>
      <c r="HP30" s="159"/>
      <c r="HQ30" s="159"/>
      <c r="HR30" s="159"/>
      <c r="HS30" s="159"/>
      <c r="HT30" s="159"/>
      <c r="HU30" s="159"/>
      <c r="HV30" s="159"/>
      <c r="HW30" s="159"/>
      <c r="HX30" s="159"/>
      <c r="HY30" s="159"/>
      <c r="HZ30" s="159"/>
      <c r="IA30" s="159"/>
      <c r="IB30" s="159"/>
      <c r="IC30" s="159"/>
      <c r="ID30" s="159"/>
      <c r="IE30" s="159"/>
      <c r="IF30" s="159"/>
      <c r="IG30" s="160"/>
      <c r="IH30" s="159"/>
      <c r="II30" s="159"/>
      <c r="IJ30" s="182"/>
      <c r="IK30" s="173"/>
      <c r="IL30" s="173"/>
      <c r="IM30" s="185"/>
      <c r="IN30" s="152">
        <f>F30*10%</f>
        <v>0</v>
      </c>
      <c r="IO30" s="152">
        <f>F30+IN30</f>
        <v>0</v>
      </c>
    </row>
    <row r="31" spans="1:271" ht="52.5" hidden="1" customHeight="1" thickBot="1" x14ac:dyDescent="0.35">
      <c r="A31" s="153"/>
      <c r="B31" s="179"/>
      <c r="C31" s="179"/>
      <c r="D31" s="188"/>
      <c r="E31" s="156">
        <f t="shared" si="59"/>
        <v>0</v>
      </c>
      <c r="F31" s="169"/>
      <c r="G31" s="141">
        <f>COUNTA(I31:IG31)</f>
        <v>0</v>
      </c>
      <c r="H31" s="142">
        <f>SUM(I31:IG31)</f>
        <v>0</v>
      </c>
      <c r="I31" s="158"/>
      <c r="J31" s="159"/>
      <c r="K31" s="160"/>
      <c r="L31" s="161"/>
      <c r="M31" s="159"/>
      <c r="N31" s="162"/>
      <c r="O31" s="158"/>
      <c r="P31" s="159"/>
      <c r="Q31" s="160"/>
      <c r="R31" s="161"/>
      <c r="S31" s="159"/>
      <c r="T31" s="159"/>
      <c r="U31" s="162"/>
      <c r="V31" s="158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60"/>
      <c r="AQ31" s="161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62"/>
      <c r="BJ31" s="158"/>
      <c r="BK31" s="159"/>
      <c r="BL31" s="159"/>
      <c r="BM31" s="159"/>
      <c r="BN31" s="159"/>
      <c r="BO31" s="159"/>
      <c r="BP31" s="159"/>
      <c r="BQ31" s="159"/>
      <c r="BR31" s="160"/>
      <c r="BS31" s="159"/>
      <c r="BT31" s="161"/>
      <c r="BU31" s="161"/>
      <c r="BV31" s="161"/>
      <c r="BW31" s="161"/>
      <c r="BX31" s="161"/>
      <c r="BY31" s="161"/>
      <c r="BZ31" s="161"/>
      <c r="CA31" s="161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62"/>
      <c r="CY31" s="158"/>
      <c r="CZ31" s="159"/>
      <c r="DA31" s="159"/>
      <c r="DB31" s="180"/>
      <c r="DC31" s="180"/>
      <c r="DD31" s="180"/>
      <c r="DE31" s="180"/>
      <c r="DF31" s="180"/>
      <c r="DG31" s="180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1"/>
      <c r="ER31" s="161"/>
      <c r="ES31" s="159"/>
      <c r="ET31" s="159"/>
      <c r="EU31" s="159"/>
      <c r="EV31" s="159"/>
      <c r="EW31" s="159"/>
      <c r="EX31" s="159"/>
      <c r="EY31" s="159"/>
      <c r="EZ31" s="159"/>
      <c r="FA31" s="159"/>
      <c r="FB31" s="159"/>
      <c r="FC31" s="159"/>
      <c r="FD31" s="159"/>
      <c r="FE31" s="159"/>
      <c r="FF31" s="159"/>
      <c r="FG31" s="159"/>
      <c r="FH31" s="159"/>
      <c r="FI31" s="159"/>
      <c r="FJ31" s="159"/>
      <c r="FK31" s="180"/>
      <c r="FL31" s="180"/>
      <c r="FM31" s="180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59"/>
      <c r="GC31" s="159"/>
      <c r="GD31" s="159"/>
      <c r="GE31" s="159"/>
      <c r="GF31" s="159"/>
      <c r="GG31" s="159"/>
      <c r="GH31" s="159"/>
      <c r="GI31" s="159"/>
      <c r="GJ31" s="159"/>
      <c r="GK31" s="162"/>
      <c r="GL31" s="158"/>
      <c r="GM31" s="159"/>
      <c r="GN31" s="159"/>
      <c r="GO31" s="159"/>
      <c r="GP31" s="159"/>
      <c r="GQ31" s="159"/>
      <c r="GR31" s="159"/>
      <c r="GS31" s="159"/>
      <c r="GT31" s="159"/>
      <c r="GU31" s="159"/>
      <c r="GV31" s="159"/>
      <c r="GW31" s="159"/>
      <c r="GX31" s="159"/>
      <c r="GY31" s="159"/>
      <c r="GZ31" s="159"/>
      <c r="HA31" s="159"/>
      <c r="HB31" s="159"/>
      <c r="HC31" s="159"/>
      <c r="HD31" s="159"/>
      <c r="HE31" s="159"/>
      <c r="HF31" s="159"/>
      <c r="HG31" s="159"/>
      <c r="HH31" s="159"/>
      <c r="HI31" s="159"/>
      <c r="HJ31" s="159"/>
      <c r="HK31" s="159"/>
      <c r="HL31" s="159"/>
      <c r="HM31" s="159"/>
      <c r="HN31" s="159"/>
      <c r="HO31" s="159"/>
      <c r="HP31" s="159"/>
      <c r="HQ31" s="159"/>
      <c r="HR31" s="159"/>
      <c r="HS31" s="159"/>
      <c r="HT31" s="159"/>
      <c r="HU31" s="159"/>
      <c r="HV31" s="159"/>
      <c r="HW31" s="159"/>
      <c r="HX31" s="159"/>
      <c r="HY31" s="159"/>
      <c r="HZ31" s="159"/>
      <c r="IA31" s="159"/>
      <c r="IB31" s="159"/>
      <c r="IC31" s="159"/>
      <c r="ID31" s="159"/>
      <c r="IE31" s="159"/>
      <c r="IF31" s="159"/>
      <c r="IG31" s="160"/>
      <c r="IH31" s="159"/>
      <c r="II31" s="159"/>
      <c r="IJ31" s="182"/>
      <c r="IK31" s="173"/>
      <c r="IL31" s="173"/>
      <c r="IM31" s="185"/>
      <c r="IN31" s="152">
        <f>F31*10%</f>
        <v>0</v>
      </c>
      <c r="IO31" s="152">
        <f>F31+IN31</f>
        <v>0</v>
      </c>
    </row>
    <row r="32" spans="1:271" ht="52.5" hidden="1" customHeight="1" thickBot="1" x14ac:dyDescent="0.35">
      <c r="A32" s="153"/>
      <c r="B32" s="167"/>
      <c r="C32" s="167"/>
      <c r="D32" s="168"/>
      <c r="E32" s="156">
        <f t="shared" si="59"/>
        <v>0</v>
      </c>
      <c r="F32" s="169"/>
      <c r="G32" s="141">
        <f>COUNTA(I32:IG32)</f>
        <v>0</v>
      </c>
      <c r="H32" s="142">
        <f>SUM(I32:IG32)</f>
        <v>0</v>
      </c>
      <c r="I32" s="158"/>
      <c r="J32" s="159"/>
      <c r="K32" s="160"/>
      <c r="L32" s="161"/>
      <c r="M32" s="159"/>
      <c r="N32" s="162"/>
      <c r="O32" s="158"/>
      <c r="P32" s="159"/>
      <c r="Q32" s="160"/>
      <c r="R32" s="161"/>
      <c r="S32" s="159"/>
      <c r="T32" s="159"/>
      <c r="U32" s="162"/>
      <c r="V32" s="158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61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62"/>
      <c r="BJ32" s="158"/>
      <c r="BK32" s="159"/>
      <c r="BL32" s="159"/>
      <c r="BM32" s="159"/>
      <c r="BN32" s="159"/>
      <c r="BO32" s="159"/>
      <c r="BP32" s="159"/>
      <c r="BQ32" s="159"/>
      <c r="BR32" s="160"/>
      <c r="BS32" s="159"/>
      <c r="BT32" s="161"/>
      <c r="BU32" s="161"/>
      <c r="BV32" s="161"/>
      <c r="BW32" s="161"/>
      <c r="BX32" s="161"/>
      <c r="BY32" s="161"/>
      <c r="BZ32" s="161"/>
      <c r="CA32" s="161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62"/>
      <c r="CY32" s="158"/>
      <c r="CZ32" s="159"/>
      <c r="DA32" s="159"/>
      <c r="DB32" s="180"/>
      <c r="DC32" s="180"/>
      <c r="DD32" s="180"/>
      <c r="DE32" s="180"/>
      <c r="DF32" s="180"/>
      <c r="DG32" s="180"/>
      <c r="DH32" s="180"/>
      <c r="DI32" s="180"/>
      <c r="DJ32" s="180"/>
      <c r="DK32" s="180"/>
      <c r="DL32" s="180"/>
      <c r="DM32" s="180"/>
      <c r="DN32" s="180"/>
      <c r="DO32" s="180"/>
      <c r="DP32" s="180"/>
      <c r="DQ32" s="180"/>
      <c r="DR32" s="180"/>
      <c r="DS32" s="180"/>
      <c r="DT32" s="180"/>
      <c r="DU32" s="180"/>
      <c r="DV32" s="180"/>
      <c r="DW32" s="180"/>
      <c r="DX32" s="180"/>
      <c r="DY32" s="180"/>
      <c r="DZ32" s="180"/>
      <c r="EA32" s="180"/>
      <c r="EB32" s="180"/>
      <c r="EC32" s="180"/>
      <c r="ED32" s="180"/>
      <c r="EE32" s="180"/>
      <c r="EF32" s="180"/>
      <c r="EG32" s="180"/>
      <c r="EH32" s="180"/>
      <c r="EI32" s="180"/>
      <c r="EJ32" s="180"/>
      <c r="EK32" s="180"/>
      <c r="EL32" s="180"/>
      <c r="EM32" s="180"/>
      <c r="EN32" s="180"/>
      <c r="EO32" s="180"/>
      <c r="EP32" s="180"/>
      <c r="EQ32" s="181"/>
      <c r="ER32" s="161"/>
      <c r="ES32" s="159"/>
      <c r="ET32" s="159"/>
      <c r="EU32" s="159"/>
      <c r="EV32" s="159"/>
      <c r="EW32" s="159"/>
      <c r="EX32" s="159"/>
      <c r="EY32" s="159"/>
      <c r="EZ32" s="159"/>
      <c r="FA32" s="159"/>
      <c r="FB32" s="159"/>
      <c r="FC32" s="159"/>
      <c r="FD32" s="159"/>
      <c r="FE32" s="159"/>
      <c r="FF32" s="159"/>
      <c r="FG32" s="159"/>
      <c r="FH32" s="159"/>
      <c r="FI32" s="159"/>
      <c r="FJ32" s="159"/>
      <c r="FK32" s="180"/>
      <c r="FL32" s="180"/>
      <c r="FM32" s="180"/>
      <c r="FN32" s="159"/>
      <c r="FO32" s="159"/>
      <c r="FP32" s="159"/>
      <c r="FQ32" s="159"/>
      <c r="FR32" s="159"/>
      <c r="FS32" s="159"/>
      <c r="FT32" s="159"/>
      <c r="FU32" s="159"/>
      <c r="FV32" s="159"/>
      <c r="FW32" s="159"/>
      <c r="FX32" s="159"/>
      <c r="FY32" s="159"/>
      <c r="FZ32" s="159"/>
      <c r="GA32" s="159"/>
      <c r="GB32" s="159"/>
      <c r="GC32" s="159"/>
      <c r="GD32" s="159"/>
      <c r="GE32" s="159"/>
      <c r="GF32" s="159"/>
      <c r="GG32" s="159"/>
      <c r="GH32" s="159"/>
      <c r="GI32" s="159"/>
      <c r="GJ32" s="159"/>
      <c r="GK32" s="162"/>
      <c r="GL32" s="158"/>
      <c r="GM32" s="159"/>
      <c r="GN32" s="159"/>
      <c r="GO32" s="159"/>
      <c r="GP32" s="159"/>
      <c r="GQ32" s="159"/>
      <c r="GR32" s="159"/>
      <c r="GS32" s="159"/>
      <c r="GT32" s="159"/>
      <c r="GU32" s="159"/>
      <c r="GV32" s="159"/>
      <c r="GW32" s="159"/>
      <c r="GX32" s="159"/>
      <c r="GY32" s="159"/>
      <c r="GZ32" s="159"/>
      <c r="HA32" s="159"/>
      <c r="HB32" s="159"/>
      <c r="HC32" s="159"/>
      <c r="HD32" s="159"/>
      <c r="HE32" s="159"/>
      <c r="HF32" s="159"/>
      <c r="HG32" s="159"/>
      <c r="HH32" s="159"/>
      <c r="HI32" s="159"/>
      <c r="HJ32" s="159"/>
      <c r="HK32" s="159"/>
      <c r="HL32" s="159"/>
      <c r="HM32" s="159"/>
      <c r="HN32" s="159"/>
      <c r="HO32" s="159"/>
      <c r="HP32" s="159"/>
      <c r="HQ32" s="159"/>
      <c r="HR32" s="159"/>
      <c r="HS32" s="159"/>
      <c r="HT32" s="159"/>
      <c r="HU32" s="159"/>
      <c r="HV32" s="159"/>
      <c r="HW32" s="159"/>
      <c r="HX32" s="159"/>
      <c r="HY32" s="159"/>
      <c r="HZ32" s="159"/>
      <c r="IA32" s="159"/>
      <c r="IB32" s="159"/>
      <c r="IC32" s="159"/>
      <c r="ID32" s="159"/>
      <c r="IE32" s="159"/>
      <c r="IF32" s="159"/>
      <c r="IG32" s="160"/>
      <c r="IH32" s="159"/>
      <c r="II32" s="159"/>
      <c r="IJ32" s="182"/>
      <c r="IK32" s="173"/>
      <c r="IL32" s="173"/>
      <c r="IM32" s="185"/>
      <c r="IN32" s="152">
        <f>F32*10%</f>
        <v>0</v>
      </c>
      <c r="IO32" s="152">
        <f>F32+IN32</f>
        <v>0</v>
      </c>
    </row>
    <row r="33" spans="1:249" ht="52.5" hidden="1" customHeight="1" thickBot="1" x14ac:dyDescent="0.35">
      <c r="A33" s="153"/>
      <c r="B33" s="167"/>
      <c r="C33" s="167"/>
      <c r="D33" s="168"/>
      <c r="E33" s="156">
        <f t="shared" si="59"/>
        <v>0</v>
      </c>
      <c r="F33" s="169"/>
      <c r="G33" s="141">
        <f>COUNTA(I33:IG33)</f>
        <v>0</v>
      </c>
      <c r="H33" s="142">
        <f>SUM(I33:IG33)</f>
        <v>0</v>
      </c>
      <c r="I33" s="158"/>
      <c r="J33" s="159"/>
      <c r="K33" s="160"/>
      <c r="L33" s="161"/>
      <c r="M33" s="159"/>
      <c r="N33" s="162"/>
      <c r="O33" s="158"/>
      <c r="P33" s="159"/>
      <c r="Q33" s="160"/>
      <c r="R33" s="161"/>
      <c r="S33" s="159"/>
      <c r="T33" s="159"/>
      <c r="U33" s="162"/>
      <c r="V33" s="158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60"/>
      <c r="AQ33" s="161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62"/>
      <c r="BJ33" s="158"/>
      <c r="BK33" s="159"/>
      <c r="BL33" s="159"/>
      <c r="BM33" s="159"/>
      <c r="BN33" s="159"/>
      <c r="BO33" s="159"/>
      <c r="BP33" s="159"/>
      <c r="BQ33" s="159"/>
      <c r="BR33" s="160"/>
      <c r="BS33" s="159"/>
      <c r="BT33" s="161"/>
      <c r="BU33" s="161"/>
      <c r="BV33" s="161"/>
      <c r="BW33" s="161"/>
      <c r="BX33" s="161"/>
      <c r="BY33" s="161"/>
      <c r="BZ33" s="161"/>
      <c r="CA33" s="161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62"/>
      <c r="CY33" s="158"/>
      <c r="CZ33" s="159"/>
      <c r="DA33" s="159"/>
      <c r="DB33" s="180"/>
      <c r="DC33" s="180"/>
      <c r="DD33" s="180"/>
      <c r="DE33" s="180"/>
      <c r="DF33" s="180"/>
      <c r="DG33" s="180"/>
      <c r="DH33" s="180"/>
      <c r="DI33" s="180"/>
      <c r="DJ33" s="180"/>
      <c r="DK33" s="180"/>
      <c r="DL33" s="180"/>
      <c r="DM33" s="180"/>
      <c r="DN33" s="180"/>
      <c r="DO33" s="180"/>
      <c r="DP33" s="180"/>
      <c r="DQ33" s="180"/>
      <c r="DR33" s="180"/>
      <c r="DS33" s="180"/>
      <c r="DT33" s="180"/>
      <c r="DU33" s="180"/>
      <c r="DV33" s="180"/>
      <c r="DW33" s="180"/>
      <c r="DX33" s="180"/>
      <c r="DY33" s="180"/>
      <c r="DZ33" s="180"/>
      <c r="EA33" s="180"/>
      <c r="EB33" s="180"/>
      <c r="EC33" s="180"/>
      <c r="ED33" s="180"/>
      <c r="EE33" s="180"/>
      <c r="EF33" s="180"/>
      <c r="EG33" s="180"/>
      <c r="EH33" s="180"/>
      <c r="EI33" s="180"/>
      <c r="EJ33" s="180"/>
      <c r="EK33" s="180"/>
      <c r="EL33" s="180"/>
      <c r="EM33" s="180"/>
      <c r="EN33" s="180"/>
      <c r="EO33" s="180"/>
      <c r="EP33" s="180"/>
      <c r="EQ33" s="181"/>
      <c r="ER33" s="161"/>
      <c r="ES33" s="159"/>
      <c r="ET33" s="159"/>
      <c r="EU33" s="159"/>
      <c r="EV33" s="159"/>
      <c r="EW33" s="159"/>
      <c r="EX33" s="159"/>
      <c r="EY33" s="159"/>
      <c r="EZ33" s="159"/>
      <c r="FA33" s="159"/>
      <c r="FB33" s="159"/>
      <c r="FC33" s="159"/>
      <c r="FD33" s="159"/>
      <c r="FE33" s="159"/>
      <c r="FF33" s="159"/>
      <c r="FG33" s="159"/>
      <c r="FH33" s="159"/>
      <c r="FI33" s="159"/>
      <c r="FJ33" s="159"/>
      <c r="FK33" s="180"/>
      <c r="FL33" s="180"/>
      <c r="FM33" s="180"/>
      <c r="FN33" s="159"/>
      <c r="FO33" s="159"/>
      <c r="FP33" s="159"/>
      <c r="FQ33" s="159"/>
      <c r="FR33" s="159"/>
      <c r="FS33" s="159"/>
      <c r="FT33" s="159"/>
      <c r="FU33" s="159"/>
      <c r="FV33" s="159"/>
      <c r="FW33" s="159"/>
      <c r="FX33" s="159"/>
      <c r="FY33" s="159"/>
      <c r="FZ33" s="159"/>
      <c r="GA33" s="159"/>
      <c r="GB33" s="159"/>
      <c r="GC33" s="159"/>
      <c r="GD33" s="159"/>
      <c r="GE33" s="159"/>
      <c r="GF33" s="159"/>
      <c r="GG33" s="159"/>
      <c r="GH33" s="159"/>
      <c r="GI33" s="159"/>
      <c r="GJ33" s="159"/>
      <c r="GK33" s="162"/>
      <c r="GL33" s="158"/>
      <c r="GM33" s="159"/>
      <c r="GN33" s="159"/>
      <c r="GO33" s="159"/>
      <c r="GP33" s="159"/>
      <c r="GQ33" s="159"/>
      <c r="GR33" s="159"/>
      <c r="GS33" s="159"/>
      <c r="GT33" s="159"/>
      <c r="GU33" s="159"/>
      <c r="GV33" s="159"/>
      <c r="GW33" s="159"/>
      <c r="GX33" s="159"/>
      <c r="GY33" s="159"/>
      <c r="GZ33" s="159"/>
      <c r="HA33" s="159"/>
      <c r="HB33" s="159"/>
      <c r="HC33" s="159"/>
      <c r="HD33" s="159"/>
      <c r="HE33" s="159"/>
      <c r="HF33" s="159"/>
      <c r="HG33" s="159"/>
      <c r="HH33" s="159"/>
      <c r="HI33" s="159"/>
      <c r="HJ33" s="159"/>
      <c r="HK33" s="159"/>
      <c r="HL33" s="159"/>
      <c r="HM33" s="159"/>
      <c r="HN33" s="159"/>
      <c r="HO33" s="159"/>
      <c r="HP33" s="159"/>
      <c r="HQ33" s="159"/>
      <c r="HR33" s="159"/>
      <c r="HS33" s="159"/>
      <c r="HT33" s="159"/>
      <c r="HU33" s="159"/>
      <c r="HV33" s="159"/>
      <c r="HW33" s="159"/>
      <c r="HX33" s="159"/>
      <c r="HY33" s="159"/>
      <c r="HZ33" s="159"/>
      <c r="IA33" s="159"/>
      <c r="IB33" s="159"/>
      <c r="IC33" s="159"/>
      <c r="ID33" s="159"/>
      <c r="IE33" s="159"/>
      <c r="IF33" s="159"/>
      <c r="IG33" s="160"/>
      <c r="IH33" s="159"/>
      <c r="II33" s="159"/>
      <c r="IJ33" s="182"/>
      <c r="IK33" s="173"/>
      <c r="IL33" s="173"/>
      <c r="IM33" s="185"/>
      <c r="IN33" s="152">
        <f>F33*10%</f>
        <v>0</v>
      </c>
      <c r="IO33" s="152">
        <f>F33+IN33</f>
        <v>0</v>
      </c>
    </row>
    <row r="34" spans="1:249" ht="52.5" hidden="1" customHeight="1" thickBot="1" x14ac:dyDescent="0.35">
      <c r="A34" s="153"/>
      <c r="B34" s="167"/>
      <c r="C34" s="167"/>
      <c r="D34" s="168"/>
      <c r="E34" s="156">
        <f t="shared" si="59"/>
        <v>0</v>
      </c>
      <c r="F34" s="169"/>
      <c r="G34" s="141">
        <f>COUNTA(I34:IG34)</f>
        <v>0</v>
      </c>
      <c r="H34" s="142">
        <f>SUM(I34:IG34)</f>
        <v>0</v>
      </c>
      <c r="I34" s="158"/>
      <c r="J34" s="159"/>
      <c r="K34" s="160"/>
      <c r="L34" s="161"/>
      <c r="M34" s="159"/>
      <c r="N34" s="162"/>
      <c r="O34" s="158"/>
      <c r="P34" s="159"/>
      <c r="Q34" s="160"/>
      <c r="R34" s="161"/>
      <c r="S34" s="159"/>
      <c r="T34" s="159"/>
      <c r="U34" s="162"/>
      <c r="V34" s="158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60"/>
      <c r="AQ34" s="161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62"/>
      <c r="BJ34" s="158"/>
      <c r="BK34" s="159"/>
      <c r="BL34" s="159"/>
      <c r="BM34" s="159"/>
      <c r="BN34" s="159"/>
      <c r="BO34" s="159"/>
      <c r="BP34" s="159"/>
      <c r="BQ34" s="159"/>
      <c r="BR34" s="160"/>
      <c r="BS34" s="159"/>
      <c r="BT34" s="161"/>
      <c r="BU34" s="161"/>
      <c r="BV34" s="161"/>
      <c r="BW34" s="161"/>
      <c r="BX34" s="161"/>
      <c r="BY34" s="161"/>
      <c r="BZ34" s="161"/>
      <c r="CA34" s="161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62"/>
      <c r="CY34" s="158"/>
      <c r="CZ34" s="159"/>
      <c r="DA34" s="159"/>
      <c r="DB34" s="180"/>
      <c r="DC34" s="180"/>
      <c r="DD34" s="180"/>
      <c r="DE34" s="180"/>
      <c r="DF34" s="180"/>
      <c r="DG34" s="180"/>
      <c r="DH34" s="180"/>
      <c r="DI34" s="180"/>
      <c r="DJ34" s="180"/>
      <c r="DK34" s="180"/>
      <c r="DL34" s="180"/>
      <c r="DM34" s="180"/>
      <c r="DN34" s="180"/>
      <c r="DO34" s="180"/>
      <c r="DP34" s="180"/>
      <c r="DQ34" s="180"/>
      <c r="DR34" s="180"/>
      <c r="DS34" s="180"/>
      <c r="DT34" s="180"/>
      <c r="DU34" s="180"/>
      <c r="DV34" s="180"/>
      <c r="DW34" s="180"/>
      <c r="DX34" s="180"/>
      <c r="DY34" s="180"/>
      <c r="DZ34" s="180"/>
      <c r="EA34" s="180"/>
      <c r="EB34" s="180"/>
      <c r="EC34" s="180"/>
      <c r="ED34" s="180"/>
      <c r="EE34" s="180"/>
      <c r="EF34" s="180"/>
      <c r="EG34" s="180"/>
      <c r="EH34" s="180"/>
      <c r="EI34" s="180"/>
      <c r="EJ34" s="180"/>
      <c r="EK34" s="180"/>
      <c r="EL34" s="180"/>
      <c r="EM34" s="180"/>
      <c r="EN34" s="180"/>
      <c r="EO34" s="180"/>
      <c r="EP34" s="180"/>
      <c r="EQ34" s="181"/>
      <c r="ER34" s="161"/>
      <c r="ES34" s="159"/>
      <c r="ET34" s="159"/>
      <c r="EU34" s="159"/>
      <c r="EV34" s="159"/>
      <c r="EW34" s="159"/>
      <c r="EX34" s="159"/>
      <c r="EY34" s="159"/>
      <c r="EZ34" s="159"/>
      <c r="FA34" s="159"/>
      <c r="FB34" s="159"/>
      <c r="FC34" s="159"/>
      <c r="FD34" s="159"/>
      <c r="FE34" s="159"/>
      <c r="FF34" s="159"/>
      <c r="FG34" s="159"/>
      <c r="FH34" s="159"/>
      <c r="FI34" s="159"/>
      <c r="FJ34" s="159"/>
      <c r="FK34" s="180"/>
      <c r="FL34" s="180"/>
      <c r="FM34" s="180"/>
      <c r="FN34" s="159"/>
      <c r="FO34" s="159"/>
      <c r="FP34" s="159"/>
      <c r="FQ34" s="159"/>
      <c r="FR34" s="159"/>
      <c r="FS34" s="159"/>
      <c r="FT34" s="159"/>
      <c r="FU34" s="159"/>
      <c r="FV34" s="159"/>
      <c r="FW34" s="159"/>
      <c r="FX34" s="159"/>
      <c r="FY34" s="159"/>
      <c r="FZ34" s="159"/>
      <c r="GA34" s="159"/>
      <c r="GB34" s="159"/>
      <c r="GC34" s="159"/>
      <c r="GD34" s="159"/>
      <c r="GE34" s="159"/>
      <c r="GF34" s="159"/>
      <c r="GG34" s="159"/>
      <c r="GH34" s="159"/>
      <c r="GI34" s="159"/>
      <c r="GJ34" s="159"/>
      <c r="GK34" s="162"/>
      <c r="GL34" s="158"/>
      <c r="GM34" s="159"/>
      <c r="GN34" s="159"/>
      <c r="GO34" s="159"/>
      <c r="GP34" s="159"/>
      <c r="GQ34" s="159"/>
      <c r="GR34" s="159"/>
      <c r="GS34" s="159"/>
      <c r="GT34" s="159"/>
      <c r="GU34" s="159"/>
      <c r="GV34" s="159"/>
      <c r="GW34" s="159"/>
      <c r="GX34" s="159"/>
      <c r="GY34" s="159"/>
      <c r="GZ34" s="159"/>
      <c r="HA34" s="159"/>
      <c r="HB34" s="159"/>
      <c r="HC34" s="159"/>
      <c r="HD34" s="159"/>
      <c r="HE34" s="159"/>
      <c r="HF34" s="159"/>
      <c r="HG34" s="159"/>
      <c r="HH34" s="159"/>
      <c r="HI34" s="159"/>
      <c r="HJ34" s="159"/>
      <c r="HK34" s="159"/>
      <c r="HL34" s="159"/>
      <c r="HM34" s="159"/>
      <c r="HN34" s="159"/>
      <c r="HO34" s="159"/>
      <c r="HP34" s="159"/>
      <c r="HQ34" s="159"/>
      <c r="HR34" s="159"/>
      <c r="HS34" s="159"/>
      <c r="HT34" s="159"/>
      <c r="HU34" s="159"/>
      <c r="HV34" s="159"/>
      <c r="HW34" s="159"/>
      <c r="HX34" s="159"/>
      <c r="HY34" s="159"/>
      <c r="HZ34" s="159"/>
      <c r="IA34" s="159"/>
      <c r="IB34" s="159"/>
      <c r="IC34" s="159"/>
      <c r="ID34" s="159"/>
      <c r="IE34" s="159"/>
      <c r="IF34" s="159"/>
      <c r="IG34" s="160"/>
      <c r="IH34" s="159"/>
      <c r="II34" s="159"/>
      <c r="IJ34" s="182"/>
      <c r="IK34" s="173"/>
      <c r="IL34" s="173"/>
      <c r="IM34" s="185"/>
      <c r="IN34" s="152">
        <f>F34*10%</f>
        <v>0</v>
      </c>
      <c r="IO34" s="152">
        <f>F34+IN34</f>
        <v>0</v>
      </c>
    </row>
    <row r="35" spans="1:249" s="15" customFormat="1" ht="52.5" hidden="1" customHeight="1" thickBot="1" x14ac:dyDescent="0.2">
      <c r="A35" s="153"/>
      <c r="B35" s="167"/>
      <c r="C35" s="167"/>
      <c r="D35" s="168"/>
      <c r="E35" s="156">
        <f t="shared" si="59"/>
        <v>0</v>
      </c>
      <c r="F35" s="169"/>
      <c r="G35" s="141">
        <f>COUNTA(I35:IG35)</f>
        <v>0</v>
      </c>
      <c r="H35" s="142">
        <f>SUM(I35:IG35)</f>
        <v>0</v>
      </c>
      <c r="I35" s="158"/>
      <c r="J35" s="159"/>
      <c r="K35" s="160"/>
      <c r="L35" s="161"/>
      <c r="M35" s="159"/>
      <c r="N35" s="162"/>
      <c r="O35" s="158"/>
      <c r="P35" s="159"/>
      <c r="Q35" s="160"/>
      <c r="R35" s="161"/>
      <c r="S35" s="159"/>
      <c r="T35" s="159"/>
      <c r="U35" s="162"/>
      <c r="V35" s="158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60"/>
      <c r="AQ35" s="161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62"/>
      <c r="BJ35" s="158"/>
      <c r="BK35" s="159"/>
      <c r="BL35" s="159"/>
      <c r="BM35" s="159"/>
      <c r="BN35" s="159"/>
      <c r="BO35" s="159"/>
      <c r="BP35" s="159"/>
      <c r="BQ35" s="159"/>
      <c r="BR35" s="160"/>
      <c r="BS35" s="159"/>
      <c r="BT35" s="161"/>
      <c r="BU35" s="161"/>
      <c r="BV35" s="161"/>
      <c r="BW35" s="161"/>
      <c r="BX35" s="161"/>
      <c r="BY35" s="161"/>
      <c r="BZ35" s="161"/>
      <c r="CA35" s="161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62"/>
      <c r="CY35" s="158"/>
      <c r="CZ35" s="159"/>
      <c r="DA35" s="159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/>
      <c r="DU35" s="163"/>
      <c r="DV35" s="163"/>
      <c r="DW35" s="163"/>
      <c r="DX35" s="163"/>
      <c r="DY35" s="163"/>
      <c r="DZ35" s="163"/>
      <c r="EA35" s="163"/>
      <c r="EB35" s="163"/>
      <c r="EC35" s="163"/>
      <c r="ED35" s="163"/>
      <c r="EE35" s="163"/>
      <c r="EF35" s="163"/>
      <c r="EG35" s="163"/>
      <c r="EH35" s="163"/>
      <c r="EI35" s="163"/>
      <c r="EJ35" s="163"/>
      <c r="EK35" s="163"/>
      <c r="EL35" s="163"/>
      <c r="EM35" s="163"/>
      <c r="EN35" s="163"/>
      <c r="EO35" s="163"/>
      <c r="EP35" s="163"/>
      <c r="EQ35" s="191"/>
      <c r="ER35" s="161"/>
      <c r="ES35" s="159"/>
      <c r="ET35" s="159"/>
      <c r="EU35" s="159"/>
      <c r="EV35" s="159"/>
      <c r="EW35" s="159"/>
      <c r="EX35" s="159"/>
      <c r="EY35" s="159"/>
      <c r="EZ35" s="159"/>
      <c r="FA35" s="159"/>
      <c r="FB35" s="159"/>
      <c r="FC35" s="159"/>
      <c r="FD35" s="159"/>
      <c r="FE35" s="159"/>
      <c r="FF35" s="159"/>
      <c r="FG35" s="159"/>
      <c r="FH35" s="159"/>
      <c r="FI35" s="159"/>
      <c r="FJ35" s="159"/>
      <c r="FK35" s="163"/>
      <c r="FL35" s="163"/>
      <c r="FM35" s="163"/>
      <c r="FN35" s="159"/>
      <c r="FO35" s="159"/>
      <c r="FP35" s="159"/>
      <c r="FQ35" s="159"/>
      <c r="FR35" s="159"/>
      <c r="FS35" s="159"/>
      <c r="FT35" s="159"/>
      <c r="FU35" s="159"/>
      <c r="FV35" s="159"/>
      <c r="FW35" s="159"/>
      <c r="FX35" s="159"/>
      <c r="FY35" s="159"/>
      <c r="FZ35" s="159"/>
      <c r="GA35" s="159"/>
      <c r="GB35" s="159"/>
      <c r="GC35" s="159"/>
      <c r="GD35" s="159"/>
      <c r="GE35" s="159"/>
      <c r="GF35" s="159"/>
      <c r="GG35" s="159"/>
      <c r="GH35" s="159"/>
      <c r="GI35" s="159"/>
      <c r="GJ35" s="159"/>
      <c r="GK35" s="162"/>
      <c r="GL35" s="158"/>
      <c r="GM35" s="159"/>
      <c r="GN35" s="159"/>
      <c r="GO35" s="159"/>
      <c r="GP35" s="159"/>
      <c r="GQ35" s="159"/>
      <c r="GR35" s="159"/>
      <c r="GS35" s="159"/>
      <c r="GT35" s="159"/>
      <c r="GU35" s="159"/>
      <c r="GV35" s="159"/>
      <c r="GW35" s="159"/>
      <c r="GX35" s="159"/>
      <c r="GY35" s="159"/>
      <c r="GZ35" s="159"/>
      <c r="HA35" s="159"/>
      <c r="HB35" s="159"/>
      <c r="HC35" s="159"/>
      <c r="HD35" s="159"/>
      <c r="HE35" s="159"/>
      <c r="HF35" s="159"/>
      <c r="HG35" s="159"/>
      <c r="HH35" s="159"/>
      <c r="HI35" s="159"/>
      <c r="HJ35" s="159"/>
      <c r="HK35" s="159"/>
      <c r="HL35" s="159"/>
      <c r="HM35" s="159"/>
      <c r="HN35" s="159"/>
      <c r="HO35" s="159"/>
      <c r="HP35" s="159"/>
      <c r="HQ35" s="159"/>
      <c r="HR35" s="159"/>
      <c r="HS35" s="159"/>
      <c r="HT35" s="159"/>
      <c r="HU35" s="159"/>
      <c r="HV35" s="159"/>
      <c r="HW35" s="159"/>
      <c r="HX35" s="159"/>
      <c r="HY35" s="159"/>
      <c r="HZ35" s="159"/>
      <c r="IA35" s="159"/>
      <c r="IB35" s="159"/>
      <c r="IC35" s="159"/>
      <c r="ID35" s="159"/>
      <c r="IE35" s="159"/>
      <c r="IF35" s="159"/>
      <c r="IG35" s="160"/>
      <c r="IH35" s="159"/>
      <c r="II35" s="159"/>
      <c r="IJ35" s="182"/>
      <c r="IK35" s="173"/>
      <c r="IL35" s="173"/>
      <c r="IM35" s="185"/>
      <c r="IN35" s="152">
        <f>F35*10%</f>
        <v>0</v>
      </c>
      <c r="IO35" s="152">
        <f>F35+IN35</f>
        <v>0</v>
      </c>
    </row>
    <row r="36" spans="1:249" s="15" customFormat="1" ht="52.5" hidden="1" customHeight="1" thickBot="1" x14ac:dyDescent="0.2">
      <c r="A36" s="153"/>
      <c r="B36" s="179"/>
      <c r="C36" s="179"/>
      <c r="D36" s="188"/>
      <c r="E36" s="156">
        <f t="shared" si="59"/>
        <v>0</v>
      </c>
      <c r="F36" s="169"/>
      <c r="G36" s="141">
        <f>COUNTA(I36:IG36)</f>
        <v>0</v>
      </c>
      <c r="H36" s="142">
        <f>SUM(I36:IG36)</f>
        <v>0</v>
      </c>
      <c r="I36" s="158"/>
      <c r="J36" s="159"/>
      <c r="K36" s="160"/>
      <c r="L36" s="161"/>
      <c r="M36" s="159"/>
      <c r="N36" s="162"/>
      <c r="O36" s="158"/>
      <c r="P36" s="159"/>
      <c r="Q36" s="160"/>
      <c r="R36" s="161"/>
      <c r="S36" s="159"/>
      <c r="T36" s="159"/>
      <c r="U36" s="162"/>
      <c r="V36" s="158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60"/>
      <c r="AQ36" s="161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62"/>
      <c r="BJ36" s="158"/>
      <c r="BK36" s="159"/>
      <c r="BL36" s="159"/>
      <c r="BM36" s="159"/>
      <c r="BN36" s="159"/>
      <c r="BO36" s="159"/>
      <c r="BP36" s="159"/>
      <c r="BQ36" s="159"/>
      <c r="BR36" s="160"/>
      <c r="BS36" s="159"/>
      <c r="BT36" s="161"/>
      <c r="BU36" s="161"/>
      <c r="BV36" s="161"/>
      <c r="BW36" s="161"/>
      <c r="BX36" s="161"/>
      <c r="BY36" s="161"/>
      <c r="BZ36" s="161"/>
      <c r="CA36" s="161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62"/>
      <c r="CY36" s="158"/>
      <c r="CZ36" s="159"/>
      <c r="DA36" s="159"/>
      <c r="DB36" s="180"/>
      <c r="DC36" s="180"/>
      <c r="DD36" s="180"/>
      <c r="DE36" s="180"/>
      <c r="DF36" s="180"/>
      <c r="DG36" s="180"/>
      <c r="DH36" s="180"/>
      <c r="DI36" s="180"/>
      <c r="DJ36" s="180"/>
      <c r="DK36" s="180"/>
      <c r="DL36" s="180"/>
      <c r="DM36" s="180"/>
      <c r="DN36" s="180"/>
      <c r="DO36" s="180"/>
      <c r="DP36" s="180"/>
      <c r="DQ36" s="180"/>
      <c r="DR36" s="180"/>
      <c r="DS36" s="180"/>
      <c r="DT36" s="180"/>
      <c r="DU36" s="180"/>
      <c r="DV36" s="180"/>
      <c r="DW36" s="180"/>
      <c r="DX36" s="180"/>
      <c r="DY36" s="180"/>
      <c r="DZ36" s="180"/>
      <c r="EA36" s="180"/>
      <c r="EB36" s="180"/>
      <c r="EC36" s="180"/>
      <c r="ED36" s="180"/>
      <c r="EE36" s="180"/>
      <c r="EF36" s="180"/>
      <c r="EG36" s="180"/>
      <c r="EH36" s="180"/>
      <c r="EI36" s="180"/>
      <c r="EJ36" s="180"/>
      <c r="EK36" s="180"/>
      <c r="EL36" s="180"/>
      <c r="EM36" s="180"/>
      <c r="EN36" s="180"/>
      <c r="EO36" s="180"/>
      <c r="EP36" s="180"/>
      <c r="EQ36" s="181"/>
      <c r="ER36" s="161"/>
      <c r="ES36" s="159"/>
      <c r="ET36" s="159"/>
      <c r="EU36" s="159"/>
      <c r="EV36" s="159"/>
      <c r="EW36" s="159"/>
      <c r="EX36" s="159"/>
      <c r="EY36" s="159"/>
      <c r="EZ36" s="159"/>
      <c r="FA36" s="159"/>
      <c r="FB36" s="159"/>
      <c r="FC36" s="159"/>
      <c r="FD36" s="159"/>
      <c r="FE36" s="159"/>
      <c r="FF36" s="159"/>
      <c r="FG36" s="159"/>
      <c r="FH36" s="159"/>
      <c r="FI36" s="159"/>
      <c r="FJ36" s="159"/>
      <c r="FK36" s="180"/>
      <c r="FL36" s="180"/>
      <c r="FM36" s="180"/>
      <c r="FN36" s="159"/>
      <c r="FO36" s="159"/>
      <c r="FP36" s="159"/>
      <c r="FQ36" s="159"/>
      <c r="FR36" s="159"/>
      <c r="FS36" s="159"/>
      <c r="FT36" s="159"/>
      <c r="FU36" s="159"/>
      <c r="FV36" s="159"/>
      <c r="FW36" s="159"/>
      <c r="FX36" s="159"/>
      <c r="FY36" s="159"/>
      <c r="FZ36" s="159"/>
      <c r="GA36" s="159"/>
      <c r="GB36" s="159"/>
      <c r="GC36" s="159"/>
      <c r="GD36" s="159"/>
      <c r="GE36" s="159"/>
      <c r="GF36" s="159"/>
      <c r="GG36" s="159"/>
      <c r="GH36" s="159"/>
      <c r="GI36" s="159"/>
      <c r="GJ36" s="159"/>
      <c r="GK36" s="162"/>
      <c r="GL36" s="158"/>
      <c r="GM36" s="159"/>
      <c r="GN36" s="159"/>
      <c r="GO36" s="159"/>
      <c r="GP36" s="159"/>
      <c r="GQ36" s="159"/>
      <c r="GR36" s="159"/>
      <c r="GS36" s="159"/>
      <c r="GT36" s="159"/>
      <c r="GU36" s="159"/>
      <c r="GV36" s="159"/>
      <c r="GW36" s="159"/>
      <c r="GX36" s="159"/>
      <c r="GY36" s="159"/>
      <c r="GZ36" s="159"/>
      <c r="HA36" s="159"/>
      <c r="HB36" s="159"/>
      <c r="HC36" s="159"/>
      <c r="HD36" s="159"/>
      <c r="HE36" s="159"/>
      <c r="HF36" s="159"/>
      <c r="HG36" s="159"/>
      <c r="HH36" s="159"/>
      <c r="HI36" s="159"/>
      <c r="HJ36" s="159"/>
      <c r="HK36" s="159"/>
      <c r="HL36" s="159"/>
      <c r="HM36" s="159"/>
      <c r="HN36" s="159"/>
      <c r="HO36" s="159"/>
      <c r="HP36" s="159"/>
      <c r="HQ36" s="159"/>
      <c r="HR36" s="159"/>
      <c r="HS36" s="159"/>
      <c r="HT36" s="159"/>
      <c r="HU36" s="159"/>
      <c r="HV36" s="159"/>
      <c r="HW36" s="159"/>
      <c r="HX36" s="159"/>
      <c r="HY36" s="159"/>
      <c r="HZ36" s="159"/>
      <c r="IA36" s="159"/>
      <c r="IB36" s="159"/>
      <c r="IC36" s="159"/>
      <c r="ID36" s="159"/>
      <c r="IE36" s="159"/>
      <c r="IF36" s="159"/>
      <c r="IG36" s="160"/>
      <c r="IH36" s="159"/>
      <c r="II36" s="159"/>
      <c r="IJ36" s="182"/>
      <c r="IK36" s="173"/>
      <c r="IL36" s="173"/>
      <c r="IM36" s="185"/>
      <c r="IN36" s="152">
        <f>F36*10%</f>
        <v>0</v>
      </c>
      <c r="IO36" s="152">
        <f>F36+IN36</f>
        <v>0</v>
      </c>
    </row>
    <row r="37" spans="1:249" s="15" customFormat="1" ht="52.5" hidden="1" customHeight="1" thickBot="1" x14ac:dyDescent="0.2">
      <c r="A37" s="153"/>
      <c r="B37" s="167"/>
      <c r="C37" s="167"/>
      <c r="D37" s="168"/>
      <c r="E37" s="156">
        <f t="shared" si="59"/>
        <v>0</v>
      </c>
      <c r="F37" s="169"/>
      <c r="G37" s="141">
        <f>COUNTA(I37:IG37)</f>
        <v>0</v>
      </c>
      <c r="H37" s="142">
        <f>SUM(I37:IG37)</f>
        <v>0</v>
      </c>
      <c r="I37" s="158"/>
      <c r="J37" s="159"/>
      <c r="K37" s="160"/>
      <c r="L37" s="161"/>
      <c r="M37" s="159"/>
      <c r="N37" s="162"/>
      <c r="O37" s="158"/>
      <c r="P37" s="159"/>
      <c r="Q37" s="160"/>
      <c r="R37" s="161"/>
      <c r="S37" s="159"/>
      <c r="T37" s="159"/>
      <c r="U37" s="162"/>
      <c r="V37" s="158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60"/>
      <c r="AQ37" s="161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62"/>
      <c r="BJ37" s="158"/>
      <c r="BK37" s="159"/>
      <c r="BL37" s="159"/>
      <c r="BM37" s="159"/>
      <c r="BN37" s="159"/>
      <c r="BO37" s="159"/>
      <c r="BP37" s="159"/>
      <c r="BQ37" s="159"/>
      <c r="BR37" s="160"/>
      <c r="BS37" s="159"/>
      <c r="BT37" s="161"/>
      <c r="BU37" s="161"/>
      <c r="BV37" s="161"/>
      <c r="BW37" s="161"/>
      <c r="BX37" s="161"/>
      <c r="BY37" s="161"/>
      <c r="BZ37" s="161"/>
      <c r="CA37" s="161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62"/>
      <c r="CY37" s="158"/>
      <c r="CZ37" s="159"/>
      <c r="DA37" s="159"/>
      <c r="DB37" s="180"/>
      <c r="DC37" s="180"/>
      <c r="DD37" s="180"/>
      <c r="DE37" s="180"/>
      <c r="DF37" s="180"/>
      <c r="DG37" s="180"/>
      <c r="DH37" s="180"/>
      <c r="DI37" s="180"/>
      <c r="DJ37" s="180"/>
      <c r="DK37" s="180"/>
      <c r="DL37" s="180"/>
      <c r="DM37" s="180"/>
      <c r="DN37" s="180"/>
      <c r="DO37" s="180"/>
      <c r="DP37" s="180"/>
      <c r="DQ37" s="180"/>
      <c r="DR37" s="180"/>
      <c r="DS37" s="180"/>
      <c r="DT37" s="180"/>
      <c r="DU37" s="180"/>
      <c r="DV37" s="180"/>
      <c r="DW37" s="180"/>
      <c r="DX37" s="180"/>
      <c r="DY37" s="180"/>
      <c r="DZ37" s="180"/>
      <c r="EA37" s="180"/>
      <c r="EB37" s="180"/>
      <c r="EC37" s="180"/>
      <c r="ED37" s="180"/>
      <c r="EE37" s="180"/>
      <c r="EF37" s="180"/>
      <c r="EG37" s="180"/>
      <c r="EH37" s="180"/>
      <c r="EI37" s="180"/>
      <c r="EJ37" s="180"/>
      <c r="EK37" s="180"/>
      <c r="EL37" s="180"/>
      <c r="EM37" s="180"/>
      <c r="EN37" s="180"/>
      <c r="EO37" s="180"/>
      <c r="EP37" s="180"/>
      <c r="EQ37" s="181"/>
      <c r="ER37" s="161"/>
      <c r="ES37" s="159"/>
      <c r="ET37" s="159"/>
      <c r="EU37" s="159"/>
      <c r="EV37" s="159"/>
      <c r="EW37" s="159"/>
      <c r="EX37" s="159"/>
      <c r="EY37" s="159"/>
      <c r="EZ37" s="159"/>
      <c r="FA37" s="159"/>
      <c r="FB37" s="159"/>
      <c r="FC37" s="159"/>
      <c r="FD37" s="159"/>
      <c r="FE37" s="159"/>
      <c r="FF37" s="159"/>
      <c r="FG37" s="159"/>
      <c r="FH37" s="159"/>
      <c r="FI37" s="159"/>
      <c r="FJ37" s="159"/>
      <c r="FK37" s="180"/>
      <c r="FL37" s="180"/>
      <c r="FM37" s="180"/>
      <c r="FN37" s="159"/>
      <c r="FO37" s="159"/>
      <c r="FP37" s="159"/>
      <c r="FQ37" s="159"/>
      <c r="FR37" s="159"/>
      <c r="FS37" s="159"/>
      <c r="FT37" s="159"/>
      <c r="FU37" s="159"/>
      <c r="FV37" s="159"/>
      <c r="FW37" s="159"/>
      <c r="FX37" s="159"/>
      <c r="FY37" s="159"/>
      <c r="FZ37" s="159"/>
      <c r="GA37" s="159"/>
      <c r="GB37" s="159"/>
      <c r="GC37" s="159"/>
      <c r="GD37" s="159"/>
      <c r="GE37" s="159"/>
      <c r="GF37" s="159"/>
      <c r="GG37" s="159"/>
      <c r="GH37" s="159"/>
      <c r="GI37" s="159"/>
      <c r="GJ37" s="159"/>
      <c r="GK37" s="162"/>
      <c r="GL37" s="158"/>
      <c r="GM37" s="159"/>
      <c r="GN37" s="159"/>
      <c r="GO37" s="159"/>
      <c r="GP37" s="159"/>
      <c r="GQ37" s="159"/>
      <c r="GR37" s="159"/>
      <c r="GS37" s="159"/>
      <c r="GT37" s="159"/>
      <c r="GU37" s="159"/>
      <c r="GV37" s="159"/>
      <c r="GW37" s="159"/>
      <c r="GX37" s="159"/>
      <c r="GY37" s="159"/>
      <c r="GZ37" s="159"/>
      <c r="HA37" s="159"/>
      <c r="HB37" s="159"/>
      <c r="HC37" s="159"/>
      <c r="HD37" s="159"/>
      <c r="HE37" s="159"/>
      <c r="HF37" s="159"/>
      <c r="HG37" s="159"/>
      <c r="HH37" s="159"/>
      <c r="HI37" s="159"/>
      <c r="HJ37" s="159"/>
      <c r="HK37" s="159"/>
      <c r="HL37" s="159"/>
      <c r="HM37" s="159"/>
      <c r="HN37" s="159"/>
      <c r="HO37" s="159"/>
      <c r="HP37" s="159"/>
      <c r="HQ37" s="159"/>
      <c r="HR37" s="159"/>
      <c r="HS37" s="159"/>
      <c r="HT37" s="159"/>
      <c r="HU37" s="159"/>
      <c r="HV37" s="159"/>
      <c r="HW37" s="159"/>
      <c r="HX37" s="159"/>
      <c r="HY37" s="159"/>
      <c r="HZ37" s="159"/>
      <c r="IA37" s="159"/>
      <c r="IB37" s="159"/>
      <c r="IC37" s="159"/>
      <c r="ID37" s="159"/>
      <c r="IE37" s="159"/>
      <c r="IF37" s="159"/>
      <c r="IG37" s="160"/>
      <c r="IH37" s="159"/>
      <c r="II37" s="159"/>
      <c r="IJ37" s="182"/>
      <c r="IK37" s="173"/>
      <c r="IL37" s="173"/>
      <c r="IM37" s="185"/>
      <c r="IN37" s="152">
        <f>F37*10%</f>
        <v>0</v>
      </c>
      <c r="IO37" s="152">
        <f>F37+IN37</f>
        <v>0</v>
      </c>
    </row>
    <row r="38" spans="1:249" ht="52.5" hidden="1" customHeight="1" thickBot="1" x14ac:dyDescent="0.35">
      <c r="A38" s="153"/>
      <c r="B38" s="167"/>
      <c r="C38" s="167"/>
      <c r="D38" s="168"/>
      <c r="E38" s="156">
        <f t="shared" si="59"/>
        <v>0</v>
      </c>
      <c r="F38" s="169"/>
      <c r="G38" s="141">
        <f>COUNTA(I38:IG38)</f>
        <v>0</v>
      </c>
      <c r="H38" s="142">
        <f>SUM(I38:IG38)</f>
        <v>0</v>
      </c>
      <c r="I38" s="158"/>
      <c r="J38" s="159"/>
      <c r="K38" s="160"/>
      <c r="L38" s="161"/>
      <c r="M38" s="159"/>
      <c r="N38" s="162"/>
      <c r="O38" s="158"/>
      <c r="P38" s="159"/>
      <c r="Q38" s="160"/>
      <c r="R38" s="161"/>
      <c r="S38" s="159"/>
      <c r="T38" s="159"/>
      <c r="U38" s="162"/>
      <c r="V38" s="158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60"/>
      <c r="AQ38" s="161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62"/>
      <c r="BJ38" s="158"/>
      <c r="BK38" s="159"/>
      <c r="BL38" s="159"/>
      <c r="BM38" s="159"/>
      <c r="BN38" s="159"/>
      <c r="BO38" s="159"/>
      <c r="BP38" s="159"/>
      <c r="BQ38" s="159"/>
      <c r="BR38" s="160"/>
      <c r="BS38" s="159"/>
      <c r="BT38" s="161"/>
      <c r="BU38" s="161"/>
      <c r="BV38" s="161"/>
      <c r="BW38" s="161"/>
      <c r="BX38" s="161"/>
      <c r="BY38" s="161"/>
      <c r="BZ38" s="161"/>
      <c r="CA38" s="161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62"/>
      <c r="CY38" s="158"/>
      <c r="CZ38" s="159"/>
      <c r="DA38" s="159"/>
      <c r="DB38" s="180"/>
      <c r="DC38" s="180"/>
      <c r="DD38" s="180"/>
      <c r="DE38" s="180"/>
      <c r="DF38" s="180"/>
      <c r="DG38" s="180"/>
      <c r="DH38" s="180"/>
      <c r="DI38" s="180"/>
      <c r="DJ38" s="180"/>
      <c r="DK38" s="180"/>
      <c r="DL38" s="180"/>
      <c r="DM38" s="180"/>
      <c r="DN38" s="180"/>
      <c r="DO38" s="180"/>
      <c r="DP38" s="180"/>
      <c r="DQ38" s="180"/>
      <c r="DR38" s="180"/>
      <c r="DS38" s="180"/>
      <c r="DT38" s="180"/>
      <c r="DU38" s="180"/>
      <c r="DV38" s="180"/>
      <c r="DW38" s="180"/>
      <c r="DX38" s="180"/>
      <c r="DY38" s="180"/>
      <c r="DZ38" s="180"/>
      <c r="EA38" s="180"/>
      <c r="EB38" s="180"/>
      <c r="EC38" s="180"/>
      <c r="ED38" s="180"/>
      <c r="EE38" s="180"/>
      <c r="EF38" s="180"/>
      <c r="EG38" s="180"/>
      <c r="EH38" s="180"/>
      <c r="EI38" s="180"/>
      <c r="EJ38" s="180"/>
      <c r="EK38" s="180"/>
      <c r="EL38" s="180"/>
      <c r="EM38" s="180"/>
      <c r="EN38" s="180"/>
      <c r="EO38" s="180"/>
      <c r="EP38" s="180"/>
      <c r="EQ38" s="181"/>
      <c r="ER38" s="161"/>
      <c r="ES38" s="159"/>
      <c r="ET38" s="159"/>
      <c r="EU38" s="159"/>
      <c r="EV38" s="159"/>
      <c r="EW38" s="159"/>
      <c r="EX38" s="159"/>
      <c r="EY38" s="159"/>
      <c r="EZ38" s="159"/>
      <c r="FA38" s="159"/>
      <c r="FB38" s="159"/>
      <c r="FC38" s="159"/>
      <c r="FD38" s="159"/>
      <c r="FE38" s="159"/>
      <c r="FF38" s="159"/>
      <c r="FG38" s="159"/>
      <c r="FH38" s="159"/>
      <c r="FI38" s="159"/>
      <c r="FJ38" s="159"/>
      <c r="FK38" s="180"/>
      <c r="FL38" s="180"/>
      <c r="FM38" s="180"/>
      <c r="FN38" s="159"/>
      <c r="FO38" s="159"/>
      <c r="FP38" s="159"/>
      <c r="FQ38" s="159"/>
      <c r="FR38" s="159"/>
      <c r="FS38" s="159"/>
      <c r="FT38" s="159"/>
      <c r="FU38" s="159"/>
      <c r="FV38" s="159"/>
      <c r="FW38" s="159"/>
      <c r="FX38" s="159"/>
      <c r="FY38" s="159"/>
      <c r="FZ38" s="159"/>
      <c r="GA38" s="159"/>
      <c r="GB38" s="159"/>
      <c r="GC38" s="159"/>
      <c r="GD38" s="159"/>
      <c r="GE38" s="159"/>
      <c r="GF38" s="159"/>
      <c r="GG38" s="159"/>
      <c r="GH38" s="159"/>
      <c r="GI38" s="159"/>
      <c r="GJ38" s="159"/>
      <c r="GK38" s="162"/>
      <c r="GL38" s="158"/>
      <c r="GM38" s="159"/>
      <c r="GN38" s="159"/>
      <c r="GO38" s="159"/>
      <c r="GP38" s="159"/>
      <c r="GQ38" s="159"/>
      <c r="GR38" s="159"/>
      <c r="GS38" s="159"/>
      <c r="GT38" s="159"/>
      <c r="GU38" s="159"/>
      <c r="GV38" s="159"/>
      <c r="GW38" s="159"/>
      <c r="GX38" s="159"/>
      <c r="GY38" s="159"/>
      <c r="GZ38" s="159"/>
      <c r="HA38" s="159"/>
      <c r="HB38" s="159"/>
      <c r="HC38" s="159"/>
      <c r="HD38" s="159"/>
      <c r="HE38" s="159"/>
      <c r="HF38" s="159"/>
      <c r="HG38" s="159"/>
      <c r="HH38" s="159"/>
      <c r="HI38" s="159"/>
      <c r="HJ38" s="159"/>
      <c r="HK38" s="159"/>
      <c r="HL38" s="159"/>
      <c r="HM38" s="159"/>
      <c r="HN38" s="159"/>
      <c r="HO38" s="159"/>
      <c r="HP38" s="159"/>
      <c r="HQ38" s="159"/>
      <c r="HR38" s="159"/>
      <c r="HS38" s="159"/>
      <c r="HT38" s="159"/>
      <c r="HU38" s="159"/>
      <c r="HV38" s="159"/>
      <c r="HW38" s="159"/>
      <c r="HX38" s="159"/>
      <c r="HY38" s="159"/>
      <c r="HZ38" s="159"/>
      <c r="IA38" s="159"/>
      <c r="IB38" s="159"/>
      <c r="IC38" s="159"/>
      <c r="ID38" s="159"/>
      <c r="IE38" s="159"/>
      <c r="IF38" s="159"/>
      <c r="IG38" s="160"/>
      <c r="IH38" s="159"/>
      <c r="II38" s="159"/>
      <c r="IJ38" s="182"/>
      <c r="IK38" s="173"/>
      <c r="IL38" s="173"/>
      <c r="IM38" s="185"/>
      <c r="IN38" s="152">
        <f>F38*10%</f>
        <v>0</v>
      </c>
      <c r="IO38" s="152">
        <f>F38+IN38</f>
        <v>0</v>
      </c>
    </row>
    <row r="39" spans="1:249" ht="52.5" hidden="1" customHeight="1" thickBot="1" x14ac:dyDescent="0.35">
      <c r="A39" s="153"/>
      <c r="B39" s="167"/>
      <c r="C39" s="167"/>
      <c r="D39" s="168"/>
      <c r="E39" s="156">
        <f t="shared" si="59"/>
        <v>0</v>
      </c>
      <c r="F39" s="169"/>
      <c r="G39" s="141">
        <f>COUNTA(I39:IG39)</f>
        <v>0</v>
      </c>
      <c r="H39" s="142">
        <f>SUM(I39:IG39)</f>
        <v>0</v>
      </c>
      <c r="I39" s="192"/>
      <c r="J39" s="159"/>
      <c r="K39" s="160"/>
      <c r="L39" s="161"/>
      <c r="M39" s="159"/>
      <c r="N39" s="162"/>
      <c r="O39" s="158"/>
      <c r="P39" s="159"/>
      <c r="Q39" s="160"/>
      <c r="R39" s="161"/>
      <c r="S39" s="159"/>
      <c r="T39" s="159"/>
      <c r="U39" s="162"/>
      <c r="V39" s="158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60"/>
      <c r="AQ39" s="161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62"/>
      <c r="BJ39" s="158"/>
      <c r="BK39" s="159"/>
      <c r="BL39" s="159"/>
      <c r="BM39" s="159"/>
      <c r="BN39" s="159"/>
      <c r="BO39" s="159"/>
      <c r="BP39" s="159"/>
      <c r="BQ39" s="159"/>
      <c r="BR39" s="160"/>
      <c r="BS39" s="159"/>
      <c r="BT39" s="161"/>
      <c r="BU39" s="161"/>
      <c r="BV39" s="161"/>
      <c r="BW39" s="161"/>
      <c r="BX39" s="161"/>
      <c r="BY39" s="161"/>
      <c r="BZ39" s="161"/>
      <c r="CA39" s="161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62"/>
      <c r="CY39" s="158"/>
      <c r="CZ39" s="159"/>
      <c r="DA39" s="159"/>
      <c r="DB39" s="193"/>
      <c r="DC39" s="193"/>
      <c r="DD39" s="193"/>
      <c r="DE39" s="193"/>
      <c r="DF39" s="193"/>
      <c r="DG39" s="193"/>
      <c r="DH39" s="193"/>
      <c r="DI39" s="193"/>
      <c r="DJ39" s="193"/>
      <c r="DK39" s="193"/>
      <c r="DL39" s="193"/>
      <c r="DM39" s="193"/>
      <c r="DN39" s="193"/>
      <c r="DO39" s="193"/>
      <c r="DP39" s="193"/>
      <c r="DQ39" s="193"/>
      <c r="DR39" s="193"/>
      <c r="DS39" s="193"/>
      <c r="DT39" s="193"/>
      <c r="DU39" s="193"/>
      <c r="DV39" s="193"/>
      <c r="DW39" s="193"/>
      <c r="DX39" s="193"/>
      <c r="DY39" s="193"/>
      <c r="DZ39" s="193"/>
      <c r="EA39" s="193"/>
      <c r="EB39" s="193"/>
      <c r="EC39" s="193"/>
      <c r="ED39" s="193"/>
      <c r="EE39" s="193"/>
      <c r="EF39" s="193"/>
      <c r="EG39" s="193"/>
      <c r="EH39" s="193"/>
      <c r="EI39" s="193"/>
      <c r="EJ39" s="193"/>
      <c r="EK39" s="193"/>
      <c r="EL39" s="193"/>
      <c r="EM39" s="193"/>
      <c r="EN39" s="193"/>
      <c r="EO39" s="193"/>
      <c r="EP39" s="193"/>
      <c r="EQ39" s="194"/>
      <c r="ER39" s="161"/>
      <c r="ES39" s="159"/>
      <c r="ET39" s="159"/>
      <c r="EU39" s="159"/>
      <c r="EV39" s="159"/>
      <c r="EW39" s="159"/>
      <c r="EX39" s="159"/>
      <c r="EY39" s="159"/>
      <c r="EZ39" s="159"/>
      <c r="FA39" s="159"/>
      <c r="FB39" s="159"/>
      <c r="FC39" s="159"/>
      <c r="FD39" s="159"/>
      <c r="FE39" s="159"/>
      <c r="FF39" s="159"/>
      <c r="FG39" s="159"/>
      <c r="FH39" s="159"/>
      <c r="FI39" s="159"/>
      <c r="FJ39" s="159"/>
      <c r="FK39" s="193"/>
      <c r="FL39" s="193"/>
      <c r="FM39" s="193"/>
      <c r="FN39" s="159"/>
      <c r="FO39" s="159"/>
      <c r="FP39" s="159"/>
      <c r="FQ39" s="159"/>
      <c r="FR39" s="159"/>
      <c r="FS39" s="159"/>
      <c r="FT39" s="159"/>
      <c r="FU39" s="159"/>
      <c r="FV39" s="159"/>
      <c r="FW39" s="159"/>
      <c r="FX39" s="159"/>
      <c r="FY39" s="159"/>
      <c r="FZ39" s="159"/>
      <c r="GA39" s="159"/>
      <c r="GB39" s="159"/>
      <c r="GC39" s="159"/>
      <c r="GD39" s="159"/>
      <c r="GE39" s="159"/>
      <c r="GF39" s="159"/>
      <c r="GG39" s="159"/>
      <c r="GH39" s="159"/>
      <c r="GI39" s="159"/>
      <c r="GJ39" s="159"/>
      <c r="GK39" s="162"/>
      <c r="GL39" s="158"/>
      <c r="GM39" s="159"/>
      <c r="GN39" s="159"/>
      <c r="GO39" s="159"/>
      <c r="GP39" s="159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8"/>
      <c r="IH39" s="177"/>
      <c r="II39" s="177"/>
      <c r="IJ39" s="182"/>
      <c r="IK39" s="173"/>
      <c r="IL39" s="173"/>
      <c r="IM39" s="185"/>
      <c r="IN39" s="152">
        <f>F39*10%</f>
        <v>0</v>
      </c>
      <c r="IO39" s="152">
        <f>F39+IN39</f>
        <v>0</v>
      </c>
    </row>
    <row r="40" spans="1:249" s="15" customFormat="1" ht="52.5" hidden="1" customHeight="1" thickBot="1" x14ac:dyDescent="0.2">
      <c r="A40" s="153"/>
      <c r="B40" s="179"/>
      <c r="C40" s="179"/>
      <c r="D40" s="188"/>
      <c r="E40" s="156">
        <f t="shared" si="59"/>
        <v>0</v>
      </c>
      <c r="F40" s="169"/>
      <c r="G40" s="141">
        <f>COUNTA(I40:IG40)</f>
        <v>0</v>
      </c>
      <c r="H40" s="142">
        <f>SUM(I40:IG40)</f>
        <v>0</v>
      </c>
      <c r="I40" s="158"/>
      <c r="J40" s="159"/>
      <c r="K40" s="160"/>
      <c r="L40" s="161"/>
      <c r="M40" s="159"/>
      <c r="N40" s="162"/>
      <c r="O40" s="158"/>
      <c r="P40" s="159"/>
      <c r="Q40" s="160"/>
      <c r="R40" s="161"/>
      <c r="S40" s="159"/>
      <c r="T40" s="159"/>
      <c r="U40" s="162"/>
      <c r="V40" s="158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60"/>
      <c r="AQ40" s="161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62"/>
      <c r="BJ40" s="158"/>
      <c r="BK40" s="159"/>
      <c r="BL40" s="159"/>
      <c r="BM40" s="159"/>
      <c r="BN40" s="159"/>
      <c r="BO40" s="159"/>
      <c r="BP40" s="159"/>
      <c r="BQ40" s="159"/>
      <c r="BR40" s="160"/>
      <c r="BS40" s="159"/>
      <c r="BT40" s="161"/>
      <c r="BU40" s="161"/>
      <c r="BV40" s="161"/>
      <c r="BW40" s="161"/>
      <c r="BX40" s="161"/>
      <c r="BY40" s="161"/>
      <c r="BZ40" s="161"/>
      <c r="CA40" s="161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62"/>
      <c r="CY40" s="158"/>
      <c r="CZ40" s="159"/>
      <c r="DA40" s="159"/>
      <c r="DB40" s="180"/>
      <c r="DC40" s="180"/>
      <c r="DD40" s="180"/>
      <c r="DE40" s="180"/>
      <c r="DF40" s="180"/>
      <c r="DG40" s="180"/>
      <c r="DH40" s="180"/>
      <c r="DI40" s="180"/>
      <c r="DJ40" s="180"/>
      <c r="DK40" s="180"/>
      <c r="DL40" s="180"/>
      <c r="DM40" s="180"/>
      <c r="DN40" s="180"/>
      <c r="DO40" s="180"/>
      <c r="DP40" s="180"/>
      <c r="DQ40" s="180"/>
      <c r="DR40" s="180"/>
      <c r="DS40" s="180"/>
      <c r="DT40" s="180"/>
      <c r="DU40" s="180"/>
      <c r="DV40" s="180"/>
      <c r="DW40" s="180"/>
      <c r="DX40" s="180"/>
      <c r="DY40" s="180"/>
      <c r="DZ40" s="180"/>
      <c r="EA40" s="180"/>
      <c r="EB40" s="180"/>
      <c r="EC40" s="180"/>
      <c r="ED40" s="180"/>
      <c r="EE40" s="180"/>
      <c r="EF40" s="180"/>
      <c r="EG40" s="180"/>
      <c r="EH40" s="180"/>
      <c r="EI40" s="180"/>
      <c r="EJ40" s="180"/>
      <c r="EK40" s="180"/>
      <c r="EL40" s="180"/>
      <c r="EM40" s="180"/>
      <c r="EN40" s="180"/>
      <c r="EO40" s="180"/>
      <c r="EP40" s="180"/>
      <c r="EQ40" s="181"/>
      <c r="ER40" s="161"/>
      <c r="ES40" s="159"/>
      <c r="ET40" s="159"/>
      <c r="EU40" s="159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59"/>
      <c r="FH40" s="159"/>
      <c r="FI40" s="159"/>
      <c r="FJ40" s="159"/>
      <c r="FK40" s="180"/>
      <c r="FL40" s="180"/>
      <c r="FM40" s="180"/>
      <c r="FN40" s="159"/>
      <c r="FO40" s="159"/>
      <c r="FP40" s="159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59"/>
      <c r="GC40" s="159"/>
      <c r="GD40" s="159"/>
      <c r="GE40" s="159"/>
      <c r="GF40" s="159"/>
      <c r="GG40" s="159"/>
      <c r="GH40" s="159"/>
      <c r="GI40" s="159"/>
      <c r="GJ40" s="159"/>
      <c r="GK40" s="162"/>
      <c r="GL40" s="158"/>
      <c r="GM40" s="159"/>
      <c r="GN40" s="159"/>
      <c r="GO40" s="159"/>
      <c r="GP40" s="159"/>
      <c r="GQ40" s="159"/>
      <c r="GR40" s="159"/>
      <c r="GS40" s="159"/>
      <c r="GT40" s="159"/>
      <c r="GU40" s="159"/>
      <c r="GV40" s="159"/>
      <c r="GW40" s="159"/>
      <c r="GX40" s="159"/>
      <c r="GY40" s="159"/>
      <c r="GZ40" s="159"/>
      <c r="HA40" s="159"/>
      <c r="HB40" s="159"/>
      <c r="HC40" s="159"/>
      <c r="HD40" s="159"/>
      <c r="HE40" s="159"/>
      <c r="HF40" s="159"/>
      <c r="HG40" s="159"/>
      <c r="HH40" s="159"/>
      <c r="HI40" s="159"/>
      <c r="HJ40" s="159"/>
      <c r="HK40" s="159"/>
      <c r="HL40" s="159"/>
      <c r="HM40" s="159"/>
      <c r="HN40" s="159"/>
      <c r="HO40" s="159"/>
      <c r="HP40" s="159"/>
      <c r="HQ40" s="159"/>
      <c r="HR40" s="159"/>
      <c r="HS40" s="159"/>
      <c r="HT40" s="159"/>
      <c r="HU40" s="159"/>
      <c r="HV40" s="159"/>
      <c r="HW40" s="159"/>
      <c r="HX40" s="159"/>
      <c r="HY40" s="159"/>
      <c r="HZ40" s="159"/>
      <c r="IA40" s="159"/>
      <c r="IB40" s="159"/>
      <c r="IC40" s="159"/>
      <c r="ID40" s="159"/>
      <c r="IE40" s="159"/>
      <c r="IF40" s="159"/>
      <c r="IG40" s="160"/>
      <c r="IH40" s="159"/>
      <c r="II40" s="159"/>
      <c r="IJ40" s="182"/>
      <c r="IK40" s="173"/>
      <c r="IL40" s="173"/>
      <c r="IM40" s="185"/>
      <c r="IN40" s="152">
        <f>F40*10%</f>
        <v>0</v>
      </c>
      <c r="IO40" s="152">
        <f>F40+IN40</f>
        <v>0</v>
      </c>
    </row>
    <row r="41" spans="1:249" s="15" customFormat="1" ht="52.5" hidden="1" customHeight="1" thickBot="1" x14ac:dyDescent="0.2">
      <c r="A41" s="153"/>
      <c r="B41" s="179"/>
      <c r="C41" s="179"/>
      <c r="D41" s="188"/>
      <c r="E41" s="156">
        <f t="shared" si="59"/>
        <v>0</v>
      </c>
      <c r="F41" s="169"/>
      <c r="G41" s="141">
        <f>COUNTA(I41:IG41)</f>
        <v>0</v>
      </c>
      <c r="H41" s="142">
        <f>SUM(I41:IG41)</f>
        <v>0</v>
      </c>
      <c r="I41" s="158"/>
      <c r="J41" s="159"/>
      <c r="K41" s="160"/>
      <c r="L41" s="161"/>
      <c r="M41" s="159"/>
      <c r="N41" s="162"/>
      <c r="O41" s="158"/>
      <c r="P41" s="159"/>
      <c r="Q41" s="160"/>
      <c r="R41" s="161"/>
      <c r="S41" s="159"/>
      <c r="T41" s="159"/>
      <c r="U41" s="162"/>
      <c r="V41" s="158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60"/>
      <c r="AQ41" s="161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62"/>
      <c r="BJ41" s="158"/>
      <c r="BK41" s="159"/>
      <c r="BL41" s="159"/>
      <c r="BM41" s="159"/>
      <c r="BN41" s="159"/>
      <c r="BO41" s="159"/>
      <c r="BP41" s="159"/>
      <c r="BQ41" s="159"/>
      <c r="BR41" s="160"/>
      <c r="BS41" s="159"/>
      <c r="BT41" s="161"/>
      <c r="BU41" s="161"/>
      <c r="BV41" s="161"/>
      <c r="BW41" s="161"/>
      <c r="BX41" s="161"/>
      <c r="BY41" s="161"/>
      <c r="BZ41" s="161"/>
      <c r="CA41" s="161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62"/>
      <c r="CY41" s="158"/>
      <c r="CZ41" s="159"/>
      <c r="DA41" s="159"/>
      <c r="DB41" s="180"/>
      <c r="DC41" s="180"/>
      <c r="DD41" s="180"/>
      <c r="DE41" s="180"/>
      <c r="DF41" s="180"/>
      <c r="DG41" s="180"/>
      <c r="DH41" s="180"/>
      <c r="DI41" s="180"/>
      <c r="DJ41" s="180"/>
      <c r="DK41" s="180"/>
      <c r="DL41" s="180"/>
      <c r="DM41" s="180"/>
      <c r="DN41" s="180"/>
      <c r="DO41" s="180"/>
      <c r="DP41" s="180"/>
      <c r="DQ41" s="180"/>
      <c r="DR41" s="180"/>
      <c r="DS41" s="180"/>
      <c r="DT41" s="180"/>
      <c r="DU41" s="180"/>
      <c r="DV41" s="180"/>
      <c r="DW41" s="180"/>
      <c r="DX41" s="180"/>
      <c r="DY41" s="180"/>
      <c r="DZ41" s="180"/>
      <c r="EA41" s="180"/>
      <c r="EB41" s="180"/>
      <c r="EC41" s="180"/>
      <c r="ED41" s="180"/>
      <c r="EE41" s="180"/>
      <c r="EF41" s="180"/>
      <c r="EG41" s="180"/>
      <c r="EH41" s="180"/>
      <c r="EI41" s="180"/>
      <c r="EJ41" s="180"/>
      <c r="EK41" s="180"/>
      <c r="EL41" s="180"/>
      <c r="EM41" s="180"/>
      <c r="EN41" s="180"/>
      <c r="EO41" s="180"/>
      <c r="EP41" s="180"/>
      <c r="EQ41" s="181"/>
      <c r="ER41" s="161"/>
      <c r="ES41" s="159"/>
      <c r="ET41" s="159"/>
      <c r="EU41" s="159"/>
      <c r="EV41" s="159"/>
      <c r="EW41" s="159"/>
      <c r="EX41" s="159"/>
      <c r="EY41" s="159"/>
      <c r="EZ41" s="159"/>
      <c r="FA41" s="159"/>
      <c r="FB41" s="159"/>
      <c r="FC41" s="159"/>
      <c r="FD41" s="159"/>
      <c r="FE41" s="159"/>
      <c r="FF41" s="159"/>
      <c r="FG41" s="159"/>
      <c r="FH41" s="159"/>
      <c r="FI41" s="159"/>
      <c r="FJ41" s="159"/>
      <c r="FK41" s="180"/>
      <c r="FL41" s="180"/>
      <c r="FM41" s="180"/>
      <c r="FN41" s="159"/>
      <c r="FO41" s="159"/>
      <c r="FP41" s="159"/>
      <c r="FQ41" s="159"/>
      <c r="FR41" s="159"/>
      <c r="FS41" s="159"/>
      <c r="FT41" s="159"/>
      <c r="FU41" s="159"/>
      <c r="FV41" s="159"/>
      <c r="FW41" s="159"/>
      <c r="FX41" s="159"/>
      <c r="FY41" s="159"/>
      <c r="FZ41" s="159"/>
      <c r="GA41" s="159"/>
      <c r="GB41" s="159"/>
      <c r="GC41" s="159"/>
      <c r="GD41" s="159"/>
      <c r="GE41" s="159"/>
      <c r="GF41" s="159"/>
      <c r="GG41" s="159"/>
      <c r="GH41" s="159"/>
      <c r="GI41" s="159"/>
      <c r="GJ41" s="159"/>
      <c r="GK41" s="162"/>
      <c r="GL41" s="158"/>
      <c r="GM41" s="159"/>
      <c r="GN41" s="159"/>
      <c r="GO41" s="159"/>
      <c r="GP41" s="159"/>
      <c r="GQ41" s="159"/>
      <c r="GR41" s="159"/>
      <c r="GS41" s="159"/>
      <c r="GT41" s="159"/>
      <c r="GU41" s="159"/>
      <c r="GV41" s="159"/>
      <c r="GW41" s="159"/>
      <c r="GX41" s="159"/>
      <c r="GY41" s="159"/>
      <c r="GZ41" s="159"/>
      <c r="HA41" s="159"/>
      <c r="HB41" s="159"/>
      <c r="HC41" s="159"/>
      <c r="HD41" s="159"/>
      <c r="HE41" s="159"/>
      <c r="HF41" s="159"/>
      <c r="HG41" s="159"/>
      <c r="HH41" s="159"/>
      <c r="HI41" s="159"/>
      <c r="HJ41" s="159"/>
      <c r="HK41" s="159"/>
      <c r="HL41" s="159"/>
      <c r="HM41" s="159"/>
      <c r="HN41" s="159"/>
      <c r="HO41" s="159"/>
      <c r="HP41" s="159"/>
      <c r="HQ41" s="159"/>
      <c r="HR41" s="159"/>
      <c r="HS41" s="159"/>
      <c r="HT41" s="159"/>
      <c r="HU41" s="159"/>
      <c r="HV41" s="159"/>
      <c r="HW41" s="159"/>
      <c r="HX41" s="159"/>
      <c r="HY41" s="159"/>
      <c r="HZ41" s="159"/>
      <c r="IA41" s="159"/>
      <c r="IB41" s="159"/>
      <c r="IC41" s="159"/>
      <c r="ID41" s="159"/>
      <c r="IE41" s="159"/>
      <c r="IF41" s="159"/>
      <c r="IG41" s="160"/>
      <c r="IH41" s="159"/>
      <c r="II41" s="159"/>
      <c r="IJ41" s="182"/>
      <c r="IK41" s="173"/>
      <c r="IL41" s="173"/>
      <c r="IM41" s="185"/>
      <c r="IN41" s="152">
        <f>F41*10%</f>
        <v>0</v>
      </c>
      <c r="IO41" s="152">
        <f>F41+IN41</f>
        <v>0</v>
      </c>
    </row>
    <row r="42" spans="1:249" ht="52.5" hidden="1" customHeight="1" thickBot="1" x14ac:dyDescent="0.35">
      <c r="A42" s="153"/>
      <c r="B42" s="167"/>
      <c r="C42" s="167"/>
      <c r="D42" s="168"/>
      <c r="E42" s="156">
        <f t="shared" si="59"/>
        <v>0</v>
      </c>
      <c r="F42" s="169"/>
      <c r="G42" s="141">
        <f>COUNTA(I42:IG42)</f>
        <v>0</v>
      </c>
      <c r="H42" s="142">
        <f>SUM(I42:IG42)</f>
        <v>0</v>
      </c>
      <c r="I42" s="158"/>
      <c r="J42" s="159"/>
      <c r="K42" s="160"/>
      <c r="L42" s="161"/>
      <c r="M42" s="159"/>
      <c r="N42" s="162"/>
      <c r="O42" s="158"/>
      <c r="P42" s="159"/>
      <c r="Q42" s="160"/>
      <c r="R42" s="161"/>
      <c r="S42" s="159"/>
      <c r="T42" s="159"/>
      <c r="U42" s="162"/>
      <c r="V42" s="158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60"/>
      <c r="AQ42" s="161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62"/>
      <c r="BJ42" s="158"/>
      <c r="BK42" s="159"/>
      <c r="BL42" s="159"/>
      <c r="BM42" s="159"/>
      <c r="BN42" s="159"/>
      <c r="BO42" s="159"/>
      <c r="BP42" s="159"/>
      <c r="BQ42" s="159"/>
      <c r="BR42" s="160"/>
      <c r="BS42" s="159"/>
      <c r="BT42" s="161"/>
      <c r="BU42" s="161"/>
      <c r="BV42" s="161"/>
      <c r="BW42" s="161"/>
      <c r="BX42" s="161"/>
      <c r="BY42" s="161"/>
      <c r="BZ42" s="161"/>
      <c r="CA42" s="161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62"/>
      <c r="CY42" s="158"/>
      <c r="CZ42" s="159"/>
      <c r="DA42" s="159"/>
      <c r="DB42" s="180"/>
      <c r="DC42" s="180"/>
      <c r="DD42" s="180"/>
      <c r="DE42" s="180"/>
      <c r="DF42" s="180"/>
      <c r="DG42" s="180"/>
      <c r="DH42" s="180"/>
      <c r="DI42" s="180"/>
      <c r="DJ42" s="180"/>
      <c r="DK42" s="180"/>
      <c r="DL42" s="180"/>
      <c r="DM42" s="180"/>
      <c r="DN42" s="180"/>
      <c r="DO42" s="180"/>
      <c r="DP42" s="180"/>
      <c r="DQ42" s="180"/>
      <c r="DR42" s="180"/>
      <c r="DS42" s="180"/>
      <c r="DT42" s="180"/>
      <c r="DU42" s="180"/>
      <c r="DV42" s="180"/>
      <c r="DW42" s="180"/>
      <c r="DX42" s="180"/>
      <c r="DY42" s="180"/>
      <c r="DZ42" s="180"/>
      <c r="EA42" s="180"/>
      <c r="EB42" s="180"/>
      <c r="EC42" s="180"/>
      <c r="ED42" s="180"/>
      <c r="EE42" s="180"/>
      <c r="EF42" s="180"/>
      <c r="EG42" s="180"/>
      <c r="EH42" s="180"/>
      <c r="EI42" s="180"/>
      <c r="EJ42" s="180"/>
      <c r="EK42" s="180"/>
      <c r="EL42" s="180"/>
      <c r="EM42" s="180"/>
      <c r="EN42" s="180"/>
      <c r="EO42" s="180"/>
      <c r="EP42" s="180"/>
      <c r="EQ42" s="181"/>
      <c r="ER42" s="161"/>
      <c r="ES42" s="159"/>
      <c r="ET42" s="159"/>
      <c r="EU42" s="159"/>
      <c r="EV42" s="159"/>
      <c r="EW42" s="159"/>
      <c r="EX42" s="159"/>
      <c r="EY42" s="159"/>
      <c r="EZ42" s="159"/>
      <c r="FA42" s="159"/>
      <c r="FB42" s="159"/>
      <c r="FC42" s="159"/>
      <c r="FD42" s="159"/>
      <c r="FE42" s="159"/>
      <c r="FF42" s="159"/>
      <c r="FG42" s="159"/>
      <c r="FH42" s="159"/>
      <c r="FI42" s="159"/>
      <c r="FJ42" s="159"/>
      <c r="FK42" s="180"/>
      <c r="FL42" s="180"/>
      <c r="FM42" s="180"/>
      <c r="FN42" s="159"/>
      <c r="FO42" s="159"/>
      <c r="FP42" s="159"/>
      <c r="FQ42" s="159"/>
      <c r="FR42" s="159"/>
      <c r="FS42" s="159"/>
      <c r="FT42" s="159"/>
      <c r="FU42" s="159"/>
      <c r="FV42" s="159"/>
      <c r="FW42" s="159"/>
      <c r="FX42" s="159"/>
      <c r="FY42" s="159"/>
      <c r="FZ42" s="159"/>
      <c r="GA42" s="159"/>
      <c r="GB42" s="159"/>
      <c r="GC42" s="159"/>
      <c r="GD42" s="159"/>
      <c r="GE42" s="159"/>
      <c r="GF42" s="159"/>
      <c r="GG42" s="159"/>
      <c r="GH42" s="159"/>
      <c r="GI42" s="159"/>
      <c r="GJ42" s="159"/>
      <c r="GK42" s="162"/>
      <c r="GL42" s="158"/>
      <c r="GM42" s="159"/>
      <c r="GN42" s="159"/>
      <c r="GO42" s="159"/>
      <c r="GP42" s="159"/>
      <c r="GQ42" s="159"/>
      <c r="GR42" s="159"/>
      <c r="GS42" s="159"/>
      <c r="GT42" s="159"/>
      <c r="GU42" s="159"/>
      <c r="GV42" s="159"/>
      <c r="GW42" s="159"/>
      <c r="GX42" s="159"/>
      <c r="GY42" s="159"/>
      <c r="GZ42" s="159"/>
      <c r="HA42" s="159"/>
      <c r="HB42" s="159"/>
      <c r="HC42" s="159"/>
      <c r="HD42" s="159"/>
      <c r="HE42" s="159"/>
      <c r="HF42" s="159"/>
      <c r="HG42" s="159"/>
      <c r="HH42" s="159"/>
      <c r="HI42" s="159"/>
      <c r="HJ42" s="159"/>
      <c r="HK42" s="159"/>
      <c r="HL42" s="159"/>
      <c r="HM42" s="159"/>
      <c r="HN42" s="159"/>
      <c r="HO42" s="159"/>
      <c r="HP42" s="159"/>
      <c r="HQ42" s="159"/>
      <c r="HR42" s="159"/>
      <c r="HS42" s="159"/>
      <c r="HT42" s="159"/>
      <c r="HU42" s="159"/>
      <c r="HV42" s="159"/>
      <c r="HW42" s="159"/>
      <c r="HX42" s="159"/>
      <c r="HY42" s="159"/>
      <c r="HZ42" s="159"/>
      <c r="IA42" s="159"/>
      <c r="IB42" s="159"/>
      <c r="IC42" s="159"/>
      <c r="ID42" s="159"/>
      <c r="IE42" s="159"/>
      <c r="IF42" s="159"/>
      <c r="IG42" s="160"/>
      <c r="IH42" s="159"/>
      <c r="II42" s="159"/>
      <c r="IJ42" s="182"/>
      <c r="IK42" s="173"/>
      <c r="IL42" s="173"/>
      <c r="IM42" s="185"/>
      <c r="IN42" s="152">
        <f>F42*10%</f>
        <v>0</v>
      </c>
      <c r="IO42" s="152">
        <f>F42+IN42</f>
        <v>0</v>
      </c>
    </row>
    <row r="43" spans="1:249" ht="52.5" hidden="1" customHeight="1" thickBot="1" x14ac:dyDescent="0.35">
      <c r="A43" s="153"/>
      <c r="B43" s="167"/>
      <c r="C43" s="167"/>
      <c r="D43" s="168"/>
      <c r="E43" s="156">
        <f t="shared" si="59"/>
        <v>0</v>
      </c>
      <c r="F43" s="169"/>
      <c r="G43" s="141">
        <f>COUNTA(I43:IG43)</f>
        <v>0</v>
      </c>
      <c r="H43" s="142">
        <f>SUM(I43:IG43)</f>
        <v>0</v>
      </c>
      <c r="I43" s="158"/>
      <c r="J43" s="159"/>
      <c r="K43" s="160"/>
      <c r="L43" s="161"/>
      <c r="M43" s="159"/>
      <c r="N43" s="162"/>
      <c r="O43" s="158"/>
      <c r="P43" s="159"/>
      <c r="Q43" s="160"/>
      <c r="R43" s="161"/>
      <c r="S43" s="159"/>
      <c r="T43" s="159"/>
      <c r="U43" s="162"/>
      <c r="V43" s="158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60"/>
      <c r="AQ43" s="161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62"/>
      <c r="BJ43" s="158"/>
      <c r="BK43" s="159"/>
      <c r="BL43" s="159"/>
      <c r="BM43" s="159"/>
      <c r="BN43" s="159"/>
      <c r="BO43" s="159"/>
      <c r="BP43" s="159"/>
      <c r="BQ43" s="159"/>
      <c r="BR43" s="160"/>
      <c r="BS43" s="159"/>
      <c r="BT43" s="161"/>
      <c r="BU43" s="161"/>
      <c r="BV43" s="161"/>
      <c r="BW43" s="161"/>
      <c r="BX43" s="161"/>
      <c r="BY43" s="161"/>
      <c r="BZ43" s="161"/>
      <c r="CA43" s="161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62"/>
      <c r="CY43" s="158"/>
      <c r="CZ43" s="159"/>
      <c r="DA43" s="159"/>
      <c r="DB43" s="180"/>
      <c r="DC43" s="180"/>
      <c r="DD43" s="180"/>
      <c r="DE43" s="180"/>
      <c r="DF43" s="180"/>
      <c r="DG43" s="180"/>
      <c r="DH43" s="180"/>
      <c r="DI43" s="180"/>
      <c r="DJ43" s="180"/>
      <c r="DK43" s="180"/>
      <c r="DL43" s="180"/>
      <c r="DM43" s="180"/>
      <c r="DN43" s="180"/>
      <c r="DO43" s="180"/>
      <c r="DP43" s="180"/>
      <c r="DQ43" s="180"/>
      <c r="DR43" s="180"/>
      <c r="DS43" s="180"/>
      <c r="DT43" s="180"/>
      <c r="DU43" s="180"/>
      <c r="DV43" s="180"/>
      <c r="DW43" s="180"/>
      <c r="DX43" s="180"/>
      <c r="DY43" s="180"/>
      <c r="DZ43" s="180"/>
      <c r="EA43" s="180"/>
      <c r="EB43" s="180"/>
      <c r="EC43" s="180"/>
      <c r="ED43" s="180"/>
      <c r="EE43" s="180"/>
      <c r="EF43" s="180"/>
      <c r="EG43" s="180"/>
      <c r="EH43" s="180"/>
      <c r="EI43" s="180"/>
      <c r="EJ43" s="180"/>
      <c r="EK43" s="180"/>
      <c r="EL43" s="180"/>
      <c r="EM43" s="180"/>
      <c r="EN43" s="180"/>
      <c r="EO43" s="180"/>
      <c r="EP43" s="180"/>
      <c r="EQ43" s="181"/>
      <c r="ER43" s="161"/>
      <c r="ES43" s="159"/>
      <c r="ET43" s="159"/>
      <c r="EU43" s="159"/>
      <c r="EV43" s="159"/>
      <c r="EW43" s="159"/>
      <c r="EX43" s="159"/>
      <c r="EY43" s="159"/>
      <c r="EZ43" s="159"/>
      <c r="FA43" s="159"/>
      <c r="FB43" s="159"/>
      <c r="FC43" s="159"/>
      <c r="FD43" s="159"/>
      <c r="FE43" s="159"/>
      <c r="FF43" s="159"/>
      <c r="FG43" s="159"/>
      <c r="FH43" s="159"/>
      <c r="FI43" s="159"/>
      <c r="FJ43" s="159"/>
      <c r="FK43" s="180"/>
      <c r="FL43" s="180"/>
      <c r="FM43" s="180"/>
      <c r="FN43" s="159"/>
      <c r="FO43" s="159"/>
      <c r="FP43" s="159"/>
      <c r="FQ43" s="159"/>
      <c r="FR43" s="159"/>
      <c r="FS43" s="159"/>
      <c r="FT43" s="159"/>
      <c r="FU43" s="159"/>
      <c r="FV43" s="159"/>
      <c r="FW43" s="159"/>
      <c r="FX43" s="159"/>
      <c r="FY43" s="159"/>
      <c r="FZ43" s="159"/>
      <c r="GA43" s="159"/>
      <c r="GB43" s="159"/>
      <c r="GC43" s="159"/>
      <c r="GD43" s="159"/>
      <c r="GE43" s="159"/>
      <c r="GF43" s="159"/>
      <c r="GG43" s="159"/>
      <c r="GH43" s="159"/>
      <c r="GI43" s="159"/>
      <c r="GJ43" s="159"/>
      <c r="GK43" s="162"/>
      <c r="GL43" s="158"/>
      <c r="GM43" s="159"/>
      <c r="GN43" s="159"/>
      <c r="GO43" s="159"/>
      <c r="GP43" s="159"/>
      <c r="GQ43" s="159"/>
      <c r="GR43" s="159"/>
      <c r="GS43" s="159"/>
      <c r="GT43" s="159"/>
      <c r="GU43" s="159"/>
      <c r="GV43" s="159"/>
      <c r="GW43" s="159"/>
      <c r="GX43" s="159"/>
      <c r="GY43" s="159"/>
      <c r="GZ43" s="159"/>
      <c r="HA43" s="159"/>
      <c r="HB43" s="159"/>
      <c r="HC43" s="159"/>
      <c r="HD43" s="159"/>
      <c r="HE43" s="159"/>
      <c r="HF43" s="159"/>
      <c r="HG43" s="159"/>
      <c r="HH43" s="159"/>
      <c r="HI43" s="159"/>
      <c r="HJ43" s="159"/>
      <c r="HK43" s="159"/>
      <c r="HL43" s="159"/>
      <c r="HM43" s="159"/>
      <c r="HN43" s="159"/>
      <c r="HO43" s="159"/>
      <c r="HP43" s="159"/>
      <c r="HQ43" s="159"/>
      <c r="HR43" s="159"/>
      <c r="HS43" s="159"/>
      <c r="HT43" s="159"/>
      <c r="HU43" s="159"/>
      <c r="HV43" s="159"/>
      <c r="HW43" s="159"/>
      <c r="HX43" s="159"/>
      <c r="HY43" s="159"/>
      <c r="HZ43" s="159"/>
      <c r="IA43" s="159"/>
      <c r="IB43" s="159"/>
      <c r="IC43" s="159"/>
      <c r="ID43" s="159"/>
      <c r="IE43" s="159"/>
      <c r="IF43" s="159"/>
      <c r="IG43" s="160"/>
      <c r="IH43" s="159"/>
      <c r="II43" s="159"/>
      <c r="IJ43" s="182"/>
      <c r="IK43" s="173"/>
      <c r="IL43" s="173"/>
      <c r="IM43" s="185"/>
      <c r="IN43" s="152">
        <f>F43*10%</f>
        <v>0</v>
      </c>
      <c r="IO43" s="152">
        <f>F43+IN43</f>
        <v>0</v>
      </c>
    </row>
    <row r="44" spans="1:249" s="15" customFormat="1" ht="52.5" hidden="1" customHeight="1" thickBot="1" x14ac:dyDescent="0.2">
      <c r="A44" s="153"/>
      <c r="B44" s="154"/>
      <c r="C44" s="154"/>
      <c r="D44" s="155"/>
      <c r="E44" s="156">
        <f t="shared" si="59"/>
        <v>0</v>
      </c>
      <c r="F44" s="169"/>
      <c r="G44" s="141">
        <f>COUNTA(I44:IG44)</f>
        <v>0</v>
      </c>
      <c r="H44" s="142">
        <f>SUM(I44:IG44)</f>
        <v>0</v>
      </c>
      <c r="I44" s="158"/>
      <c r="J44" s="159"/>
      <c r="K44" s="160"/>
      <c r="L44" s="161"/>
      <c r="M44" s="159"/>
      <c r="N44" s="162"/>
      <c r="O44" s="158"/>
      <c r="P44" s="159"/>
      <c r="Q44" s="160"/>
      <c r="R44" s="161"/>
      <c r="S44" s="159"/>
      <c r="T44" s="159"/>
      <c r="U44" s="162"/>
      <c r="V44" s="158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61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62"/>
      <c r="BJ44" s="158"/>
      <c r="BK44" s="159"/>
      <c r="BL44" s="159"/>
      <c r="BM44" s="159"/>
      <c r="BN44" s="159"/>
      <c r="BO44" s="159"/>
      <c r="BP44" s="159"/>
      <c r="BQ44" s="159"/>
      <c r="BR44" s="160"/>
      <c r="BS44" s="174"/>
      <c r="BT44" s="161"/>
      <c r="BU44" s="161"/>
      <c r="BV44" s="161"/>
      <c r="BW44" s="161"/>
      <c r="BX44" s="161"/>
      <c r="BY44" s="161"/>
      <c r="BZ44" s="161"/>
      <c r="CA44" s="161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74"/>
      <c r="CR44" s="174"/>
      <c r="CS44" s="159"/>
      <c r="CT44" s="159"/>
      <c r="CU44" s="174"/>
      <c r="CV44" s="174"/>
      <c r="CW44" s="174"/>
      <c r="CX44" s="175"/>
      <c r="CY44" s="184"/>
      <c r="CZ44" s="174"/>
      <c r="DA44" s="174"/>
      <c r="DB44" s="177"/>
      <c r="DC44" s="177"/>
      <c r="DD44" s="177"/>
      <c r="DE44" s="176"/>
      <c r="DF44" s="176"/>
      <c r="DG44" s="176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8"/>
      <c r="ER44" s="161"/>
      <c r="ES44" s="159"/>
      <c r="ET44" s="159"/>
      <c r="EU44" s="159"/>
      <c r="EV44" s="159"/>
      <c r="EW44" s="159"/>
      <c r="EX44" s="159"/>
      <c r="EY44" s="159"/>
      <c r="EZ44" s="159"/>
      <c r="FA44" s="159"/>
      <c r="FB44" s="159"/>
      <c r="FC44" s="159"/>
      <c r="FD44" s="159"/>
      <c r="FE44" s="159"/>
      <c r="FF44" s="159"/>
      <c r="FG44" s="159"/>
      <c r="FH44" s="159"/>
      <c r="FI44" s="159"/>
      <c r="FJ44" s="159"/>
      <c r="FK44" s="177"/>
      <c r="FL44" s="177"/>
      <c r="FM44" s="177"/>
      <c r="FN44" s="159"/>
      <c r="FO44" s="159"/>
      <c r="FP44" s="159"/>
      <c r="FQ44" s="159"/>
      <c r="FR44" s="159"/>
      <c r="FS44" s="159"/>
      <c r="FT44" s="159"/>
      <c r="FU44" s="159"/>
      <c r="FV44" s="159"/>
      <c r="FW44" s="159"/>
      <c r="FX44" s="159"/>
      <c r="FY44" s="159"/>
      <c r="FZ44" s="159"/>
      <c r="GA44" s="159"/>
      <c r="GB44" s="159"/>
      <c r="GC44" s="159"/>
      <c r="GD44" s="159"/>
      <c r="GE44" s="159"/>
      <c r="GF44" s="159"/>
      <c r="GG44" s="159"/>
      <c r="GH44" s="159"/>
      <c r="GI44" s="159"/>
      <c r="GJ44" s="159"/>
      <c r="GK44" s="162"/>
      <c r="GL44" s="158"/>
      <c r="GM44" s="159"/>
      <c r="GN44" s="159"/>
      <c r="GO44" s="159"/>
      <c r="GP44" s="159"/>
      <c r="GQ44" s="159"/>
      <c r="GR44" s="159"/>
      <c r="GS44" s="159"/>
      <c r="GT44" s="159"/>
      <c r="GU44" s="159"/>
      <c r="GV44" s="159"/>
      <c r="GW44" s="159"/>
      <c r="GX44" s="159"/>
      <c r="GY44" s="159"/>
      <c r="GZ44" s="159"/>
      <c r="HA44" s="159"/>
      <c r="HB44" s="159"/>
      <c r="HC44" s="159"/>
      <c r="HD44" s="159"/>
      <c r="HE44" s="159"/>
      <c r="HF44" s="159"/>
      <c r="HG44" s="159"/>
      <c r="HH44" s="159"/>
      <c r="HI44" s="159"/>
      <c r="HJ44" s="159"/>
      <c r="HK44" s="159"/>
      <c r="HL44" s="159"/>
      <c r="HM44" s="159"/>
      <c r="HN44" s="159"/>
      <c r="HO44" s="159"/>
      <c r="HP44" s="159"/>
      <c r="HQ44" s="159"/>
      <c r="HR44" s="159"/>
      <c r="HS44" s="159"/>
      <c r="HT44" s="159"/>
      <c r="HU44" s="159"/>
      <c r="HV44" s="159"/>
      <c r="HW44" s="159"/>
      <c r="HX44" s="159"/>
      <c r="HY44" s="159"/>
      <c r="HZ44" s="159"/>
      <c r="IA44" s="159"/>
      <c r="IB44" s="159"/>
      <c r="IC44" s="159"/>
      <c r="ID44" s="159"/>
      <c r="IE44" s="159"/>
      <c r="IF44" s="159"/>
      <c r="IG44" s="160"/>
      <c r="IH44" s="159"/>
      <c r="II44" s="159"/>
      <c r="IJ44" s="182"/>
      <c r="IK44" s="173"/>
      <c r="IL44" s="173"/>
      <c r="IM44" s="185"/>
      <c r="IN44" s="152">
        <f>F44*10%</f>
        <v>0</v>
      </c>
      <c r="IO44" s="152">
        <f>F44+IN44</f>
        <v>0</v>
      </c>
    </row>
    <row r="45" spans="1:249" s="15" customFormat="1" ht="52.5" hidden="1" customHeight="1" thickBot="1" x14ac:dyDescent="0.2">
      <c r="A45" s="153"/>
      <c r="B45" s="179"/>
      <c r="C45" s="179"/>
      <c r="D45" s="188"/>
      <c r="E45" s="156">
        <f t="shared" si="59"/>
        <v>0</v>
      </c>
      <c r="F45" s="169"/>
      <c r="G45" s="141">
        <f>COUNTA(I45:IG45)</f>
        <v>0</v>
      </c>
      <c r="H45" s="142">
        <f>SUM(I45:IG45)</f>
        <v>0</v>
      </c>
      <c r="I45" s="158"/>
      <c r="J45" s="159"/>
      <c r="K45" s="160"/>
      <c r="L45" s="161"/>
      <c r="M45" s="159"/>
      <c r="N45" s="162"/>
      <c r="O45" s="158"/>
      <c r="P45" s="159"/>
      <c r="Q45" s="160"/>
      <c r="R45" s="161"/>
      <c r="S45" s="159"/>
      <c r="T45" s="159"/>
      <c r="U45" s="162"/>
      <c r="V45" s="158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60"/>
      <c r="AQ45" s="161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62"/>
      <c r="BJ45" s="158"/>
      <c r="BK45" s="159"/>
      <c r="BL45" s="159"/>
      <c r="BM45" s="159"/>
      <c r="BN45" s="159"/>
      <c r="BO45" s="159"/>
      <c r="BP45" s="159"/>
      <c r="BQ45" s="159"/>
      <c r="BR45" s="160"/>
      <c r="BS45" s="159"/>
      <c r="BT45" s="161"/>
      <c r="BU45" s="161"/>
      <c r="BV45" s="161"/>
      <c r="BW45" s="161"/>
      <c r="BX45" s="161"/>
      <c r="BY45" s="161"/>
      <c r="BZ45" s="161"/>
      <c r="CA45" s="161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62"/>
      <c r="CY45" s="158"/>
      <c r="CZ45" s="159"/>
      <c r="DA45" s="159"/>
      <c r="DB45" s="180"/>
      <c r="DC45" s="180"/>
      <c r="DD45" s="180"/>
      <c r="DE45" s="180"/>
      <c r="DF45" s="180"/>
      <c r="DG45" s="180"/>
      <c r="DH45" s="180"/>
      <c r="DI45" s="180"/>
      <c r="DJ45" s="180"/>
      <c r="DK45" s="180"/>
      <c r="DL45" s="180"/>
      <c r="DM45" s="180"/>
      <c r="DN45" s="180"/>
      <c r="DO45" s="180"/>
      <c r="DP45" s="180"/>
      <c r="DQ45" s="180"/>
      <c r="DR45" s="180"/>
      <c r="DS45" s="180"/>
      <c r="DT45" s="180"/>
      <c r="DU45" s="180"/>
      <c r="DV45" s="180"/>
      <c r="DW45" s="180"/>
      <c r="DX45" s="180"/>
      <c r="DY45" s="180"/>
      <c r="DZ45" s="180"/>
      <c r="EA45" s="180"/>
      <c r="EB45" s="180"/>
      <c r="EC45" s="180"/>
      <c r="ED45" s="180"/>
      <c r="EE45" s="180"/>
      <c r="EF45" s="180"/>
      <c r="EG45" s="180"/>
      <c r="EH45" s="180"/>
      <c r="EI45" s="180"/>
      <c r="EJ45" s="180"/>
      <c r="EK45" s="180"/>
      <c r="EL45" s="180"/>
      <c r="EM45" s="180"/>
      <c r="EN45" s="180"/>
      <c r="EO45" s="180"/>
      <c r="EP45" s="180"/>
      <c r="EQ45" s="181"/>
      <c r="ER45" s="161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80"/>
      <c r="FL45" s="180"/>
      <c r="FM45" s="180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62"/>
      <c r="GL45" s="158"/>
      <c r="GM45" s="159"/>
      <c r="GN45" s="159"/>
      <c r="GO45" s="159"/>
      <c r="GP45" s="159"/>
      <c r="GQ45" s="159"/>
      <c r="GR45" s="159"/>
      <c r="GS45" s="159"/>
      <c r="GT45" s="159"/>
      <c r="GU45" s="159"/>
      <c r="GV45" s="159"/>
      <c r="GW45" s="159"/>
      <c r="GX45" s="159"/>
      <c r="GY45" s="159"/>
      <c r="GZ45" s="159"/>
      <c r="HA45" s="159"/>
      <c r="HB45" s="159"/>
      <c r="HC45" s="159"/>
      <c r="HD45" s="159"/>
      <c r="HE45" s="159"/>
      <c r="HF45" s="159"/>
      <c r="HG45" s="159"/>
      <c r="HH45" s="159"/>
      <c r="HI45" s="159"/>
      <c r="HJ45" s="159"/>
      <c r="HK45" s="159"/>
      <c r="HL45" s="159"/>
      <c r="HM45" s="159"/>
      <c r="HN45" s="159"/>
      <c r="HO45" s="159"/>
      <c r="HP45" s="159"/>
      <c r="HQ45" s="159"/>
      <c r="HR45" s="159"/>
      <c r="HS45" s="159"/>
      <c r="HT45" s="159"/>
      <c r="HU45" s="159"/>
      <c r="HV45" s="159"/>
      <c r="HW45" s="159"/>
      <c r="HX45" s="159"/>
      <c r="HY45" s="159"/>
      <c r="HZ45" s="159"/>
      <c r="IA45" s="159"/>
      <c r="IB45" s="159"/>
      <c r="IC45" s="159"/>
      <c r="ID45" s="159"/>
      <c r="IE45" s="159"/>
      <c r="IF45" s="159"/>
      <c r="IG45" s="160"/>
      <c r="IH45" s="159"/>
      <c r="II45" s="159"/>
      <c r="IJ45" s="182"/>
      <c r="IK45" s="173"/>
      <c r="IL45" s="173"/>
      <c r="IM45" s="185"/>
      <c r="IN45" s="152">
        <f>F45*10%</f>
        <v>0</v>
      </c>
      <c r="IO45" s="152">
        <f>F45+IN45</f>
        <v>0</v>
      </c>
    </row>
    <row r="46" spans="1:249" s="15" customFormat="1" ht="52.5" hidden="1" customHeight="1" thickBot="1" x14ac:dyDescent="0.2">
      <c r="A46" s="153"/>
      <c r="B46" s="167"/>
      <c r="C46" s="167"/>
      <c r="D46" s="168"/>
      <c r="E46" s="156">
        <f t="shared" si="59"/>
        <v>0</v>
      </c>
      <c r="F46" s="169"/>
      <c r="G46" s="141">
        <f>COUNTA(I46:IG46)</f>
        <v>0</v>
      </c>
      <c r="H46" s="142">
        <f>SUM(I46:IG46)</f>
        <v>0</v>
      </c>
      <c r="I46" s="158"/>
      <c r="J46" s="159"/>
      <c r="K46" s="160"/>
      <c r="L46" s="161"/>
      <c r="M46" s="159"/>
      <c r="N46" s="162"/>
      <c r="O46" s="158"/>
      <c r="P46" s="159"/>
      <c r="Q46" s="160"/>
      <c r="R46" s="161"/>
      <c r="S46" s="159"/>
      <c r="T46" s="159"/>
      <c r="U46" s="162"/>
      <c r="V46" s="158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60"/>
      <c r="AQ46" s="161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62"/>
      <c r="BJ46" s="158"/>
      <c r="BK46" s="159"/>
      <c r="BL46" s="159"/>
      <c r="BM46" s="159"/>
      <c r="BN46" s="159"/>
      <c r="BO46" s="159"/>
      <c r="BP46" s="159"/>
      <c r="BQ46" s="159"/>
      <c r="BR46" s="160"/>
      <c r="BS46" s="159"/>
      <c r="BT46" s="161"/>
      <c r="BU46" s="161"/>
      <c r="BV46" s="161"/>
      <c r="BW46" s="161"/>
      <c r="BX46" s="161"/>
      <c r="BY46" s="161"/>
      <c r="BZ46" s="161"/>
      <c r="CA46" s="161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62"/>
      <c r="CY46" s="158"/>
      <c r="CZ46" s="159"/>
      <c r="DA46" s="159"/>
      <c r="DB46" s="180"/>
      <c r="DC46" s="180"/>
      <c r="DD46" s="180"/>
      <c r="DE46" s="180"/>
      <c r="DF46" s="180"/>
      <c r="DG46" s="180"/>
      <c r="DH46" s="180"/>
      <c r="DI46" s="180"/>
      <c r="DJ46" s="180"/>
      <c r="DK46" s="180"/>
      <c r="DL46" s="180"/>
      <c r="DM46" s="180"/>
      <c r="DN46" s="180"/>
      <c r="DO46" s="180"/>
      <c r="DP46" s="180"/>
      <c r="DQ46" s="180"/>
      <c r="DR46" s="180"/>
      <c r="DS46" s="180"/>
      <c r="DT46" s="180"/>
      <c r="DU46" s="180"/>
      <c r="DV46" s="180"/>
      <c r="DW46" s="180"/>
      <c r="DX46" s="180"/>
      <c r="DY46" s="180"/>
      <c r="DZ46" s="180"/>
      <c r="EA46" s="180"/>
      <c r="EB46" s="180"/>
      <c r="EC46" s="180"/>
      <c r="ED46" s="180"/>
      <c r="EE46" s="180"/>
      <c r="EF46" s="180"/>
      <c r="EG46" s="180"/>
      <c r="EH46" s="180"/>
      <c r="EI46" s="180"/>
      <c r="EJ46" s="180"/>
      <c r="EK46" s="180"/>
      <c r="EL46" s="180"/>
      <c r="EM46" s="180"/>
      <c r="EN46" s="180"/>
      <c r="EO46" s="180"/>
      <c r="EP46" s="180"/>
      <c r="EQ46" s="181"/>
      <c r="ER46" s="161"/>
      <c r="ES46" s="159"/>
      <c r="ET46" s="159"/>
      <c r="EU46" s="159"/>
      <c r="EV46" s="159"/>
      <c r="EW46" s="159"/>
      <c r="EX46" s="159"/>
      <c r="EY46" s="159"/>
      <c r="EZ46" s="159"/>
      <c r="FA46" s="159"/>
      <c r="FB46" s="159"/>
      <c r="FC46" s="159"/>
      <c r="FD46" s="159"/>
      <c r="FE46" s="159"/>
      <c r="FF46" s="159"/>
      <c r="FG46" s="159"/>
      <c r="FH46" s="159"/>
      <c r="FI46" s="159"/>
      <c r="FJ46" s="159"/>
      <c r="FK46" s="180"/>
      <c r="FL46" s="180"/>
      <c r="FM46" s="180"/>
      <c r="FN46" s="159"/>
      <c r="FO46" s="159"/>
      <c r="FP46" s="159"/>
      <c r="FQ46" s="159"/>
      <c r="FR46" s="159"/>
      <c r="FS46" s="159"/>
      <c r="FT46" s="159"/>
      <c r="FU46" s="159"/>
      <c r="FV46" s="159"/>
      <c r="FW46" s="159"/>
      <c r="FX46" s="159"/>
      <c r="FY46" s="159"/>
      <c r="FZ46" s="159"/>
      <c r="GA46" s="159"/>
      <c r="GB46" s="159"/>
      <c r="GC46" s="159"/>
      <c r="GD46" s="159"/>
      <c r="GE46" s="159"/>
      <c r="GF46" s="159"/>
      <c r="GG46" s="159"/>
      <c r="GH46" s="159"/>
      <c r="GI46" s="159"/>
      <c r="GJ46" s="159"/>
      <c r="GK46" s="162"/>
      <c r="GL46" s="158"/>
      <c r="GM46" s="159"/>
      <c r="GN46" s="159"/>
      <c r="GO46" s="159"/>
      <c r="GP46" s="159"/>
      <c r="GQ46" s="159"/>
      <c r="GR46" s="159"/>
      <c r="GS46" s="159"/>
      <c r="GT46" s="159"/>
      <c r="GU46" s="159"/>
      <c r="GV46" s="159"/>
      <c r="GW46" s="159"/>
      <c r="GX46" s="159"/>
      <c r="GY46" s="159"/>
      <c r="GZ46" s="159"/>
      <c r="HA46" s="159"/>
      <c r="HB46" s="159"/>
      <c r="HC46" s="159"/>
      <c r="HD46" s="159"/>
      <c r="HE46" s="159"/>
      <c r="HF46" s="159"/>
      <c r="HG46" s="159"/>
      <c r="HH46" s="159"/>
      <c r="HI46" s="159"/>
      <c r="HJ46" s="159"/>
      <c r="HK46" s="159"/>
      <c r="HL46" s="159"/>
      <c r="HM46" s="159"/>
      <c r="HN46" s="159"/>
      <c r="HO46" s="159"/>
      <c r="HP46" s="159"/>
      <c r="HQ46" s="159"/>
      <c r="HR46" s="159"/>
      <c r="HS46" s="159"/>
      <c r="HT46" s="159"/>
      <c r="HU46" s="159"/>
      <c r="HV46" s="159"/>
      <c r="HW46" s="159"/>
      <c r="HX46" s="159"/>
      <c r="HY46" s="159"/>
      <c r="HZ46" s="159"/>
      <c r="IA46" s="159"/>
      <c r="IB46" s="159"/>
      <c r="IC46" s="159"/>
      <c r="ID46" s="159"/>
      <c r="IE46" s="159"/>
      <c r="IF46" s="159"/>
      <c r="IG46" s="160"/>
      <c r="IH46" s="159"/>
      <c r="II46" s="159"/>
      <c r="IJ46" s="182"/>
      <c r="IK46" s="173"/>
      <c r="IL46" s="173"/>
      <c r="IM46" s="185"/>
      <c r="IN46" s="152">
        <f>F46*10%</f>
        <v>0</v>
      </c>
      <c r="IO46" s="152">
        <f>F46+IN46</f>
        <v>0</v>
      </c>
    </row>
    <row r="47" spans="1:249" s="15" customFormat="1" ht="52.5" hidden="1" customHeight="1" thickBot="1" x14ac:dyDescent="0.2">
      <c r="A47" s="153"/>
      <c r="B47" s="167"/>
      <c r="C47" s="167"/>
      <c r="D47" s="168"/>
      <c r="E47" s="156">
        <f t="shared" si="59"/>
        <v>0</v>
      </c>
      <c r="F47" s="169"/>
      <c r="G47" s="141">
        <f>COUNTA(I47:IG47)</f>
        <v>0</v>
      </c>
      <c r="H47" s="142">
        <f>SUM(I47:IG47)</f>
        <v>0</v>
      </c>
      <c r="I47" s="158"/>
      <c r="J47" s="159"/>
      <c r="K47" s="160"/>
      <c r="L47" s="161"/>
      <c r="M47" s="159"/>
      <c r="N47" s="162"/>
      <c r="O47" s="158"/>
      <c r="P47" s="159"/>
      <c r="Q47" s="160"/>
      <c r="R47" s="161"/>
      <c r="S47" s="159"/>
      <c r="T47" s="159"/>
      <c r="U47" s="162"/>
      <c r="V47" s="158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60"/>
      <c r="AQ47" s="161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62"/>
      <c r="BJ47" s="158"/>
      <c r="BK47" s="159"/>
      <c r="BL47" s="159"/>
      <c r="BM47" s="159"/>
      <c r="BN47" s="159"/>
      <c r="BO47" s="159"/>
      <c r="BP47" s="159"/>
      <c r="BQ47" s="159"/>
      <c r="BR47" s="160"/>
      <c r="BS47" s="159"/>
      <c r="BT47" s="161"/>
      <c r="BU47" s="161"/>
      <c r="BV47" s="161"/>
      <c r="BW47" s="161"/>
      <c r="BX47" s="161"/>
      <c r="BY47" s="161"/>
      <c r="BZ47" s="161"/>
      <c r="CA47" s="161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62"/>
      <c r="CY47" s="158"/>
      <c r="CZ47" s="159"/>
      <c r="DA47" s="159"/>
      <c r="DB47" s="180"/>
      <c r="DC47" s="180"/>
      <c r="DD47" s="180"/>
      <c r="DE47" s="180"/>
      <c r="DF47" s="180"/>
      <c r="DG47" s="180"/>
      <c r="DH47" s="180"/>
      <c r="DI47" s="180"/>
      <c r="DJ47" s="180"/>
      <c r="DK47" s="180"/>
      <c r="DL47" s="180"/>
      <c r="DM47" s="180"/>
      <c r="DN47" s="180"/>
      <c r="DO47" s="180"/>
      <c r="DP47" s="180"/>
      <c r="DQ47" s="180"/>
      <c r="DR47" s="180"/>
      <c r="DS47" s="180"/>
      <c r="DT47" s="180"/>
      <c r="DU47" s="180"/>
      <c r="DV47" s="180"/>
      <c r="DW47" s="180"/>
      <c r="DX47" s="180"/>
      <c r="DY47" s="180"/>
      <c r="DZ47" s="180"/>
      <c r="EA47" s="180"/>
      <c r="EB47" s="180"/>
      <c r="EC47" s="180"/>
      <c r="ED47" s="180"/>
      <c r="EE47" s="180"/>
      <c r="EF47" s="180"/>
      <c r="EG47" s="180"/>
      <c r="EH47" s="180"/>
      <c r="EI47" s="180"/>
      <c r="EJ47" s="180"/>
      <c r="EK47" s="180"/>
      <c r="EL47" s="180"/>
      <c r="EM47" s="180"/>
      <c r="EN47" s="180"/>
      <c r="EO47" s="180"/>
      <c r="EP47" s="180"/>
      <c r="EQ47" s="181"/>
      <c r="ER47" s="161"/>
      <c r="ES47" s="159"/>
      <c r="ET47" s="159"/>
      <c r="EU47" s="159"/>
      <c r="EV47" s="159"/>
      <c r="EW47" s="159"/>
      <c r="EX47" s="159"/>
      <c r="EY47" s="159"/>
      <c r="EZ47" s="159"/>
      <c r="FA47" s="159"/>
      <c r="FB47" s="159"/>
      <c r="FC47" s="159"/>
      <c r="FD47" s="159"/>
      <c r="FE47" s="159"/>
      <c r="FF47" s="159"/>
      <c r="FG47" s="159"/>
      <c r="FH47" s="159"/>
      <c r="FI47" s="159"/>
      <c r="FJ47" s="159"/>
      <c r="FK47" s="180"/>
      <c r="FL47" s="180"/>
      <c r="FM47" s="180"/>
      <c r="FN47" s="159"/>
      <c r="FO47" s="159"/>
      <c r="FP47" s="159"/>
      <c r="FQ47" s="159"/>
      <c r="FR47" s="159"/>
      <c r="FS47" s="159"/>
      <c r="FT47" s="159"/>
      <c r="FU47" s="159"/>
      <c r="FV47" s="159"/>
      <c r="FW47" s="159"/>
      <c r="FX47" s="159"/>
      <c r="FY47" s="159"/>
      <c r="FZ47" s="159"/>
      <c r="GA47" s="159"/>
      <c r="GB47" s="159"/>
      <c r="GC47" s="159"/>
      <c r="GD47" s="159"/>
      <c r="GE47" s="159"/>
      <c r="GF47" s="159"/>
      <c r="GG47" s="159"/>
      <c r="GH47" s="159"/>
      <c r="GI47" s="159"/>
      <c r="GJ47" s="159"/>
      <c r="GK47" s="162"/>
      <c r="GL47" s="158"/>
      <c r="GM47" s="159"/>
      <c r="GN47" s="159"/>
      <c r="GO47" s="159"/>
      <c r="GP47" s="159"/>
      <c r="GQ47" s="159"/>
      <c r="GR47" s="159"/>
      <c r="GS47" s="159"/>
      <c r="GT47" s="159"/>
      <c r="GU47" s="159"/>
      <c r="GV47" s="159"/>
      <c r="GW47" s="159"/>
      <c r="GX47" s="159"/>
      <c r="GY47" s="159"/>
      <c r="GZ47" s="159"/>
      <c r="HA47" s="159"/>
      <c r="HB47" s="159"/>
      <c r="HC47" s="159"/>
      <c r="HD47" s="159"/>
      <c r="HE47" s="159"/>
      <c r="HF47" s="159"/>
      <c r="HG47" s="159"/>
      <c r="HH47" s="159"/>
      <c r="HI47" s="159"/>
      <c r="HJ47" s="159"/>
      <c r="HK47" s="159"/>
      <c r="HL47" s="159"/>
      <c r="HM47" s="159"/>
      <c r="HN47" s="159"/>
      <c r="HO47" s="159"/>
      <c r="HP47" s="159"/>
      <c r="HQ47" s="159"/>
      <c r="HR47" s="159"/>
      <c r="HS47" s="159"/>
      <c r="HT47" s="159"/>
      <c r="HU47" s="159"/>
      <c r="HV47" s="159"/>
      <c r="HW47" s="159"/>
      <c r="HX47" s="159"/>
      <c r="HY47" s="159"/>
      <c r="HZ47" s="159"/>
      <c r="IA47" s="159"/>
      <c r="IB47" s="159"/>
      <c r="IC47" s="159"/>
      <c r="ID47" s="159"/>
      <c r="IE47" s="159"/>
      <c r="IF47" s="159"/>
      <c r="IG47" s="160"/>
      <c r="IH47" s="159"/>
      <c r="II47" s="159"/>
      <c r="IJ47" s="182"/>
      <c r="IK47" s="173"/>
      <c r="IL47" s="173"/>
      <c r="IM47" s="185"/>
      <c r="IN47" s="152">
        <f>F47*10%</f>
        <v>0</v>
      </c>
      <c r="IO47" s="152">
        <f>F47+IN47</f>
        <v>0</v>
      </c>
    </row>
    <row r="48" spans="1:249" ht="52.5" hidden="1" customHeight="1" thickBot="1" x14ac:dyDescent="0.35">
      <c r="A48" s="153"/>
      <c r="B48" s="167"/>
      <c r="C48" s="167"/>
      <c r="D48" s="168"/>
      <c r="E48" s="156">
        <f t="shared" si="59"/>
        <v>0</v>
      </c>
      <c r="F48" s="169"/>
      <c r="G48" s="141">
        <f>COUNTA(I48:IG48)</f>
        <v>0</v>
      </c>
      <c r="H48" s="142">
        <f>SUM(I48:IG48)</f>
        <v>0</v>
      </c>
      <c r="I48" s="158"/>
      <c r="J48" s="159"/>
      <c r="K48" s="160"/>
      <c r="L48" s="161"/>
      <c r="M48" s="159"/>
      <c r="N48" s="162"/>
      <c r="O48" s="158"/>
      <c r="P48" s="159"/>
      <c r="Q48" s="160"/>
      <c r="R48" s="161"/>
      <c r="S48" s="159"/>
      <c r="T48" s="159"/>
      <c r="U48" s="162"/>
      <c r="V48" s="158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60"/>
      <c r="AQ48" s="161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62"/>
      <c r="BJ48" s="158"/>
      <c r="BK48" s="159"/>
      <c r="BL48" s="159"/>
      <c r="BM48" s="159"/>
      <c r="BN48" s="159"/>
      <c r="BO48" s="159"/>
      <c r="BP48" s="159"/>
      <c r="BQ48" s="159"/>
      <c r="BR48" s="160"/>
      <c r="BS48" s="180"/>
      <c r="BT48" s="161"/>
      <c r="BU48" s="161"/>
      <c r="BV48" s="161"/>
      <c r="BW48" s="161"/>
      <c r="BX48" s="161"/>
      <c r="BY48" s="161"/>
      <c r="BZ48" s="161"/>
      <c r="CA48" s="161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80"/>
      <c r="CR48" s="180"/>
      <c r="CS48" s="159"/>
      <c r="CT48" s="159"/>
      <c r="CU48" s="180"/>
      <c r="CV48" s="180"/>
      <c r="CW48" s="180"/>
      <c r="CX48" s="186"/>
      <c r="CY48" s="187"/>
      <c r="CZ48" s="180"/>
      <c r="DA48" s="180"/>
      <c r="DB48" s="159"/>
      <c r="DC48" s="159"/>
      <c r="DD48" s="159"/>
      <c r="DE48" s="164"/>
      <c r="DF48" s="164"/>
      <c r="DG48" s="164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59"/>
      <c r="EG48" s="159"/>
      <c r="EH48" s="159"/>
      <c r="EI48" s="159"/>
      <c r="EJ48" s="159"/>
      <c r="EK48" s="159"/>
      <c r="EL48" s="159"/>
      <c r="EM48" s="159"/>
      <c r="EN48" s="159"/>
      <c r="EO48" s="159"/>
      <c r="EP48" s="159"/>
      <c r="EQ48" s="160"/>
      <c r="ER48" s="161"/>
      <c r="ES48" s="159"/>
      <c r="ET48" s="159"/>
      <c r="EU48" s="159"/>
      <c r="EV48" s="159"/>
      <c r="EW48" s="159"/>
      <c r="EX48" s="159"/>
      <c r="EY48" s="159"/>
      <c r="EZ48" s="159"/>
      <c r="FA48" s="159"/>
      <c r="FB48" s="159"/>
      <c r="FC48" s="159"/>
      <c r="FD48" s="159"/>
      <c r="FE48" s="159"/>
      <c r="FF48" s="159"/>
      <c r="FG48" s="159"/>
      <c r="FH48" s="159"/>
      <c r="FI48" s="159"/>
      <c r="FJ48" s="159"/>
      <c r="FK48" s="159"/>
      <c r="FL48" s="159"/>
      <c r="FM48" s="159"/>
      <c r="FN48" s="159"/>
      <c r="FO48" s="159"/>
      <c r="FP48" s="159"/>
      <c r="FQ48" s="159"/>
      <c r="FR48" s="159"/>
      <c r="FS48" s="159"/>
      <c r="FT48" s="159"/>
      <c r="FU48" s="159"/>
      <c r="FV48" s="159"/>
      <c r="FW48" s="159"/>
      <c r="FX48" s="159"/>
      <c r="FY48" s="159"/>
      <c r="FZ48" s="159"/>
      <c r="GA48" s="159"/>
      <c r="GB48" s="159"/>
      <c r="GC48" s="159"/>
      <c r="GD48" s="159"/>
      <c r="GE48" s="159"/>
      <c r="GF48" s="159"/>
      <c r="GG48" s="159"/>
      <c r="GH48" s="159"/>
      <c r="GI48" s="159"/>
      <c r="GJ48" s="159"/>
      <c r="GK48" s="162"/>
      <c r="GL48" s="158"/>
      <c r="GM48" s="159"/>
      <c r="GN48" s="159"/>
      <c r="GO48" s="159"/>
      <c r="GP48" s="159"/>
      <c r="GQ48" s="159"/>
      <c r="GR48" s="159"/>
      <c r="GS48" s="159"/>
      <c r="GT48" s="159"/>
      <c r="GU48" s="159"/>
      <c r="GV48" s="159"/>
      <c r="GW48" s="159"/>
      <c r="GX48" s="159"/>
      <c r="GY48" s="159"/>
      <c r="GZ48" s="159"/>
      <c r="HA48" s="159"/>
      <c r="HB48" s="159"/>
      <c r="HC48" s="159"/>
      <c r="HD48" s="159"/>
      <c r="HE48" s="159"/>
      <c r="HF48" s="159"/>
      <c r="HG48" s="159"/>
      <c r="HH48" s="159"/>
      <c r="HI48" s="159"/>
      <c r="HJ48" s="159"/>
      <c r="HK48" s="159"/>
      <c r="HL48" s="159"/>
      <c r="HM48" s="159"/>
      <c r="HN48" s="159"/>
      <c r="HO48" s="159"/>
      <c r="HP48" s="159"/>
      <c r="HQ48" s="159"/>
      <c r="HR48" s="159"/>
      <c r="HS48" s="159"/>
      <c r="HT48" s="159"/>
      <c r="HU48" s="159"/>
      <c r="HV48" s="159"/>
      <c r="HW48" s="159"/>
      <c r="HX48" s="159"/>
      <c r="HY48" s="159"/>
      <c r="HZ48" s="159"/>
      <c r="IA48" s="159"/>
      <c r="IB48" s="159"/>
      <c r="IC48" s="159"/>
      <c r="ID48" s="159"/>
      <c r="IE48" s="159"/>
      <c r="IF48" s="159"/>
      <c r="IG48" s="160"/>
      <c r="IH48" s="159"/>
      <c r="II48" s="159"/>
      <c r="IJ48" s="182"/>
      <c r="IK48" s="173"/>
      <c r="IL48" s="173"/>
      <c r="IM48" s="185"/>
      <c r="IN48" s="152">
        <f>F48*10%</f>
        <v>0</v>
      </c>
      <c r="IO48" s="152">
        <f>F48+IN48</f>
        <v>0</v>
      </c>
    </row>
    <row r="49" spans="1:249" ht="52.5" hidden="1" customHeight="1" thickBot="1" x14ac:dyDescent="0.35">
      <c r="A49" s="153"/>
      <c r="B49" s="179"/>
      <c r="C49" s="179"/>
      <c r="D49" s="188"/>
      <c r="E49" s="156">
        <f t="shared" si="59"/>
        <v>0</v>
      </c>
      <c r="F49" s="169"/>
      <c r="G49" s="141">
        <f>COUNTA(I49:IG49)</f>
        <v>0</v>
      </c>
      <c r="H49" s="142">
        <f>SUM(I49:IG49)</f>
        <v>0</v>
      </c>
      <c r="I49" s="158"/>
      <c r="J49" s="159"/>
      <c r="K49" s="160"/>
      <c r="L49" s="161"/>
      <c r="M49" s="159"/>
      <c r="N49" s="162"/>
      <c r="O49" s="158"/>
      <c r="P49" s="159"/>
      <c r="Q49" s="160"/>
      <c r="R49" s="161"/>
      <c r="S49" s="159"/>
      <c r="T49" s="159"/>
      <c r="U49" s="162"/>
      <c r="V49" s="158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60"/>
      <c r="AQ49" s="161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62"/>
      <c r="BJ49" s="158"/>
      <c r="BK49" s="159"/>
      <c r="BL49" s="159"/>
      <c r="BM49" s="159"/>
      <c r="BN49" s="159"/>
      <c r="BO49" s="159"/>
      <c r="BP49" s="159"/>
      <c r="BQ49" s="159"/>
      <c r="BR49" s="160"/>
      <c r="BS49" s="159"/>
      <c r="BT49" s="161"/>
      <c r="BU49" s="161"/>
      <c r="BV49" s="161"/>
      <c r="BW49" s="161"/>
      <c r="BX49" s="161"/>
      <c r="BY49" s="161"/>
      <c r="BZ49" s="161"/>
      <c r="CA49" s="161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62"/>
      <c r="CY49" s="158"/>
      <c r="CZ49" s="159"/>
      <c r="DA49" s="159"/>
      <c r="DB49" s="180"/>
      <c r="DC49" s="180"/>
      <c r="DD49" s="180"/>
      <c r="DE49" s="180"/>
      <c r="DF49" s="180"/>
      <c r="DG49" s="180"/>
      <c r="DH49" s="180"/>
      <c r="DI49" s="180"/>
      <c r="DJ49" s="180"/>
      <c r="DK49" s="180"/>
      <c r="DL49" s="180"/>
      <c r="DM49" s="180"/>
      <c r="DN49" s="180"/>
      <c r="DO49" s="180"/>
      <c r="DP49" s="180"/>
      <c r="DQ49" s="180"/>
      <c r="DR49" s="180"/>
      <c r="DS49" s="180"/>
      <c r="DT49" s="180"/>
      <c r="DU49" s="180"/>
      <c r="DV49" s="180"/>
      <c r="DW49" s="180"/>
      <c r="DX49" s="180"/>
      <c r="DY49" s="180"/>
      <c r="DZ49" s="180"/>
      <c r="EA49" s="180"/>
      <c r="EB49" s="180"/>
      <c r="EC49" s="180"/>
      <c r="ED49" s="180"/>
      <c r="EE49" s="180"/>
      <c r="EF49" s="180"/>
      <c r="EG49" s="180"/>
      <c r="EH49" s="180"/>
      <c r="EI49" s="180"/>
      <c r="EJ49" s="180"/>
      <c r="EK49" s="180"/>
      <c r="EL49" s="180"/>
      <c r="EM49" s="180"/>
      <c r="EN49" s="180"/>
      <c r="EO49" s="180"/>
      <c r="EP49" s="180"/>
      <c r="EQ49" s="181"/>
      <c r="ER49" s="161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80"/>
      <c r="FL49" s="180"/>
      <c r="FM49" s="180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62"/>
      <c r="GL49" s="158"/>
      <c r="GM49" s="159"/>
      <c r="GN49" s="159"/>
      <c r="GO49" s="159"/>
      <c r="GP49" s="159"/>
      <c r="GQ49" s="159"/>
      <c r="GR49" s="159"/>
      <c r="GS49" s="159"/>
      <c r="GT49" s="159"/>
      <c r="GU49" s="159"/>
      <c r="GV49" s="159"/>
      <c r="GW49" s="159"/>
      <c r="GX49" s="159"/>
      <c r="GY49" s="159"/>
      <c r="GZ49" s="159"/>
      <c r="HA49" s="159"/>
      <c r="HB49" s="159"/>
      <c r="HC49" s="159"/>
      <c r="HD49" s="159"/>
      <c r="HE49" s="159"/>
      <c r="HF49" s="159"/>
      <c r="HG49" s="159"/>
      <c r="HH49" s="159"/>
      <c r="HI49" s="159"/>
      <c r="HJ49" s="159"/>
      <c r="HK49" s="159"/>
      <c r="HL49" s="159"/>
      <c r="HM49" s="159"/>
      <c r="HN49" s="159"/>
      <c r="HO49" s="159"/>
      <c r="HP49" s="159"/>
      <c r="HQ49" s="159"/>
      <c r="HR49" s="159"/>
      <c r="HS49" s="159"/>
      <c r="HT49" s="159"/>
      <c r="HU49" s="159"/>
      <c r="HV49" s="159"/>
      <c r="HW49" s="159"/>
      <c r="HX49" s="159"/>
      <c r="HY49" s="159"/>
      <c r="HZ49" s="159"/>
      <c r="IA49" s="159"/>
      <c r="IB49" s="159"/>
      <c r="IC49" s="159"/>
      <c r="ID49" s="159"/>
      <c r="IE49" s="159"/>
      <c r="IF49" s="159"/>
      <c r="IG49" s="160"/>
      <c r="IH49" s="159"/>
      <c r="II49" s="159"/>
      <c r="IJ49" s="182"/>
      <c r="IK49" s="173"/>
      <c r="IL49" s="173"/>
      <c r="IM49" s="185"/>
      <c r="IN49" s="152">
        <f>F49*10%</f>
        <v>0</v>
      </c>
      <c r="IO49" s="152">
        <f>F49+IN49</f>
        <v>0</v>
      </c>
    </row>
    <row r="50" spans="1:249" ht="52.5" hidden="1" customHeight="1" thickBot="1" x14ac:dyDescent="0.35">
      <c r="A50" s="153"/>
      <c r="B50" s="167"/>
      <c r="C50" s="154"/>
      <c r="D50" s="168"/>
      <c r="E50" s="156">
        <f t="shared" si="59"/>
        <v>0</v>
      </c>
      <c r="F50" s="169"/>
      <c r="G50" s="141">
        <f>COUNTA(I50:IG50)</f>
        <v>0</v>
      </c>
      <c r="H50" s="142">
        <f>SUM(I50:IG50)</f>
        <v>0</v>
      </c>
      <c r="I50" s="158"/>
      <c r="J50" s="159"/>
      <c r="K50" s="160"/>
      <c r="L50" s="161"/>
      <c r="M50" s="159"/>
      <c r="N50" s="162"/>
      <c r="O50" s="158"/>
      <c r="P50" s="159"/>
      <c r="Q50" s="160"/>
      <c r="R50" s="161"/>
      <c r="S50" s="159"/>
      <c r="T50" s="159"/>
      <c r="U50" s="162"/>
      <c r="V50" s="158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60"/>
      <c r="AQ50" s="161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62"/>
      <c r="BJ50" s="158"/>
      <c r="BK50" s="159"/>
      <c r="BL50" s="159"/>
      <c r="BM50" s="159"/>
      <c r="BN50" s="159"/>
      <c r="BO50" s="159"/>
      <c r="BP50" s="159"/>
      <c r="BQ50" s="159"/>
      <c r="BR50" s="160"/>
      <c r="BS50" s="159"/>
      <c r="BT50" s="161"/>
      <c r="BU50" s="161"/>
      <c r="BV50" s="161"/>
      <c r="BW50" s="161"/>
      <c r="BX50" s="161"/>
      <c r="BY50" s="161"/>
      <c r="BZ50" s="161"/>
      <c r="CA50" s="161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62"/>
      <c r="CY50" s="158"/>
      <c r="CZ50" s="159"/>
      <c r="DA50" s="159"/>
      <c r="DB50" s="180"/>
      <c r="DC50" s="180"/>
      <c r="DD50" s="180"/>
      <c r="DE50" s="180"/>
      <c r="DF50" s="180"/>
      <c r="DG50" s="180"/>
      <c r="DH50" s="180"/>
      <c r="DI50" s="180"/>
      <c r="DJ50" s="180"/>
      <c r="DK50" s="180"/>
      <c r="DL50" s="180"/>
      <c r="DM50" s="180"/>
      <c r="DN50" s="180"/>
      <c r="DO50" s="180"/>
      <c r="DP50" s="180"/>
      <c r="DQ50" s="180"/>
      <c r="DR50" s="180"/>
      <c r="DS50" s="180"/>
      <c r="DT50" s="180"/>
      <c r="DU50" s="180"/>
      <c r="DV50" s="180"/>
      <c r="DW50" s="180"/>
      <c r="DX50" s="180"/>
      <c r="DY50" s="180"/>
      <c r="DZ50" s="180"/>
      <c r="EA50" s="180"/>
      <c r="EB50" s="180"/>
      <c r="EC50" s="180"/>
      <c r="ED50" s="180"/>
      <c r="EE50" s="180"/>
      <c r="EF50" s="180"/>
      <c r="EG50" s="180"/>
      <c r="EH50" s="180"/>
      <c r="EI50" s="180"/>
      <c r="EJ50" s="180"/>
      <c r="EK50" s="180"/>
      <c r="EL50" s="180"/>
      <c r="EM50" s="180"/>
      <c r="EN50" s="180"/>
      <c r="EO50" s="180"/>
      <c r="EP50" s="180"/>
      <c r="EQ50" s="181"/>
      <c r="ER50" s="161"/>
      <c r="ES50" s="159"/>
      <c r="ET50" s="159"/>
      <c r="EU50" s="159"/>
      <c r="EV50" s="159"/>
      <c r="EW50" s="159"/>
      <c r="EX50" s="159"/>
      <c r="EY50" s="159"/>
      <c r="EZ50" s="159"/>
      <c r="FA50" s="159"/>
      <c r="FB50" s="159"/>
      <c r="FC50" s="159"/>
      <c r="FD50" s="159"/>
      <c r="FE50" s="159"/>
      <c r="FF50" s="159"/>
      <c r="FG50" s="159"/>
      <c r="FH50" s="159"/>
      <c r="FI50" s="159"/>
      <c r="FJ50" s="159"/>
      <c r="FK50" s="180"/>
      <c r="FL50" s="180"/>
      <c r="FM50" s="180"/>
      <c r="FN50" s="159"/>
      <c r="FO50" s="159"/>
      <c r="FP50" s="159"/>
      <c r="FQ50" s="159"/>
      <c r="FR50" s="159"/>
      <c r="FS50" s="159"/>
      <c r="FT50" s="159"/>
      <c r="FU50" s="159"/>
      <c r="FV50" s="159"/>
      <c r="FW50" s="159"/>
      <c r="FX50" s="159"/>
      <c r="FY50" s="159"/>
      <c r="FZ50" s="159"/>
      <c r="GA50" s="159"/>
      <c r="GB50" s="159"/>
      <c r="GC50" s="159"/>
      <c r="GD50" s="159"/>
      <c r="GE50" s="159"/>
      <c r="GF50" s="159"/>
      <c r="GG50" s="159"/>
      <c r="GH50" s="159"/>
      <c r="GI50" s="159"/>
      <c r="GJ50" s="159"/>
      <c r="GK50" s="162"/>
      <c r="GL50" s="158"/>
      <c r="GM50" s="159"/>
      <c r="GN50" s="159"/>
      <c r="GO50" s="159"/>
      <c r="GP50" s="159"/>
      <c r="GQ50" s="159"/>
      <c r="GR50" s="159"/>
      <c r="GS50" s="159"/>
      <c r="GT50" s="159"/>
      <c r="GU50" s="159"/>
      <c r="GV50" s="159"/>
      <c r="GW50" s="159"/>
      <c r="GX50" s="159"/>
      <c r="GY50" s="159"/>
      <c r="GZ50" s="159"/>
      <c r="HA50" s="159"/>
      <c r="HB50" s="159"/>
      <c r="HC50" s="159"/>
      <c r="HD50" s="159"/>
      <c r="HE50" s="159"/>
      <c r="HF50" s="159"/>
      <c r="HG50" s="159"/>
      <c r="HH50" s="159"/>
      <c r="HI50" s="159"/>
      <c r="HJ50" s="159"/>
      <c r="HK50" s="159"/>
      <c r="HL50" s="159"/>
      <c r="HM50" s="159"/>
      <c r="HN50" s="159"/>
      <c r="HO50" s="159"/>
      <c r="HP50" s="159"/>
      <c r="HQ50" s="159"/>
      <c r="HR50" s="159"/>
      <c r="HS50" s="159"/>
      <c r="HT50" s="159"/>
      <c r="HU50" s="159"/>
      <c r="HV50" s="159"/>
      <c r="HW50" s="159"/>
      <c r="HX50" s="159"/>
      <c r="HY50" s="159"/>
      <c r="HZ50" s="159"/>
      <c r="IA50" s="159"/>
      <c r="IB50" s="159"/>
      <c r="IC50" s="159"/>
      <c r="ID50" s="159"/>
      <c r="IE50" s="159"/>
      <c r="IF50" s="159"/>
      <c r="IG50" s="160"/>
      <c r="IH50" s="159"/>
      <c r="II50" s="159"/>
      <c r="IJ50" s="182"/>
      <c r="IK50" s="173"/>
      <c r="IL50" s="173"/>
      <c r="IM50" s="185"/>
      <c r="IN50" s="152">
        <f>F50*10%</f>
        <v>0</v>
      </c>
      <c r="IO50" s="152">
        <f>F50+IN50</f>
        <v>0</v>
      </c>
    </row>
    <row r="51" spans="1:249" ht="52.5" hidden="1" customHeight="1" thickBot="1" x14ac:dyDescent="0.35">
      <c r="A51" s="153"/>
      <c r="B51" s="167"/>
      <c r="C51" s="167"/>
      <c r="D51" s="168"/>
      <c r="E51" s="156">
        <f t="shared" si="59"/>
        <v>0</v>
      </c>
      <c r="F51" s="169"/>
      <c r="G51" s="141">
        <f>COUNTA(I51:IG51)</f>
        <v>0</v>
      </c>
      <c r="H51" s="142">
        <f>SUM(I51:IG51)</f>
        <v>0</v>
      </c>
      <c r="I51" s="158"/>
      <c r="J51" s="159"/>
      <c r="K51" s="160"/>
      <c r="L51" s="161"/>
      <c r="M51" s="159"/>
      <c r="N51" s="162"/>
      <c r="O51" s="158"/>
      <c r="P51" s="159"/>
      <c r="Q51" s="160"/>
      <c r="R51" s="161"/>
      <c r="S51" s="159"/>
      <c r="T51" s="159"/>
      <c r="U51" s="162"/>
      <c r="V51" s="158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60"/>
      <c r="AQ51" s="161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62"/>
      <c r="BJ51" s="158"/>
      <c r="BK51" s="159"/>
      <c r="BL51" s="159"/>
      <c r="BM51" s="159"/>
      <c r="BN51" s="159"/>
      <c r="BO51" s="159"/>
      <c r="BP51" s="159"/>
      <c r="BQ51" s="159"/>
      <c r="BR51" s="160"/>
      <c r="BS51" s="159"/>
      <c r="BT51" s="161"/>
      <c r="BU51" s="161"/>
      <c r="BV51" s="161"/>
      <c r="BW51" s="161"/>
      <c r="BX51" s="161"/>
      <c r="BY51" s="161"/>
      <c r="BZ51" s="161"/>
      <c r="CA51" s="161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62"/>
      <c r="CY51" s="158"/>
      <c r="CZ51" s="159"/>
      <c r="DA51" s="159"/>
      <c r="DB51" s="180"/>
      <c r="DC51" s="180"/>
      <c r="DD51" s="180"/>
      <c r="DE51" s="180"/>
      <c r="DF51" s="180"/>
      <c r="DG51" s="180"/>
      <c r="DH51" s="180"/>
      <c r="DI51" s="180"/>
      <c r="DJ51" s="180"/>
      <c r="DK51" s="180"/>
      <c r="DL51" s="180"/>
      <c r="DM51" s="180"/>
      <c r="DN51" s="180"/>
      <c r="DO51" s="180"/>
      <c r="DP51" s="180"/>
      <c r="DQ51" s="180"/>
      <c r="DR51" s="180"/>
      <c r="DS51" s="180"/>
      <c r="DT51" s="180"/>
      <c r="DU51" s="180"/>
      <c r="DV51" s="180"/>
      <c r="DW51" s="180"/>
      <c r="DX51" s="180"/>
      <c r="DY51" s="180"/>
      <c r="DZ51" s="180"/>
      <c r="EA51" s="180"/>
      <c r="EB51" s="180"/>
      <c r="EC51" s="180"/>
      <c r="ED51" s="180"/>
      <c r="EE51" s="180"/>
      <c r="EF51" s="180"/>
      <c r="EG51" s="180"/>
      <c r="EH51" s="180"/>
      <c r="EI51" s="180"/>
      <c r="EJ51" s="180"/>
      <c r="EK51" s="180"/>
      <c r="EL51" s="180"/>
      <c r="EM51" s="180"/>
      <c r="EN51" s="180"/>
      <c r="EO51" s="180"/>
      <c r="EP51" s="180"/>
      <c r="EQ51" s="181"/>
      <c r="ER51" s="161"/>
      <c r="ES51" s="159"/>
      <c r="ET51" s="159"/>
      <c r="EU51" s="159"/>
      <c r="EV51" s="159"/>
      <c r="EW51" s="159"/>
      <c r="EX51" s="159"/>
      <c r="EY51" s="159"/>
      <c r="EZ51" s="159"/>
      <c r="FA51" s="159"/>
      <c r="FB51" s="159"/>
      <c r="FC51" s="159"/>
      <c r="FD51" s="159"/>
      <c r="FE51" s="159"/>
      <c r="FF51" s="159"/>
      <c r="FG51" s="159"/>
      <c r="FH51" s="159"/>
      <c r="FI51" s="159"/>
      <c r="FJ51" s="159"/>
      <c r="FK51" s="180"/>
      <c r="FL51" s="180"/>
      <c r="FM51" s="180"/>
      <c r="FN51" s="159"/>
      <c r="FO51" s="159"/>
      <c r="FP51" s="159"/>
      <c r="FQ51" s="159"/>
      <c r="FR51" s="159"/>
      <c r="FS51" s="159"/>
      <c r="FT51" s="159"/>
      <c r="FU51" s="159"/>
      <c r="FV51" s="159"/>
      <c r="FW51" s="159"/>
      <c r="FX51" s="159"/>
      <c r="FY51" s="159"/>
      <c r="FZ51" s="159"/>
      <c r="GA51" s="159"/>
      <c r="GB51" s="159"/>
      <c r="GC51" s="159"/>
      <c r="GD51" s="159"/>
      <c r="GE51" s="159"/>
      <c r="GF51" s="159"/>
      <c r="GG51" s="159"/>
      <c r="GH51" s="159"/>
      <c r="GI51" s="159"/>
      <c r="GJ51" s="159"/>
      <c r="GK51" s="162"/>
      <c r="GL51" s="158"/>
      <c r="GM51" s="159"/>
      <c r="GN51" s="159"/>
      <c r="GO51" s="159"/>
      <c r="GP51" s="159"/>
      <c r="GQ51" s="159"/>
      <c r="GR51" s="159"/>
      <c r="GS51" s="159"/>
      <c r="GT51" s="159"/>
      <c r="GU51" s="159"/>
      <c r="GV51" s="159"/>
      <c r="GW51" s="159"/>
      <c r="GX51" s="159"/>
      <c r="GY51" s="159"/>
      <c r="GZ51" s="159"/>
      <c r="HA51" s="159"/>
      <c r="HB51" s="159"/>
      <c r="HC51" s="159"/>
      <c r="HD51" s="159"/>
      <c r="HE51" s="159"/>
      <c r="HF51" s="159"/>
      <c r="HG51" s="159"/>
      <c r="HH51" s="159"/>
      <c r="HI51" s="159"/>
      <c r="HJ51" s="159"/>
      <c r="HK51" s="159"/>
      <c r="HL51" s="159"/>
      <c r="HM51" s="159"/>
      <c r="HN51" s="159"/>
      <c r="HO51" s="159"/>
      <c r="HP51" s="159"/>
      <c r="HQ51" s="159"/>
      <c r="HR51" s="159"/>
      <c r="HS51" s="159"/>
      <c r="HT51" s="159"/>
      <c r="HU51" s="159"/>
      <c r="HV51" s="159"/>
      <c r="HW51" s="159"/>
      <c r="HX51" s="159"/>
      <c r="HY51" s="159"/>
      <c r="HZ51" s="159"/>
      <c r="IA51" s="159"/>
      <c r="IB51" s="159"/>
      <c r="IC51" s="159"/>
      <c r="ID51" s="159"/>
      <c r="IE51" s="159"/>
      <c r="IF51" s="159"/>
      <c r="IG51" s="160"/>
      <c r="IH51" s="159"/>
      <c r="II51" s="159"/>
      <c r="IJ51" s="182"/>
      <c r="IK51" s="173"/>
      <c r="IL51" s="173"/>
      <c r="IM51" s="185"/>
      <c r="IN51" s="152">
        <f>F51*10%</f>
        <v>0</v>
      </c>
      <c r="IO51" s="152">
        <f>F51+IN51</f>
        <v>0</v>
      </c>
    </row>
    <row r="52" spans="1:249" ht="52.5" hidden="1" customHeight="1" thickBot="1" x14ac:dyDescent="0.35">
      <c r="A52" s="153"/>
      <c r="B52" s="189"/>
      <c r="C52" s="189"/>
      <c r="D52" s="190"/>
      <c r="E52" s="156">
        <f t="shared" si="59"/>
        <v>0</v>
      </c>
      <c r="F52" s="169"/>
      <c r="G52" s="141">
        <f>COUNTA(I52:IG52)</f>
        <v>0</v>
      </c>
      <c r="H52" s="142">
        <f>SUM(I52:IG52)</f>
        <v>0</v>
      </c>
      <c r="I52" s="158"/>
      <c r="J52" s="159"/>
      <c r="K52" s="160"/>
      <c r="L52" s="161"/>
      <c r="M52" s="159"/>
      <c r="N52" s="162"/>
      <c r="O52" s="158"/>
      <c r="P52" s="159"/>
      <c r="Q52" s="160"/>
      <c r="R52" s="161"/>
      <c r="S52" s="159"/>
      <c r="T52" s="159"/>
      <c r="U52" s="162"/>
      <c r="V52" s="158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60"/>
      <c r="AQ52" s="161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62"/>
      <c r="BJ52" s="158"/>
      <c r="BK52" s="159"/>
      <c r="BL52" s="159"/>
      <c r="BM52" s="159"/>
      <c r="BN52" s="159"/>
      <c r="BO52" s="159"/>
      <c r="BP52" s="159"/>
      <c r="BQ52" s="159"/>
      <c r="BR52" s="160"/>
      <c r="BS52" s="159"/>
      <c r="BT52" s="161"/>
      <c r="BU52" s="161"/>
      <c r="BV52" s="161"/>
      <c r="BW52" s="161"/>
      <c r="BX52" s="161"/>
      <c r="BY52" s="161"/>
      <c r="BZ52" s="161"/>
      <c r="CA52" s="161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62"/>
      <c r="CY52" s="158"/>
      <c r="CZ52" s="159"/>
      <c r="DA52" s="159"/>
      <c r="DB52" s="180"/>
      <c r="DC52" s="180"/>
      <c r="DD52" s="180"/>
      <c r="DE52" s="180"/>
      <c r="DF52" s="180"/>
      <c r="DG52" s="180"/>
      <c r="DH52" s="180"/>
      <c r="DI52" s="180"/>
      <c r="DJ52" s="180"/>
      <c r="DK52" s="180"/>
      <c r="DL52" s="180"/>
      <c r="DM52" s="180"/>
      <c r="DN52" s="180"/>
      <c r="DO52" s="180"/>
      <c r="DP52" s="180"/>
      <c r="DQ52" s="180"/>
      <c r="DR52" s="180"/>
      <c r="DS52" s="180"/>
      <c r="DT52" s="180"/>
      <c r="DU52" s="180"/>
      <c r="DV52" s="180"/>
      <c r="DW52" s="180"/>
      <c r="DX52" s="180"/>
      <c r="DY52" s="180"/>
      <c r="DZ52" s="180"/>
      <c r="EA52" s="180"/>
      <c r="EB52" s="180"/>
      <c r="EC52" s="180"/>
      <c r="ED52" s="180"/>
      <c r="EE52" s="180"/>
      <c r="EF52" s="180"/>
      <c r="EG52" s="180"/>
      <c r="EH52" s="180"/>
      <c r="EI52" s="180"/>
      <c r="EJ52" s="180"/>
      <c r="EK52" s="180"/>
      <c r="EL52" s="180"/>
      <c r="EM52" s="180"/>
      <c r="EN52" s="180"/>
      <c r="EO52" s="180"/>
      <c r="EP52" s="180"/>
      <c r="EQ52" s="181"/>
      <c r="ER52" s="161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80"/>
      <c r="FL52" s="180"/>
      <c r="FM52" s="180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62"/>
      <c r="GL52" s="158"/>
      <c r="GM52" s="159"/>
      <c r="GN52" s="159"/>
      <c r="GO52" s="159"/>
      <c r="GP52" s="159"/>
      <c r="GQ52" s="159"/>
      <c r="GR52" s="159"/>
      <c r="GS52" s="159"/>
      <c r="GT52" s="159"/>
      <c r="GU52" s="159"/>
      <c r="GV52" s="159"/>
      <c r="GW52" s="159"/>
      <c r="GX52" s="159"/>
      <c r="GY52" s="159"/>
      <c r="GZ52" s="159"/>
      <c r="HA52" s="159"/>
      <c r="HB52" s="159"/>
      <c r="HC52" s="159"/>
      <c r="HD52" s="159"/>
      <c r="HE52" s="159"/>
      <c r="HF52" s="159"/>
      <c r="HG52" s="159"/>
      <c r="HH52" s="159"/>
      <c r="HI52" s="159"/>
      <c r="HJ52" s="159"/>
      <c r="HK52" s="159"/>
      <c r="HL52" s="159"/>
      <c r="HM52" s="159"/>
      <c r="HN52" s="159"/>
      <c r="HO52" s="159"/>
      <c r="HP52" s="159"/>
      <c r="HQ52" s="159"/>
      <c r="HR52" s="159"/>
      <c r="HS52" s="159"/>
      <c r="HT52" s="159"/>
      <c r="HU52" s="159"/>
      <c r="HV52" s="159"/>
      <c r="HW52" s="159"/>
      <c r="HX52" s="159"/>
      <c r="HY52" s="159"/>
      <c r="HZ52" s="159"/>
      <c r="IA52" s="159"/>
      <c r="IB52" s="159"/>
      <c r="IC52" s="159"/>
      <c r="ID52" s="159"/>
      <c r="IE52" s="159"/>
      <c r="IF52" s="159"/>
      <c r="IG52" s="160"/>
      <c r="IH52" s="159"/>
      <c r="II52" s="159"/>
      <c r="IJ52" s="182"/>
      <c r="IK52" s="173"/>
      <c r="IL52" s="173"/>
      <c r="IM52" s="185"/>
      <c r="IN52" s="152">
        <f>F52*10%</f>
        <v>0</v>
      </c>
      <c r="IO52" s="152">
        <f>F52+IN52</f>
        <v>0</v>
      </c>
    </row>
    <row r="53" spans="1:249" ht="52.5" hidden="1" customHeight="1" thickBot="1" x14ac:dyDescent="0.35">
      <c r="A53" s="153"/>
      <c r="B53" s="179"/>
      <c r="C53" s="179"/>
      <c r="D53" s="188"/>
      <c r="E53" s="156">
        <f t="shared" si="59"/>
        <v>0</v>
      </c>
      <c r="F53" s="169"/>
      <c r="G53" s="141">
        <f>COUNTA(I53:IG53)</f>
        <v>0</v>
      </c>
      <c r="H53" s="142">
        <f>SUM(I53:IG53)</f>
        <v>0</v>
      </c>
      <c r="I53" s="158"/>
      <c r="J53" s="159"/>
      <c r="K53" s="160"/>
      <c r="L53" s="161"/>
      <c r="M53" s="159"/>
      <c r="N53" s="162"/>
      <c r="O53" s="158"/>
      <c r="P53" s="159"/>
      <c r="Q53" s="160"/>
      <c r="R53" s="161"/>
      <c r="S53" s="159"/>
      <c r="T53" s="159"/>
      <c r="U53" s="162"/>
      <c r="V53" s="158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60"/>
      <c r="AQ53" s="161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62"/>
      <c r="BJ53" s="158"/>
      <c r="BK53" s="159"/>
      <c r="BL53" s="159"/>
      <c r="BM53" s="159"/>
      <c r="BN53" s="159"/>
      <c r="BO53" s="159"/>
      <c r="BP53" s="159"/>
      <c r="BQ53" s="159"/>
      <c r="BR53" s="160"/>
      <c r="BS53" s="159"/>
      <c r="BT53" s="161"/>
      <c r="BU53" s="161"/>
      <c r="BV53" s="161"/>
      <c r="BW53" s="161"/>
      <c r="BX53" s="161"/>
      <c r="BY53" s="161"/>
      <c r="BZ53" s="161"/>
      <c r="CA53" s="161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62"/>
      <c r="CY53" s="158"/>
      <c r="CZ53" s="159"/>
      <c r="DA53" s="159"/>
      <c r="DB53" s="180"/>
      <c r="DC53" s="180"/>
      <c r="DD53" s="180"/>
      <c r="DE53" s="180"/>
      <c r="DF53" s="180"/>
      <c r="DG53" s="180"/>
      <c r="DH53" s="180"/>
      <c r="DI53" s="180"/>
      <c r="DJ53" s="180"/>
      <c r="DK53" s="180"/>
      <c r="DL53" s="180"/>
      <c r="DM53" s="180"/>
      <c r="DN53" s="180"/>
      <c r="DO53" s="180"/>
      <c r="DP53" s="180"/>
      <c r="DQ53" s="180"/>
      <c r="DR53" s="180"/>
      <c r="DS53" s="180"/>
      <c r="DT53" s="180"/>
      <c r="DU53" s="180"/>
      <c r="DV53" s="180"/>
      <c r="DW53" s="180"/>
      <c r="DX53" s="180"/>
      <c r="DY53" s="180"/>
      <c r="DZ53" s="180"/>
      <c r="EA53" s="180"/>
      <c r="EB53" s="180"/>
      <c r="EC53" s="180"/>
      <c r="ED53" s="180"/>
      <c r="EE53" s="180"/>
      <c r="EF53" s="180"/>
      <c r="EG53" s="180"/>
      <c r="EH53" s="180"/>
      <c r="EI53" s="180"/>
      <c r="EJ53" s="180"/>
      <c r="EK53" s="180"/>
      <c r="EL53" s="180"/>
      <c r="EM53" s="180"/>
      <c r="EN53" s="180"/>
      <c r="EO53" s="180"/>
      <c r="EP53" s="180"/>
      <c r="EQ53" s="181"/>
      <c r="ER53" s="161"/>
      <c r="ES53" s="159"/>
      <c r="ET53" s="159"/>
      <c r="EU53" s="159"/>
      <c r="EV53" s="159"/>
      <c r="EW53" s="159"/>
      <c r="EX53" s="159"/>
      <c r="EY53" s="159"/>
      <c r="EZ53" s="159"/>
      <c r="FA53" s="159"/>
      <c r="FB53" s="159"/>
      <c r="FC53" s="159"/>
      <c r="FD53" s="159"/>
      <c r="FE53" s="159"/>
      <c r="FF53" s="159"/>
      <c r="FG53" s="159"/>
      <c r="FH53" s="159"/>
      <c r="FI53" s="159"/>
      <c r="FJ53" s="159"/>
      <c r="FK53" s="180"/>
      <c r="FL53" s="180"/>
      <c r="FM53" s="180"/>
      <c r="FN53" s="159"/>
      <c r="FO53" s="159"/>
      <c r="FP53" s="159"/>
      <c r="FQ53" s="159"/>
      <c r="FR53" s="159"/>
      <c r="FS53" s="159"/>
      <c r="FT53" s="159"/>
      <c r="FU53" s="159"/>
      <c r="FV53" s="159"/>
      <c r="FW53" s="159"/>
      <c r="FX53" s="159"/>
      <c r="FY53" s="159"/>
      <c r="FZ53" s="159"/>
      <c r="GA53" s="159"/>
      <c r="GB53" s="159"/>
      <c r="GC53" s="159"/>
      <c r="GD53" s="159"/>
      <c r="GE53" s="159"/>
      <c r="GF53" s="159"/>
      <c r="GG53" s="159"/>
      <c r="GH53" s="159"/>
      <c r="GI53" s="159"/>
      <c r="GJ53" s="159"/>
      <c r="GK53" s="162"/>
      <c r="GL53" s="158"/>
      <c r="GM53" s="159"/>
      <c r="GN53" s="159"/>
      <c r="GO53" s="159"/>
      <c r="GP53" s="159"/>
      <c r="GQ53" s="159"/>
      <c r="GR53" s="159"/>
      <c r="GS53" s="159"/>
      <c r="GT53" s="159"/>
      <c r="GU53" s="159"/>
      <c r="GV53" s="159"/>
      <c r="GW53" s="159"/>
      <c r="GX53" s="159"/>
      <c r="GY53" s="159"/>
      <c r="GZ53" s="159"/>
      <c r="HA53" s="159"/>
      <c r="HB53" s="159"/>
      <c r="HC53" s="159"/>
      <c r="HD53" s="159"/>
      <c r="HE53" s="159"/>
      <c r="HF53" s="159"/>
      <c r="HG53" s="159"/>
      <c r="HH53" s="159"/>
      <c r="HI53" s="159"/>
      <c r="HJ53" s="159"/>
      <c r="HK53" s="159"/>
      <c r="HL53" s="159"/>
      <c r="HM53" s="159"/>
      <c r="HN53" s="159"/>
      <c r="HO53" s="159"/>
      <c r="HP53" s="159"/>
      <c r="HQ53" s="159"/>
      <c r="HR53" s="159"/>
      <c r="HS53" s="159"/>
      <c r="HT53" s="159"/>
      <c r="HU53" s="159"/>
      <c r="HV53" s="159"/>
      <c r="HW53" s="159"/>
      <c r="HX53" s="159"/>
      <c r="HY53" s="159"/>
      <c r="HZ53" s="159"/>
      <c r="IA53" s="159"/>
      <c r="IB53" s="159"/>
      <c r="IC53" s="159"/>
      <c r="ID53" s="159"/>
      <c r="IE53" s="159"/>
      <c r="IF53" s="159"/>
      <c r="IG53" s="160"/>
      <c r="IH53" s="159"/>
      <c r="II53" s="159"/>
      <c r="IJ53" s="182"/>
      <c r="IK53" s="173"/>
      <c r="IL53" s="173"/>
      <c r="IM53" s="185"/>
      <c r="IN53" s="152">
        <f>F53*10%</f>
        <v>0</v>
      </c>
      <c r="IO53" s="152">
        <f>F53+IN53</f>
        <v>0</v>
      </c>
    </row>
    <row r="54" spans="1:249" ht="52.5" hidden="1" customHeight="1" thickBot="1" x14ac:dyDescent="0.35">
      <c r="A54" s="153"/>
      <c r="B54" s="167"/>
      <c r="C54" s="167"/>
      <c r="D54" s="168"/>
      <c r="E54" s="156">
        <f t="shared" si="59"/>
        <v>0</v>
      </c>
      <c r="F54" s="169"/>
      <c r="G54" s="141">
        <f>COUNTA(I54:IG54)</f>
        <v>0</v>
      </c>
      <c r="H54" s="142">
        <f>SUM(I54:IG54)</f>
        <v>0</v>
      </c>
      <c r="I54" s="158"/>
      <c r="J54" s="159"/>
      <c r="K54" s="160"/>
      <c r="L54" s="161"/>
      <c r="M54" s="159"/>
      <c r="N54" s="162"/>
      <c r="O54" s="158"/>
      <c r="P54" s="159"/>
      <c r="Q54" s="160"/>
      <c r="R54" s="161"/>
      <c r="S54" s="159"/>
      <c r="T54" s="159"/>
      <c r="U54" s="162"/>
      <c r="V54" s="158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60"/>
      <c r="AQ54" s="161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62"/>
      <c r="BJ54" s="158"/>
      <c r="BK54" s="159"/>
      <c r="BL54" s="159"/>
      <c r="BM54" s="159"/>
      <c r="BN54" s="159"/>
      <c r="BO54" s="159"/>
      <c r="BP54" s="159"/>
      <c r="BQ54" s="159"/>
      <c r="BR54" s="160"/>
      <c r="BS54" s="159"/>
      <c r="BT54" s="161"/>
      <c r="BU54" s="161"/>
      <c r="BV54" s="161"/>
      <c r="BW54" s="161"/>
      <c r="BX54" s="161"/>
      <c r="BY54" s="161"/>
      <c r="BZ54" s="161"/>
      <c r="CA54" s="161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62"/>
      <c r="CY54" s="158"/>
      <c r="CZ54" s="159"/>
      <c r="DA54" s="159"/>
      <c r="DB54" s="180"/>
      <c r="DC54" s="180"/>
      <c r="DD54" s="180"/>
      <c r="DE54" s="180"/>
      <c r="DF54" s="180"/>
      <c r="DG54" s="180"/>
      <c r="DH54" s="180"/>
      <c r="DI54" s="180"/>
      <c r="DJ54" s="180"/>
      <c r="DK54" s="180"/>
      <c r="DL54" s="180"/>
      <c r="DM54" s="180"/>
      <c r="DN54" s="180"/>
      <c r="DO54" s="180"/>
      <c r="DP54" s="180"/>
      <c r="DQ54" s="180"/>
      <c r="DR54" s="180"/>
      <c r="DS54" s="180"/>
      <c r="DT54" s="180"/>
      <c r="DU54" s="180"/>
      <c r="DV54" s="180"/>
      <c r="DW54" s="180"/>
      <c r="DX54" s="180"/>
      <c r="DY54" s="180"/>
      <c r="DZ54" s="180"/>
      <c r="EA54" s="180"/>
      <c r="EB54" s="180"/>
      <c r="EC54" s="180"/>
      <c r="ED54" s="180"/>
      <c r="EE54" s="180"/>
      <c r="EF54" s="180"/>
      <c r="EG54" s="180"/>
      <c r="EH54" s="180"/>
      <c r="EI54" s="180"/>
      <c r="EJ54" s="180"/>
      <c r="EK54" s="180"/>
      <c r="EL54" s="180"/>
      <c r="EM54" s="180"/>
      <c r="EN54" s="180"/>
      <c r="EO54" s="180"/>
      <c r="EP54" s="180"/>
      <c r="EQ54" s="181"/>
      <c r="ER54" s="161"/>
      <c r="ES54" s="159"/>
      <c r="ET54" s="159"/>
      <c r="EU54" s="159"/>
      <c r="EV54" s="159"/>
      <c r="EW54" s="159"/>
      <c r="EX54" s="159"/>
      <c r="EY54" s="159"/>
      <c r="EZ54" s="159"/>
      <c r="FA54" s="159"/>
      <c r="FB54" s="159"/>
      <c r="FC54" s="159"/>
      <c r="FD54" s="159"/>
      <c r="FE54" s="159"/>
      <c r="FF54" s="159"/>
      <c r="FG54" s="159"/>
      <c r="FH54" s="159"/>
      <c r="FI54" s="159"/>
      <c r="FJ54" s="159"/>
      <c r="FK54" s="180"/>
      <c r="FL54" s="180"/>
      <c r="FM54" s="180"/>
      <c r="FN54" s="159"/>
      <c r="FO54" s="159"/>
      <c r="FP54" s="159"/>
      <c r="FQ54" s="159"/>
      <c r="FR54" s="159"/>
      <c r="FS54" s="159"/>
      <c r="FT54" s="159"/>
      <c r="FU54" s="159"/>
      <c r="FV54" s="159"/>
      <c r="FW54" s="159"/>
      <c r="FX54" s="159"/>
      <c r="FY54" s="159"/>
      <c r="FZ54" s="159"/>
      <c r="GA54" s="159"/>
      <c r="GB54" s="159"/>
      <c r="GC54" s="159"/>
      <c r="GD54" s="159"/>
      <c r="GE54" s="159"/>
      <c r="GF54" s="159"/>
      <c r="GG54" s="159"/>
      <c r="GH54" s="159"/>
      <c r="GI54" s="159"/>
      <c r="GJ54" s="159"/>
      <c r="GK54" s="162"/>
      <c r="GL54" s="158"/>
      <c r="GM54" s="159"/>
      <c r="GN54" s="159"/>
      <c r="GO54" s="159"/>
      <c r="GP54" s="159"/>
      <c r="GQ54" s="159"/>
      <c r="GR54" s="159"/>
      <c r="GS54" s="159"/>
      <c r="GT54" s="159"/>
      <c r="GU54" s="159"/>
      <c r="GV54" s="159"/>
      <c r="GW54" s="159"/>
      <c r="GX54" s="159"/>
      <c r="GY54" s="159"/>
      <c r="GZ54" s="159"/>
      <c r="HA54" s="159"/>
      <c r="HB54" s="159"/>
      <c r="HC54" s="159"/>
      <c r="HD54" s="159"/>
      <c r="HE54" s="159"/>
      <c r="HF54" s="159"/>
      <c r="HG54" s="159"/>
      <c r="HH54" s="159"/>
      <c r="HI54" s="159"/>
      <c r="HJ54" s="159"/>
      <c r="HK54" s="159"/>
      <c r="HL54" s="159"/>
      <c r="HM54" s="159"/>
      <c r="HN54" s="159"/>
      <c r="HO54" s="159"/>
      <c r="HP54" s="159"/>
      <c r="HQ54" s="159"/>
      <c r="HR54" s="159"/>
      <c r="HS54" s="159"/>
      <c r="HT54" s="159"/>
      <c r="HU54" s="159"/>
      <c r="HV54" s="159"/>
      <c r="HW54" s="159"/>
      <c r="HX54" s="159"/>
      <c r="HY54" s="159"/>
      <c r="HZ54" s="159"/>
      <c r="IA54" s="159"/>
      <c r="IB54" s="159"/>
      <c r="IC54" s="159"/>
      <c r="ID54" s="159"/>
      <c r="IE54" s="159"/>
      <c r="IF54" s="159"/>
      <c r="IG54" s="160"/>
      <c r="IH54" s="159"/>
      <c r="II54" s="159"/>
      <c r="IJ54" s="182"/>
      <c r="IK54" s="173"/>
      <c r="IL54" s="173"/>
      <c r="IM54" s="185"/>
      <c r="IN54" s="152">
        <f>F54*10%</f>
        <v>0</v>
      </c>
      <c r="IO54" s="152">
        <f>F54+IN54</f>
        <v>0</v>
      </c>
    </row>
    <row r="55" spans="1:249" ht="52.5" hidden="1" customHeight="1" thickBot="1" x14ac:dyDescent="0.35">
      <c r="A55" s="153"/>
      <c r="B55" s="167"/>
      <c r="C55" s="167"/>
      <c r="D55" s="168"/>
      <c r="E55" s="156">
        <f t="shared" si="59"/>
        <v>0</v>
      </c>
      <c r="F55" s="169"/>
      <c r="G55" s="141">
        <f>COUNTA(I55:IG55)</f>
        <v>0</v>
      </c>
      <c r="H55" s="142">
        <f>SUM(I55:IG55)</f>
        <v>0</v>
      </c>
      <c r="I55" s="158"/>
      <c r="J55" s="159"/>
      <c r="K55" s="160"/>
      <c r="L55" s="161"/>
      <c r="M55" s="159"/>
      <c r="N55" s="162"/>
      <c r="O55" s="158"/>
      <c r="P55" s="159"/>
      <c r="Q55" s="160"/>
      <c r="R55" s="161"/>
      <c r="S55" s="159"/>
      <c r="T55" s="159"/>
      <c r="U55" s="162"/>
      <c r="V55" s="158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60"/>
      <c r="AQ55" s="161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62"/>
      <c r="BJ55" s="158"/>
      <c r="BK55" s="159"/>
      <c r="BL55" s="159"/>
      <c r="BM55" s="159"/>
      <c r="BN55" s="159"/>
      <c r="BO55" s="159"/>
      <c r="BP55" s="159"/>
      <c r="BQ55" s="159"/>
      <c r="BR55" s="160"/>
      <c r="BS55" s="159"/>
      <c r="BT55" s="161"/>
      <c r="BU55" s="161"/>
      <c r="BV55" s="161"/>
      <c r="BW55" s="161"/>
      <c r="BX55" s="161"/>
      <c r="BY55" s="161"/>
      <c r="BZ55" s="161"/>
      <c r="CA55" s="161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62"/>
      <c r="CY55" s="158"/>
      <c r="CZ55" s="159"/>
      <c r="DA55" s="159"/>
      <c r="DB55" s="180"/>
      <c r="DC55" s="180"/>
      <c r="DD55" s="180"/>
      <c r="DE55" s="180"/>
      <c r="DF55" s="180"/>
      <c r="DG55" s="180"/>
      <c r="DH55" s="180"/>
      <c r="DI55" s="180"/>
      <c r="DJ55" s="180"/>
      <c r="DK55" s="180"/>
      <c r="DL55" s="180"/>
      <c r="DM55" s="180"/>
      <c r="DN55" s="180"/>
      <c r="DO55" s="180"/>
      <c r="DP55" s="180"/>
      <c r="DQ55" s="180"/>
      <c r="DR55" s="180"/>
      <c r="DS55" s="180"/>
      <c r="DT55" s="180"/>
      <c r="DU55" s="180"/>
      <c r="DV55" s="180"/>
      <c r="DW55" s="180"/>
      <c r="DX55" s="180"/>
      <c r="DY55" s="180"/>
      <c r="DZ55" s="180"/>
      <c r="EA55" s="180"/>
      <c r="EB55" s="180"/>
      <c r="EC55" s="180"/>
      <c r="ED55" s="180"/>
      <c r="EE55" s="180"/>
      <c r="EF55" s="180"/>
      <c r="EG55" s="180"/>
      <c r="EH55" s="180"/>
      <c r="EI55" s="180"/>
      <c r="EJ55" s="180"/>
      <c r="EK55" s="180"/>
      <c r="EL55" s="180"/>
      <c r="EM55" s="180"/>
      <c r="EN55" s="180"/>
      <c r="EO55" s="180"/>
      <c r="EP55" s="180"/>
      <c r="EQ55" s="181"/>
      <c r="ER55" s="161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80"/>
      <c r="FL55" s="180"/>
      <c r="FM55" s="180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62"/>
      <c r="GL55" s="158"/>
      <c r="GM55" s="159"/>
      <c r="GN55" s="159"/>
      <c r="GO55" s="159"/>
      <c r="GP55" s="159"/>
      <c r="GQ55" s="159"/>
      <c r="GR55" s="159"/>
      <c r="GS55" s="159"/>
      <c r="GT55" s="159"/>
      <c r="GU55" s="159"/>
      <c r="GV55" s="159"/>
      <c r="GW55" s="159"/>
      <c r="GX55" s="159"/>
      <c r="GY55" s="159"/>
      <c r="GZ55" s="159"/>
      <c r="HA55" s="159"/>
      <c r="HB55" s="159"/>
      <c r="HC55" s="159"/>
      <c r="HD55" s="159"/>
      <c r="HE55" s="159"/>
      <c r="HF55" s="159"/>
      <c r="HG55" s="159"/>
      <c r="HH55" s="159"/>
      <c r="HI55" s="159"/>
      <c r="HJ55" s="159"/>
      <c r="HK55" s="159"/>
      <c r="HL55" s="159"/>
      <c r="HM55" s="159"/>
      <c r="HN55" s="159"/>
      <c r="HO55" s="159"/>
      <c r="HP55" s="159"/>
      <c r="HQ55" s="159"/>
      <c r="HR55" s="159"/>
      <c r="HS55" s="159"/>
      <c r="HT55" s="159"/>
      <c r="HU55" s="159"/>
      <c r="HV55" s="159"/>
      <c r="HW55" s="159"/>
      <c r="HX55" s="159"/>
      <c r="HY55" s="159"/>
      <c r="HZ55" s="159"/>
      <c r="IA55" s="159"/>
      <c r="IB55" s="159"/>
      <c r="IC55" s="159"/>
      <c r="ID55" s="159"/>
      <c r="IE55" s="159"/>
      <c r="IF55" s="159"/>
      <c r="IG55" s="160"/>
      <c r="IH55" s="159"/>
      <c r="II55" s="159"/>
      <c r="IJ55" s="182"/>
      <c r="IK55" s="173"/>
      <c r="IL55" s="173"/>
      <c r="IM55" s="185"/>
      <c r="IN55" s="152">
        <f>F55*10%</f>
        <v>0</v>
      </c>
      <c r="IO55" s="152">
        <f>F55+IN55</f>
        <v>0</v>
      </c>
    </row>
    <row r="56" spans="1:249" s="15" customFormat="1" ht="52.5" hidden="1" customHeight="1" thickBot="1" x14ac:dyDescent="0.2">
      <c r="A56" s="153"/>
      <c r="B56" s="167"/>
      <c r="C56" s="167"/>
      <c r="D56" s="168"/>
      <c r="E56" s="156">
        <f t="shared" si="59"/>
        <v>0</v>
      </c>
      <c r="F56" s="169"/>
      <c r="G56" s="141">
        <f>COUNTA(I56:IG56)</f>
        <v>0</v>
      </c>
      <c r="H56" s="142">
        <f>SUM(I56:IG56)</f>
        <v>0</v>
      </c>
      <c r="I56" s="158"/>
      <c r="J56" s="159"/>
      <c r="K56" s="160"/>
      <c r="L56" s="161"/>
      <c r="M56" s="159"/>
      <c r="N56" s="162"/>
      <c r="O56" s="158"/>
      <c r="P56" s="159"/>
      <c r="Q56" s="160"/>
      <c r="R56" s="161"/>
      <c r="S56" s="159"/>
      <c r="T56" s="159"/>
      <c r="U56" s="162"/>
      <c r="V56" s="158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60"/>
      <c r="AQ56" s="161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62"/>
      <c r="BJ56" s="158"/>
      <c r="BK56" s="159"/>
      <c r="BL56" s="159"/>
      <c r="BM56" s="159"/>
      <c r="BN56" s="159"/>
      <c r="BO56" s="159"/>
      <c r="BP56" s="159"/>
      <c r="BQ56" s="159"/>
      <c r="BR56" s="160"/>
      <c r="BS56" s="159"/>
      <c r="BT56" s="161"/>
      <c r="BU56" s="161"/>
      <c r="BV56" s="161"/>
      <c r="BW56" s="161"/>
      <c r="BX56" s="161"/>
      <c r="BY56" s="161"/>
      <c r="BZ56" s="161"/>
      <c r="CA56" s="161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62"/>
      <c r="CY56" s="158"/>
      <c r="CZ56" s="159"/>
      <c r="DA56" s="159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63"/>
      <c r="EC56" s="163"/>
      <c r="ED56" s="163"/>
      <c r="EE56" s="163"/>
      <c r="EF56" s="163"/>
      <c r="EG56" s="163"/>
      <c r="EH56" s="163"/>
      <c r="EI56" s="163"/>
      <c r="EJ56" s="163"/>
      <c r="EK56" s="163"/>
      <c r="EL56" s="163"/>
      <c r="EM56" s="163"/>
      <c r="EN56" s="163"/>
      <c r="EO56" s="163"/>
      <c r="EP56" s="163"/>
      <c r="EQ56" s="191"/>
      <c r="ER56" s="161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63"/>
      <c r="FL56" s="163"/>
      <c r="FM56" s="163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62"/>
      <c r="GL56" s="158"/>
      <c r="GM56" s="159"/>
      <c r="GN56" s="159"/>
      <c r="GO56" s="159"/>
      <c r="GP56" s="159"/>
      <c r="GQ56" s="159"/>
      <c r="GR56" s="159"/>
      <c r="GS56" s="159"/>
      <c r="GT56" s="159"/>
      <c r="GU56" s="159"/>
      <c r="GV56" s="159"/>
      <c r="GW56" s="159"/>
      <c r="GX56" s="159"/>
      <c r="GY56" s="159"/>
      <c r="GZ56" s="159"/>
      <c r="HA56" s="159"/>
      <c r="HB56" s="159"/>
      <c r="HC56" s="159"/>
      <c r="HD56" s="159"/>
      <c r="HE56" s="159"/>
      <c r="HF56" s="159"/>
      <c r="HG56" s="159"/>
      <c r="HH56" s="159"/>
      <c r="HI56" s="159"/>
      <c r="HJ56" s="159"/>
      <c r="HK56" s="159"/>
      <c r="HL56" s="159"/>
      <c r="HM56" s="159"/>
      <c r="HN56" s="159"/>
      <c r="HO56" s="159"/>
      <c r="HP56" s="159"/>
      <c r="HQ56" s="159"/>
      <c r="HR56" s="159"/>
      <c r="HS56" s="159"/>
      <c r="HT56" s="159"/>
      <c r="HU56" s="159"/>
      <c r="HV56" s="159"/>
      <c r="HW56" s="159"/>
      <c r="HX56" s="159"/>
      <c r="HY56" s="159"/>
      <c r="HZ56" s="159"/>
      <c r="IA56" s="159"/>
      <c r="IB56" s="159"/>
      <c r="IC56" s="159"/>
      <c r="ID56" s="159"/>
      <c r="IE56" s="159"/>
      <c r="IF56" s="159"/>
      <c r="IG56" s="160"/>
      <c r="IH56" s="159"/>
      <c r="II56" s="159"/>
      <c r="IJ56" s="182"/>
      <c r="IK56" s="173"/>
      <c r="IL56" s="173"/>
      <c r="IM56" s="185"/>
      <c r="IN56" s="152">
        <f>F56*10%</f>
        <v>0</v>
      </c>
      <c r="IO56" s="152">
        <f>F56+IN56</f>
        <v>0</v>
      </c>
    </row>
    <row r="57" spans="1:249" s="15" customFormat="1" ht="52.5" hidden="1" customHeight="1" thickBot="1" x14ac:dyDescent="0.2">
      <c r="A57" s="153"/>
      <c r="B57" s="167"/>
      <c r="C57" s="167"/>
      <c r="D57" s="168"/>
      <c r="E57" s="156">
        <f t="shared" si="59"/>
        <v>0</v>
      </c>
      <c r="F57" s="169"/>
      <c r="G57" s="141">
        <f>COUNTA(I57:IG57)</f>
        <v>0</v>
      </c>
      <c r="H57" s="142">
        <f>SUM(I57:IG57)</f>
        <v>0</v>
      </c>
      <c r="I57" s="158"/>
      <c r="J57" s="159"/>
      <c r="K57" s="160"/>
      <c r="L57" s="161"/>
      <c r="M57" s="159"/>
      <c r="N57" s="162"/>
      <c r="O57" s="158"/>
      <c r="P57" s="159"/>
      <c r="Q57" s="160"/>
      <c r="R57" s="161"/>
      <c r="S57" s="159"/>
      <c r="T57" s="159"/>
      <c r="U57" s="162"/>
      <c r="V57" s="158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60"/>
      <c r="AQ57" s="161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62"/>
      <c r="BJ57" s="158"/>
      <c r="BK57" s="159"/>
      <c r="BL57" s="159"/>
      <c r="BM57" s="159"/>
      <c r="BN57" s="159"/>
      <c r="BO57" s="159"/>
      <c r="BP57" s="159"/>
      <c r="BQ57" s="159"/>
      <c r="BR57" s="160"/>
      <c r="BS57" s="159"/>
      <c r="BT57" s="161"/>
      <c r="BU57" s="161"/>
      <c r="BV57" s="161"/>
      <c r="BW57" s="161"/>
      <c r="BX57" s="161"/>
      <c r="BY57" s="161"/>
      <c r="BZ57" s="161"/>
      <c r="CA57" s="161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62"/>
      <c r="CY57" s="158"/>
      <c r="CZ57" s="159"/>
      <c r="DA57" s="159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63"/>
      <c r="EC57" s="163"/>
      <c r="ED57" s="163"/>
      <c r="EE57" s="163"/>
      <c r="EF57" s="163"/>
      <c r="EG57" s="163"/>
      <c r="EH57" s="163"/>
      <c r="EI57" s="163"/>
      <c r="EJ57" s="163"/>
      <c r="EK57" s="163"/>
      <c r="EL57" s="163"/>
      <c r="EM57" s="163"/>
      <c r="EN57" s="163"/>
      <c r="EO57" s="163"/>
      <c r="EP57" s="163"/>
      <c r="EQ57" s="191"/>
      <c r="ER57" s="161"/>
      <c r="ES57" s="159"/>
      <c r="ET57" s="159"/>
      <c r="EU57" s="159"/>
      <c r="EV57" s="159"/>
      <c r="EW57" s="159"/>
      <c r="EX57" s="159"/>
      <c r="EY57" s="159"/>
      <c r="EZ57" s="159"/>
      <c r="FA57" s="159"/>
      <c r="FB57" s="159"/>
      <c r="FC57" s="159"/>
      <c r="FD57" s="159"/>
      <c r="FE57" s="159"/>
      <c r="FF57" s="159"/>
      <c r="FG57" s="159"/>
      <c r="FH57" s="159"/>
      <c r="FI57" s="159"/>
      <c r="FJ57" s="159"/>
      <c r="FK57" s="163"/>
      <c r="FL57" s="163"/>
      <c r="FM57" s="163"/>
      <c r="FN57" s="159"/>
      <c r="FO57" s="159"/>
      <c r="FP57" s="159"/>
      <c r="FQ57" s="159"/>
      <c r="FR57" s="159"/>
      <c r="FS57" s="159"/>
      <c r="FT57" s="159"/>
      <c r="FU57" s="159"/>
      <c r="FV57" s="159"/>
      <c r="FW57" s="159"/>
      <c r="FX57" s="159"/>
      <c r="FY57" s="159"/>
      <c r="FZ57" s="159"/>
      <c r="GA57" s="159"/>
      <c r="GB57" s="159"/>
      <c r="GC57" s="159"/>
      <c r="GD57" s="159"/>
      <c r="GE57" s="159"/>
      <c r="GF57" s="159"/>
      <c r="GG57" s="159"/>
      <c r="GH57" s="159"/>
      <c r="GI57" s="159"/>
      <c r="GJ57" s="159"/>
      <c r="GK57" s="162"/>
      <c r="GL57" s="158"/>
      <c r="GM57" s="159"/>
      <c r="GN57" s="159"/>
      <c r="GO57" s="159"/>
      <c r="GP57" s="159"/>
      <c r="GQ57" s="159"/>
      <c r="GR57" s="159"/>
      <c r="GS57" s="159"/>
      <c r="GT57" s="159"/>
      <c r="GU57" s="159"/>
      <c r="GV57" s="159"/>
      <c r="GW57" s="159"/>
      <c r="GX57" s="159"/>
      <c r="GY57" s="159"/>
      <c r="GZ57" s="159"/>
      <c r="HA57" s="159"/>
      <c r="HB57" s="159"/>
      <c r="HC57" s="159"/>
      <c r="HD57" s="159"/>
      <c r="HE57" s="159"/>
      <c r="HF57" s="159"/>
      <c r="HG57" s="159"/>
      <c r="HH57" s="159"/>
      <c r="HI57" s="159"/>
      <c r="HJ57" s="159"/>
      <c r="HK57" s="159"/>
      <c r="HL57" s="159"/>
      <c r="HM57" s="159"/>
      <c r="HN57" s="159"/>
      <c r="HO57" s="159"/>
      <c r="HP57" s="159"/>
      <c r="HQ57" s="159"/>
      <c r="HR57" s="159"/>
      <c r="HS57" s="159"/>
      <c r="HT57" s="159"/>
      <c r="HU57" s="159"/>
      <c r="HV57" s="159"/>
      <c r="HW57" s="159"/>
      <c r="HX57" s="159"/>
      <c r="HY57" s="159"/>
      <c r="HZ57" s="159"/>
      <c r="IA57" s="159"/>
      <c r="IB57" s="159"/>
      <c r="IC57" s="159"/>
      <c r="ID57" s="159"/>
      <c r="IE57" s="159"/>
      <c r="IF57" s="159"/>
      <c r="IG57" s="160"/>
      <c r="IH57" s="159"/>
      <c r="II57" s="159"/>
      <c r="IJ57" s="182"/>
      <c r="IK57" s="173"/>
      <c r="IL57" s="173"/>
      <c r="IM57" s="185"/>
      <c r="IN57" s="152">
        <f>F57*10%</f>
        <v>0</v>
      </c>
      <c r="IO57" s="152">
        <f>F57+IN57</f>
        <v>0</v>
      </c>
    </row>
    <row r="58" spans="1:249" s="15" customFormat="1" ht="52.5" hidden="1" customHeight="1" thickBot="1" x14ac:dyDescent="0.2">
      <c r="A58" s="153"/>
      <c r="B58" s="179"/>
      <c r="C58" s="179"/>
      <c r="D58" s="188"/>
      <c r="E58" s="156">
        <f t="shared" si="59"/>
        <v>0</v>
      </c>
      <c r="F58" s="169"/>
      <c r="G58" s="141">
        <f>COUNTA(I58:IG58)</f>
        <v>0</v>
      </c>
      <c r="H58" s="142">
        <f>SUM(I58:IG58)</f>
        <v>0</v>
      </c>
      <c r="I58" s="158"/>
      <c r="J58" s="159"/>
      <c r="K58" s="160"/>
      <c r="L58" s="161"/>
      <c r="M58" s="159"/>
      <c r="N58" s="162"/>
      <c r="O58" s="158"/>
      <c r="P58" s="159"/>
      <c r="Q58" s="160"/>
      <c r="R58" s="161"/>
      <c r="S58" s="159"/>
      <c r="T58" s="159"/>
      <c r="U58" s="162"/>
      <c r="V58" s="158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60"/>
      <c r="AQ58" s="161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62"/>
      <c r="BJ58" s="158"/>
      <c r="BK58" s="159"/>
      <c r="BL58" s="159"/>
      <c r="BM58" s="159"/>
      <c r="BN58" s="159"/>
      <c r="BO58" s="159"/>
      <c r="BP58" s="159"/>
      <c r="BQ58" s="159"/>
      <c r="BR58" s="160"/>
      <c r="BS58" s="159"/>
      <c r="BT58" s="161"/>
      <c r="BU58" s="161"/>
      <c r="BV58" s="161"/>
      <c r="BW58" s="161"/>
      <c r="BX58" s="161"/>
      <c r="BY58" s="161"/>
      <c r="BZ58" s="161"/>
      <c r="CA58" s="161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62"/>
      <c r="CY58" s="158"/>
      <c r="CZ58" s="159"/>
      <c r="DA58" s="159"/>
      <c r="DB58" s="180"/>
      <c r="DC58" s="180"/>
      <c r="DD58" s="180"/>
      <c r="DE58" s="180"/>
      <c r="DF58" s="180"/>
      <c r="DG58" s="180"/>
      <c r="DH58" s="180"/>
      <c r="DI58" s="180"/>
      <c r="DJ58" s="180"/>
      <c r="DK58" s="180"/>
      <c r="DL58" s="180"/>
      <c r="DM58" s="180"/>
      <c r="DN58" s="180"/>
      <c r="DO58" s="180"/>
      <c r="DP58" s="180"/>
      <c r="DQ58" s="180"/>
      <c r="DR58" s="180"/>
      <c r="DS58" s="180"/>
      <c r="DT58" s="180"/>
      <c r="DU58" s="180"/>
      <c r="DV58" s="180"/>
      <c r="DW58" s="180"/>
      <c r="DX58" s="180"/>
      <c r="DY58" s="180"/>
      <c r="DZ58" s="180"/>
      <c r="EA58" s="180"/>
      <c r="EB58" s="180"/>
      <c r="EC58" s="180"/>
      <c r="ED58" s="180"/>
      <c r="EE58" s="180"/>
      <c r="EF58" s="180"/>
      <c r="EG58" s="180"/>
      <c r="EH58" s="180"/>
      <c r="EI58" s="180"/>
      <c r="EJ58" s="180"/>
      <c r="EK58" s="180"/>
      <c r="EL58" s="180"/>
      <c r="EM58" s="180"/>
      <c r="EN58" s="180"/>
      <c r="EO58" s="180"/>
      <c r="EP58" s="180"/>
      <c r="EQ58" s="181"/>
      <c r="ER58" s="161"/>
      <c r="ES58" s="159"/>
      <c r="ET58" s="159"/>
      <c r="EU58" s="159"/>
      <c r="EV58" s="159"/>
      <c r="EW58" s="159"/>
      <c r="EX58" s="159"/>
      <c r="EY58" s="159"/>
      <c r="EZ58" s="159"/>
      <c r="FA58" s="159"/>
      <c r="FB58" s="159"/>
      <c r="FC58" s="159"/>
      <c r="FD58" s="159"/>
      <c r="FE58" s="159"/>
      <c r="FF58" s="159"/>
      <c r="FG58" s="159"/>
      <c r="FH58" s="159"/>
      <c r="FI58" s="159"/>
      <c r="FJ58" s="159"/>
      <c r="FK58" s="180"/>
      <c r="FL58" s="180"/>
      <c r="FM58" s="180"/>
      <c r="FN58" s="159"/>
      <c r="FO58" s="159"/>
      <c r="FP58" s="159"/>
      <c r="FQ58" s="159"/>
      <c r="FR58" s="159"/>
      <c r="FS58" s="159"/>
      <c r="FT58" s="159"/>
      <c r="FU58" s="159"/>
      <c r="FV58" s="159"/>
      <c r="FW58" s="159"/>
      <c r="FX58" s="159"/>
      <c r="FY58" s="159"/>
      <c r="FZ58" s="159"/>
      <c r="GA58" s="159"/>
      <c r="GB58" s="159"/>
      <c r="GC58" s="159"/>
      <c r="GD58" s="159"/>
      <c r="GE58" s="159"/>
      <c r="GF58" s="159"/>
      <c r="GG58" s="159"/>
      <c r="GH58" s="159"/>
      <c r="GI58" s="159"/>
      <c r="GJ58" s="159"/>
      <c r="GK58" s="162"/>
      <c r="GL58" s="158"/>
      <c r="GM58" s="159"/>
      <c r="GN58" s="159"/>
      <c r="GO58" s="159"/>
      <c r="GP58" s="159"/>
      <c r="GQ58" s="159"/>
      <c r="GR58" s="159"/>
      <c r="GS58" s="159"/>
      <c r="GT58" s="159"/>
      <c r="GU58" s="159"/>
      <c r="GV58" s="159"/>
      <c r="GW58" s="159"/>
      <c r="GX58" s="159"/>
      <c r="GY58" s="159"/>
      <c r="GZ58" s="159"/>
      <c r="HA58" s="159"/>
      <c r="HB58" s="159"/>
      <c r="HC58" s="159"/>
      <c r="HD58" s="159"/>
      <c r="HE58" s="159"/>
      <c r="HF58" s="159"/>
      <c r="HG58" s="159"/>
      <c r="HH58" s="159"/>
      <c r="HI58" s="159"/>
      <c r="HJ58" s="159"/>
      <c r="HK58" s="159"/>
      <c r="HL58" s="159"/>
      <c r="HM58" s="159"/>
      <c r="HN58" s="159"/>
      <c r="HO58" s="159"/>
      <c r="HP58" s="159"/>
      <c r="HQ58" s="159"/>
      <c r="HR58" s="159"/>
      <c r="HS58" s="159"/>
      <c r="HT58" s="159"/>
      <c r="HU58" s="159"/>
      <c r="HV58" s="159"/>
      <c r="HW58" s="159"/>
      <c r="HX58" s="159"/>
      <c r="HY58" s="159"/>
      <c r="HZ58" s="159"/>
      <c r="IA58" s="159"/>
      <c r="IB58" s="159"/>
      <c r="IC58" s="159"/>
      <c r="ID58" s="159"/>
      <c r="IE58" s="159"/>
      <c r="IF58" s="159"/>
      <c r="IG58" s="160"/>
      <c r="IH58" s="159"/>
      <c r="II58" s="159"/>
      <c r="IJ58" s="182"/>
      <c r="IK58" s="173"/>
      <c r="IL58" s="173"/>
      <c r="IM58" s="185"/>
      <c r="IN58" s="152">
        <f>F58*10%</f>
        <v>0</v>
      </c>
      <c r="IO58" s="152">
        <f>F58+IN58</f>
        <v>0</v>
      </c>
    </row>
    <row r="59" spans="1:249" s="15" customFormat="1" ht="52.5" hidden="1" customHeight="1" thickBot="1" x14ac:dyDescent="0.2">
      <c r="A59" s="153"/>
      <c r="B59" s="167"/>
      <c r="C59" s="167"/>
      <c r="D59" s="168"/>
      <c r="E59" s="156">
        <f t="shared" si="59"/>
        <v>0</v>
      </c>
      <c r="F59" s="169"/>
      <c r="G59" s="141">
        <f>COUNTA(I59:IG59)</f>
        <v>0</v>
      </c>
      <c r="H59" s="142">
        <f>SUM(I59:IG59)</f>
        <v>0</v>
      </c>
      <c r="I59" s="158"/>
      <c r="J59" s="159"/>
      <c r="K59" s="160"/>
      <c r="L59" s="161"/>
      <c r="M59" s="159"/>
      <c r="N59" s="162"/>
      <c r="O59" s="158"/>
      <c r="P59" s="159"/>
      <c r="Q59" s="160"/>
      <c r="R59" s="161"/>
      <c r="S59" s="159"/>
      <c r="T59" s="159"/>
      <c r="U59" s="162"/>
      <c r="V59" s="158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60"/>
      <c r="AQ59" s="161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62"/>
      <c r="BJ59" s="158"/>
      <c r="BK59" s="159"/>
      <c r="BL59" s="159"/>
      <c r="BM59" s="159"/>
      <c r="BN59" s="159"/>
      <c r="BO59" s="159"/>
      <c r="BP59" s="159"/>
      <c r="BQ59" s="159"/>
      <c r="BR59" s="160"/>
      <c r="BS59" s="159"/>
      <c r="BT59" s="161"/>
      <c r="BU59" s="161"/>
      <c r="BV59" s="161"/>
      <c r="BW59" s="161"/>
      <c r="BX59" s="161"/>
      <c r="BY59" s="161"/>
      <c r="BZ59" s="161"/>
      <c r="CA59" s="161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62"/>
      <c r="CY59" s="158"/>
      <c r="CZ59" s="159"/>
      <c r="DA59" s="159"/>
      <c r="DB59" s="180"/>
      <c r="DC59" s="180"/>
      <c r="DD59" s="180"/>
      <c r="DE59" s="180"/>
      <c r="DF59" s="180"/>
      <c r="DG59" s="180"/>
      <c r="DH59" s="180"/>
      <c r="DI59" s="180"/>
      <c r="DJ59" s="180"/>
      <c r="DK59" s="180"/>
      <c r="DL59" s="180"/>
      <c r="DM59" s="180"/>
      <c r="DN59" s="180"/>
      <c r="DO59" s="180"/>
      <c r="DP59" s="180"/>
      <c r="DQ59" s="180"/>
      <c r="DR59" s="180"/>
      <c r="DS59" s="180"/>
      <c r="DT59" s="180"/>
      <c r="DU59" s="180"/>
      <c r="DV59" s="180"/>
      <c r="DW59" s="180"/>
      <c r="DX59" s="180"/>
      <c r="DY59" s="180"/>
      <c r="DZ59" s="180"/>
      <c r="EA59" s="180"/>
      <c r="EB59" s="180"/>
      <c r="EC59" s="180"/>
      <c r="ED59" s="180"/>
      <c r="EE59" s="180"/>
      <c r="EF59" s="180"/>
      <c r="EG59" s="180"/>
      <c r="EH59" s="180"/>
      <c r="EI59" s="180"/>
      <c r="EJ59" s="180"/>
      <c r="EK59" s="180"/>
      <c r="EL59" s="180"/>
      <c r="EM59" s="180"/>
      <c r="EN59" s="180"/>
      <c r="EO59" s="180"/>
      <c r="EP59" s="180"/>
      <c r="EQ59" s="181"/>
      <c r="ER59" s="161"/>
      <c r="ES59" s="159"/>
      <c r="ET59" s="159"/>
      <c r="EU59" s="159"/>
      <c r="EV59" s="159"/>
      <c r="EW59" s="159"/>
      <c r="EX59" s="159"/>
      <c r="EY59" s="159"/>
      <c r="EZ59" s="159"/>
      <c r="FA59" s="159"/>
      <c r="FB59" s="159"/>
      <c r="FC59" s="159"/>
      <c r="FD59" s="159"/>
      <c r="FE59" s="159"/>
      <c r="FF59" s="159"/>
      <c r="FG59" s="159"/>
      <c r="FH59" s="159"/>
      <c r="FI59" s="159"/>
      <c r="FJ59" s="159"/>
      <c r="FK59" s="180"/>
      <c r="FL59" s="180"/>
      <c r="FM59" s="180"/>
      <c r="FN59" s="159"/>
      <c r="FO59" s="159"/>
      <c r="FP59" s="159"/>
      <c r="FQ59" s="159"/>
      <c r="FR59" s="159"/>
      <c r="FS59" s="159"/>
      <c r="FT59" s="159"/>
      <c r="FU59" s="159"/>
      <c r="FV59" s="159"/>
      <c r="FW59" s="159"/>
      <c r="FX59" s="159"/>
      <c r="FY59" s="159"/>
      <c r="FZ59" s="159"/>
      <c r="GA59" s="159"/>
      <c r="GB59" s="159"/>
      <c r="GC59" s="159"/>
      <c r="GD59" s="159"/>
      <c r="GE59" s="159"/>
      <c r="GF59" s="159"/>
      <c r="GG59" s="159"/>
      <c r="GH59" s="159"/>
      <c r="GI59" s="159"/>
      <c r="GJ59" s="159"/>
      <c r="GK59" s="162"/>
      <c r="GL59" s="158"/>
      <c r="GM59" s="159"/>
      <c r="GN59" s="159"/>
      <c r="GO59" s="159"/>
      <c r="GP59" s="159"/>
      <c r="GQ59" s="159"/>
      <c r="GR59" s="159"/>
      <c r="GS59" s="159"/>
      <c r="GT59" s="159"/>
      <c r="GU59" s="159"/>
      <c r="GV59" s="159"/>
      <c r="GW59" s="159"/>
      <c r="GX59" s="159"/>
      <c r="GY59" s="159"/>
      <c r="GZ59" s="159"/>
      <c r="HA59" s="159"/>
      <c r="HB59" s="159"/>
      <c r="HC59" s="159"/>
      <c r="HD59" s="159"/>
      <c r="HE59" s="159"/>
      <c r="HF59" s="159"/>
      <c r="HG59" s="159"/>
      <c r="HH59" s="159"/>
      <c r="HI59" s="159"/>
      <c r="HJ59" s="159"/>
      <c r="HK59" s="159"/>
      <c r="HL59" s="159"/>
      <c r="HM59" s="159"/>
      <c r="HN59" s="159"/>
      <c r="HO59" s="159"/>
      <c r="HP59" s="159"/>
      <c r="HQ59" s="159"/>
      <c r="HR59" s="159"/>
      <c r="HS59" s="159"/>
      <c r="HT59" s="159"/>
      <c r="HU59" s="159"/>
      <c r="HV59" s="159"/>
      <c r="HW59" s="159"/>
      <c r="HX59" s="159"/>
      <c r="HY59" s="159"/>
      <c r="HZ59" s="159"/>
      <c r="IA59" s="159"/>
      <c r="IB59" s="159"/>
      <c r="IC59" s="159"/>
      <c r="ID59" s="159"/>
      <c r="IE59" s="159"/>
      <c r="IF59" s="159"/>
      <c r="IG59" s="160"/>
      <c r="IH59" s="159"/>
      <c r="II59" s="159"/>
      <c r="IJ59" s="182"/>
      <c r="IK59" s="173"/>
      <c r="IL59" s="173"/>
      <c r="IM59" s="185"/>
      <c r="IN59" s="152">
        <f>F59*10%</f>
        <v>0</v>
      </c>
      <c r="IO59" s="152">
        <f>F59+IN59</f>
        <v>0</v>
      </c>
    </row>
    <row r="60" spans="1:249" ht="52.5" hidden="1" customHeight="1" thickBot="1" x14ac:dyDescent="0.35">
      <c r="A60" s="153"/>
      <c r="B60" s="167"/>
      <c r="C60" s="167"/>
      <c r="D60" s="168"/>
      <c r="E60" s="156">
        <f t="shared" si="59"/>
        <v>0</v>
      </c>
      <c r="F60" s="169"/>
      <c r="G60" s="141">
        <f>COUNTA(I60:IG60)</f>
        <v>0</v>
      </c>
      <c r="H60" s="142">
        <f>SUM(I60:IG60)</f>
        <v>0</v>
      </c>
      <c r="I60" s="158"/>
      <c r="J60" s="159"/>
      <c r="K60" s="160"/>
      <c r="L60" s="161"/>
      <c r="M60" s="159"/>
      <c r="N60" s="162"/>
      <c r="O60" s="158"/>
      <c r="P60" s="159"/>
      <c r="Q60" s="160"/>
      <c r="R60" s="161"/>
      <c r="S60" s="159"/>
      <c r="T60" s="159"/>
      <c r="U60" s="162"/>
      <c r="V60" s="158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60"/>
      <c r="AQ60" s="161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62"/>
      <c r="BJ60" s="158"/>
      <c r="BK60" s="159"/>
      <c r="BL60" s="159"/>
      <c r="BM60" s="159"/>
      <c r="BN60" s="159"/>
      <c r="BO60" s="159"/>
      <c r="BP60" s="159"/>
      <c r="BQ60" s="159"/>
      <c r="BR60" s="160"/>
      <c r="BS60" s="159"/>
      <c r="BT60" s="161"/>
      <c r="BU60" s="161"/>
      <c r="BV60" s="161"/>
      <c r="BW60" s="161"/>
      <c r="BX60" s="161"/>
      <c r="BY60" s="161"/>
      <c r="BZ60" s="161"/>
      <c r="CA60" s="161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62"/>
      <c r="CY60" s="158"/>
      <c r="CZ60" s="159"/>
      <c r="DA60" s="159"/>
      <c r="DB60" s="180"/>
      <c r="DC60" s="180"/>
      <c r="DD60" s="180"/>
      <c r="DE60" s="180"/>
      <c r="DF60" s="180"/>
      <c r="DG60" s="180"/>
      <c r="DH60" s="180"/>
      <c r="DI60" s="180"/>
      <c r="DJ60" s="180"/>
      <c r="DK60" s="180"/>
      <c r="DL60" s="180"/>
      <c r="DM60" s="180"/>
      <c r="DN60" s="180"/>
      <c r="DO60" s="180"/>
      <c r="DP60" s="180"/>
      <c r="DQ60" s="180"/>
      <c r="DR60" s="180"/>
      <c r="DS60" s="180"/>
      <c r="DT60" s="180"/>
      <c r="DU60" s="180"/>
      <c r="DV60" s="180"/>
      <c r="DW60" s="180"/>
      <c r="DX60" s="180"/>
      <c r="DY60" s="180"/>
      <c r="DZ60" s="180"/>
      <c r="EA60" s="180"/>
      <c r="EB60" s="180"/>
      <c r="EC60" s="180"/>
      <c r="ED60" s="180"/>
      <c r="EE60" s="180"/>
      <c r="EF60" s="180"/>
      <c r="EG60" s="180"/>
      <c r="EH60" s="180"/>
      <c r="EI60" s="180"/>
      <c r="EJ60" s="180"/>
      <c r="EK60" s="180"/>
      <c r="EL60" s="180"/>
      <c r="EM60" s="180"/>
      <c r="EN60" s="180"/>
      <c r="EO60" s="180"/>
      <c r="EP60" s="180"/>
      <c r="EQ60" s="181"/>
      <c r="ER60" s="161"/>
      <c r="ES60" s="159"/>
      <c r="ET60" s="159"/>
      <c r="EU60" s="159"/>
      <c r="EV60" s="159"/>
      <c r="EW60" s="159"/>
      <c r="EX60" s="159"/>
      <c r="EY60" s="159"/>
      <c r="EZ60" s="159"/>
      <c r="FA60" s="159"/>
      <c r="FB60" s="159"/>
      <c r="FC60" s="159"/>
      <c r="FD60" s="159"/>
      <c r="FE60" s="159"/>
      <c r="FF60" s="159"/>
      <c r="FG60" s="159"/>
      <c r="FH60" s="159"/>
      <c r="FI60" s="159"/>
      <c r="FJ60" s="159"/>
      <c r="FK60" s="180"/>
      <c r="FL60" s="180"/>
      <c r="FM60" s="180"/>
      <c r="FN60" s="159"/>
      <c r="FO60" s="159"/>
      <c r="FP60" s="159"/>
      <c r="FQ60" s="159"/>
      <c r="FR60" s="159"/>
      <c r="FS60" s="159"/>
      <c r="FT60" s="159"/>
      <c r="FU60" s="159"/>
      <c r="FV60" s="159"/>
      <c r="FW60" s="159"/>
      <c r="FX60" s="159"/>
      <c r="FY60" s="159"/>
      <c r="FZ60" s="159"/>
      <c r="GA60" s="159"/>
      <c r="GB60" s="159"/>
      <c r="GC60" s="159"/>
      <c r="GD60" s="159"/>
      <c r="GE60" s="159"/>
      <c r="GF60" s="159"/>
      <c r="GG60" s="159"/>
      <c r="GH60" s="159"/>
      <c r="GI60" s="159"/>
      <c r="GJ60" s="159"/>
      <c r="GK60" s="162"/>
      <c r="GL60" s="158"/>
      <c r="GM60" s="159"/>
      <c r="GN60" s="159"/>
      <c r="GO60" s="159"/>
      <c r="GP60" s="159"/>
      <c r="GQ60" s="159"/>
      <c r="GR60" s="159"/>
      <c r="GS60" s="159"/>
      <c r="GT60" s="159"/>
      <c r="GU60" s="159"/>
      <c r="GV60" s="159"/>
      <c r="GW60" s="159"/>
      <c r="GX60" s="159"/>
      <c r="GY60" s="159"/>
      <c r="GZ60" s="159"/>
      <c r="HA60" s="159"/>
      <c r="HB60" s="159"/>
      <c r="HC60" s="159"/>
      <c r="HD60" s="159"/>
      <c r="HE60" s="159"/>
      <c r="HF60" s="159"/>
      <c r="HG60" s="159"/>
      <c r="HH60" s="159"/>
      <c r="HI60" s="159"/>
      <c r="HJ60" s="159"/>
      <c r="HK60" s="159"/>
      <c r="HL60" s="159"/>
      <c r="HM60" s="159"/>
      <c r="HN60" s="159"/>
      <c r="HO60" s="159"/>
      <c r="HP60" s="159"/>
      <c r="HQ60" s="159"/>
      <c r="HR60" s="159"/>
      <c r="HS60" s="159"/>
      <c r="HT60" s="159"/>
      <c r="HU60" s="159"/>
      <c r="HV60" s="159"/>
      <c r="HW60" s="159"/>
      <c r="HX60" s="159"/>
      <c r="HY60" s="159"/>
      <c r="HZ60" s="159"/>
      <c r="IA60" s="159"/>
      <c r="IB60" s="159"/>
      <c r="IC60" s="159"/>
      <c r="ID60" s="159"/>
      <c r="IE60" s="159"/>
      <c r="IF60" s="159"/>
      <c r="IG60" s="160"/>
      <c r="IH60" s="159"/>
      <c r="II60" s="159"/>
      <c r="IJ60" s="182"/>
      <c r="IK60" s="173"/>
      <c r="IL60" s="173"/>
      <c r="IM60" s="185"/>
      <c r="IN60" s="152">
        <f>F60*10%</f>
        <v>0</v>
      </c>
      <c r="IO60" s="152">
        <f>F60+IN60</f>
        <v>0</v>
      </c>
    </row>
    <row r="61" spans="1:249" ht="52.5" hidden="1" customHeight="1" thickBot="1" x14ac:dyDescent="0.35">
      <c r="A61" s="153"/>
      <c r="B61" s="167"/>
      <c r="C61" s="167"/>
      <c r="D61" s="168"/>
      <c r="E61" s="156">
        <f t="shared" si="59"/>
        <v>0</v>
      </c>
      <c r="F61" s="169"/>
      <c r="G61" s="141">
        <f>COUNTA(I61:IG61)</f>
        <v>0</v>
      </c>
      <c r="H61" s="142">
        <f>SUM(I61:IG61)</f>
        <v>0</v>
      </c>
      <c r="I61" s="192"/>
      <c r="J61" s="159"/>
      <c r="K61" s="160"/>
      <c r="L61" s="161"/>
      <c r="M61" s="159"/>
      <c r="N61" s="162"/>
      <c r="O61" s="158"/>
      <c r="P61" s="159"/>
      <c r="Q61" s="160"/>
      <c r="R61" s="161"/>
      <c r="S61" s="159"/>
      <c r="T61" s="159"/>
      <c r="U61" s="162"/>
      <c r="V61" s="158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60"/>
      <c r="AQ61" s="161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62"/>
      <c r="BJ61" s="158"/>
      <c r="BK61" s="159"/>
      <c r="BL61" s="159"/>
      <c r="BM61" s="159"/>
      <c r="BN61" s="159"/>
      <c r="BO61" s="159"/>
      <c r="BP61" s="159"/>
      <c r="BQ61" s="159"/>
      <c r="BR61" s="160"/>
      <c r="BS61" s="159"/>
      <c r="BT61" s="161"/>
      <c r="BU61" s="161"/>
      <c r="BV61" s="161"/>
      <c r="BW61" s="161"/>
      <c r="BX61" s="161"/>
      <c r="BY61" s="161"/>
      <c r="BZ61" s="161"/>
      <c r="CA61" s="161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62"/>
      <c r="CY61" s="158"/>
      <c r="CZ61" s="159"/>
      <c r="DA61" s="159"/>
      <c r="DB61" s="193"/>
      <c r="DC61" s="193"/>
      <c r="DD61" s="193"/>
      <c r="DE61" s="193"/>
      <c r="DF61" s="193"/>
      <c r="DG61" s="193"/>
      <c r="DH61" s="193"/>
      <c r="DI61" s="193"/>
      <c r="DJ61" s="193"/>
      <c r="DK61" s="193"/>
      <c r="DL61" s="193"/>
      <c r="DM61" s="193"/>
      <c r="DN61" s="193"/>
      <c r="DO61" s="193"/>
      <c r="DP61" s="193"/>
      <c r="DQ61" s="193"/>
      <c r="DR61" s="193"/>
      <c r="DS61" s="193"/>
      <c r="DT61" s="193"/>
      <c r="DU61" s="193"/>
      <c r="DV61" s="193"/>
      <c r="DW61" s="193"/>
      <c r="DX61" s="193"/>
      <c r="DY61" s="193"/>
      <c r="DZ61" s="193"/>
      <c r="EA61" s="193"/>
      <c r="EB61" s="193"/>
      <c r="EC61" s="193"/>
      <c r="ED61" s="193"/>
      <c r="EE61" s="193"/>
      <c r="EF61" s="193"/>
      <c r="EG61" s="193"/>
      <c r="EH61" s="193"/>
      <c r="EI61" s="193"/>
      <c r="EJ61" s="193"/>
      <c r="EK61" s="193"/>
      <c r="EL61" s="193"/>
      <c r="EM61" s="193"/>
      <c r="EN61" s="193"/>
      <c r="EO61" s="193"/>
      <c r="EP61" s="193"/>
      <c r="EQ61" s="194"/>
      <c r="ER61" s="161"/>
      <c r="ES61" s="159"/>
      <c r="ET61" s="159"/>
      <c r="EU61" s="159"/>
      <c r="EV61" s="159"/>
      <c r="EW61" s="159"/>
      <c r="EX61" s="159"/>
      <c r="EY61" s="159"/>
      <c r="EZ61" s="159"/>
      <c r="FA61" s="159"/>
      <c r="FB61" s="159"/>
      <c r="FC61" s="159"/>
      <c r="FD61" s="159"/>
      <c r="FE61" s="159"/>
      <c r="FF61" s="159"/>
      <c r="FG61" s="159"/>
      <c r="FH61" s="159"/>
      <c r="FI61" s="159"/>
      <c r="FJ61" s="159"/>
      <c r="FK61" s="193"/>
      <c r="FL61" s="193"/>
      <c r="FM61" s="193"/>
      <c r="FN61" s="159"/>
      <c r="FO61" s="159"/>
      <c r="FP61" s="159"/>
      <c r="FQ61" s="159"/>
      <c r="FR61" s="159"/>
      <c r="FS61" s="159"/>
      <c r="FT61" s="159"/>
      <c r="FU61" s="159"/>
      <c r="FV61" s="159"/>
      <c r="FW61" s="159"/>
      <c r="FX61" s="159"/>
      <c r="FY61" s="159"/>
      <c r="FZ61" s="159"/>
      <c r="GA61" s="159"/>
      <c r="GB61" s="159"/>
      <c r="GC61" s="159"/>
      <c r="GD61" s="159"/>
      <c r="GE61" s="159"/>
      <c r="GF61" s="159"/>
      <c r="GG61" s="159"/>
      <c r="GH61" s="159"/>
      <c r="GI61" s="159"/>
      <c r="GJ61" s="159"/>
      <c r="GK61" s="162"/>
      <c r="GL61" s="158"/>
      <c r="GM61" s="159"/>
      <c r="GN61" s="159"/>
      <c r="GO61" s="159"/>
      <c r="GP61" s="159"/>
      <c r="GQ61" s="177"/>
      <c r="GR61" s="177"/>
      <c r="GS61" s="177"/>
      <c r="GT61" s="177"/>
      <c r="GU61" s="177"/>
      <c r="GV61" s="177"/>
      <c r="GW61" s="177"/>
      <c r="GX61" s="177"/>
      <c r="GY61" s="177"/>
      <c r="GZ61" s="177"/>
      <c r="HA61" s="177"/>
      <c r="HB61" s="177"/>
      <c r="HC61" s="177"/>
      <c r="HD61" s="177"/>
      <c r="HE61" s="177"/>
      <c r="HF61" s="177"/>
      <c r="HG61" s="177"/>
      <c r="HH61" s="177"/>
      <c r="HI61" s="177"/>
      <c r="HJ61" s="177"/>
      <c r="HK61" s="177"/>
      <c r="HL61" s="177"/>
      <c r="HM61" s="177"/>
      <c r="HN61" s="177"/>
      <c r="HO61" s="177"/>
      <c r="HP61" s="177"/>
      <c r="HQ61" s="177"/>
      <c r="HR61" s="177"/>
      <c r="HS61" s="177"/>
      <c r="HT61" s="177"/>
      <c r="HU61" s="177"/>
      <c r="HV61" s="177"/>
      <c r="HW61" s="177"/>
      <c r="HX61" s="177"/>
      <c r="HY61" s="177"/>
      <c r="HZ61" s="177"/>
      <c r="IA61" s="177"/>
      <c r="IB61" s="177"/>
      <c r="IC61" s="177"/>
      <c r="ID61" s="177"/>
      <c r="IE61" s="177"/>
      <c r="IF61" s="177"/>
      <c r="IG61" s="178"/>
      <c r="IH61" s="177"/>
      <c r="II61" s="177"/>
      <c r="IJ61" s="182"/>
      <c r="IK61" s="173"/>
      <c r="IL61" s="173"/>
      <c r="IM61" s="185"/>
      <c r="IN61" s="152">
        <f>F61*10%</f>
        <v>0</v>
      </c>
      <c r="IO61" s="152">
        <f>F61+IN61</f>
        <v>0</v>
      </c>
    </row>
    <row r="62" spans="1:249" s="15" customFormat="1" ht="52.5" customHeight="1" thickBot="1" x14ac:dyDescent="0.2">
      <c r="A62" s="195"/>
      <c r="B62" s="196"/>
      <c r="C62" s="197"/>
      <c r="D62" s="198"/>
      <c r="E62" s="199">
        <f t="shared" si="59"/>
        <v>0</v>
      </c>
      <c r="F62" s="200"/>
      <c r="G62" s="113">
        <f>COUNTA(I62:IG62)</f>
        <v>0</v>
      </c>
      <c r="H62" s="114">
        <f>SUM(I62:IG62)</f>
        <v>0</v>
      </c>
      <c r="I62" s="201"/>
      <c r="J62" s="202"/>
      <c r="K62" s="203"/>
      <c r="L62" s="204"/>
      <c r="M62" s="202"/>
      <c r="N62" s="205"/>
      <c r="O62" s="201"/>
      <c r="P62" s="202"/>
      <c r="Q62" s="203"/>
      <c r="R62" s="204"/>
      <c r="S62" s="202"/>
      <c r="T62" s="202"/>
      <c r="U62" s="205"/>
      <c r="V62" s="201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3"/>
      <c r="AQ62" s="204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5"/>
      <c r="BJ62" s="201"/>
      <c r="BK62" s="202"/>
      <c r="BL62" s="202"/>
      <c r="BM62" s="202"/>
      <c r="BN62" s="202"/>
      <c r="BO62" s="202"/>
      <c r="BP62" s="202"/>
      <c r="BQ62" s="202"/>
      <c r="BR62" s="203"/>
      <c r="BS62" s="202"/>
      <c r="BT62" s="204"/>
      <c r="BU62" s="204"/>
      <c r="BV62" s="204"/>
      <c r="BW62" s="204"/>
      <c r="BX62" s="204"/>
      <c r="BY62" s="204"/>
      <c r="BZ62" s="204"/>
      <c r="CA62" s="204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5"/>
      <c r="CY62" s="201"/>
      <c r="CZ62" s="202"/>
      <c r="DA62" s="202"/>
      <c r="DB62" s="206"/>
      <c r="DC62" s="206"/>
      <c r="DD62" s="206"/>
      <c r="DE62" s="206"/>
      <c r="DF62" s="206"/>
      <c r="DG62" s="206"/>
      <c r="DH62" s="206"/>
      <c r="DI62" s="206"/>
      <c r="DJ62" s="206"/>
      <c r="DK62" s="206"/>
      <c r="DL62" s="206"/>
      <c r="DM62" s="206"/>
      <c r="DN62" s="206"/>
      <c r="DO62" s="206"/>
      <c r="DP62" s="206"/>
      <c r="DQ62" s="206"/>
      <c r="DR62" s="206"/>
      <c r="DS62" s="206"/>
      <c r="DT62" s="206"/>
      <c r="DU62" s="206"/>
      <c r="DV62" s="206"/>
      <c r="DW62" s="206"/>
      <c r="DX62" s="206"/>
      <c r="DY62" s="206"/>
      <c r="DZ62" s="206"/>
      <c r="EA62" s="206"/>
      <c r="EB62" s="206"/>
      <c r="EC62" s="206"/>
      <c r="ED62" s="206"/>
      <c r="EE62" s="206"/>
      <c r="EF62" s="206"/>
      <c r="EG62" s="206"/>
      <c r="EH62" s="206"/>
      <c r="EI62" s="206"/>
      <c r="EJ62" s="206"/>
      <c r="EK62" s="206"/>
      <c r="EL62" s="206"/>
      <c r="EM62" s="206"/>
      <c r="EN62" s="206"/>
      <c r="EO62" s="206"/>
      <c r="EP62" s="206"/>
      <c r="EQ62" s="207"/>
      <c r="ER62" s="204"/>
      <c r="ES62" s="202"/>
      <c r="ET62" s="202"/>
      <c r="EU62" s="202"/>
      <c r="EV62" s="202"/>
      <c r="EW62" s="202"/>
      <c r="EX62" s="202"/>
      <c r="EY62" s="202"/>
      <c r="EZ62" s="202"/>
      <c r="FA62" s="202"/>
      <c r="FB62" s="202"/>
      <c r="FC62" s="202"/>
      <c r="FD62" s="202"/>
      <c r="FE62" s="202"/>
      <c r="FF62" s="202"/>
      <c r="FG62" s="202"/>
      <c r="FH62" s="202"/>
      <c r="FI62" s="202"/>
      <c r="FJ62" s="202"/>
      <c r="FK62" s="206"/>
      <c r="FL62" s="206"/>
      <c r="FM62" s="206"/>
      <c r="FN62" s="202"/>
      <c r="FO62" s="202"/>
      <c r="FP62" s="202"/>
      <c r="FQ62" s="202"/>
      <c r="FR62" s="202"/>
      <c r="FS62" s="202"/>
      <c r="FT62" s="202"/>
      <c r="FU62" s="202"/>
      <c r="FV62" s="202"/>
      <c r="FW62" s="202"/>
      <c r="FX62" s="202"/>
      <c r="FY62" s="202"/>
      <c r="FZ62" s="202"/>
      <c r="GA62" s="202"/>
      <c r="GB62" s="202"/>
      <c r="GC62" s="202"/>
      <c r="GD62" s="202"/>
      <c r="GE62" s="202"/>
      <c r="GF62" s="202"/>
      <c r="GG62" s="202"/>
      <c r="GH62" s="202"/>
      <c r="GI62" s="202"/>
      <c r="GJ62" s="202"/>
      <c r="GK62" s="205"/>
      <c r="GL62" s="201"/>
      <c r="GM62" s="202"/>
      <c r="GN62" s="202"/>
      <c r="GO62" s="202"/>
      <c r="GP62" s="202"/>
      <c r="GQ62" s="202"/>
      <c r="GR62" s="202"/>
      <c r="GS62" s="202"/>
      <c r="GT62" s="202"/>
      <c r="GU62" s="202"/>
      <c r="GV62" s="202"/>
      <c r="GW62" s="202"/>
      <c r="GX62" s="202"/>
      <c r="GY62" s="202"/>
      <c r="GZ62" s="202"/>
      <c r="HA62" s="202"/>
      <c r="HB62" s="202"/>
      <c r="HC62" s="202"/>
      <c r="HD62" s="202"/>
      <c r="HE62" s="202"/>
      <c r="HF62" s="202"/>
      <c r="HG62" s="202"/>
      <c r="HH62" s="202"/>
      <c r="HI62" s="202"/>
      <c r="HJ62" s="202"/>
      <c r="HK62" s="202"/>
      <c r="HL62" s="202"/>
      <c r="HM62" s="202"/>
      <c r="HN62" s="202"/>
      <c r="HO62" s="202"/>
      <c r="HP62" s="202"/>
      <c r="HQ62" s="202"/>
      <c r="HR62" s="202"/>
      <c r="HS62" s="202"/>
      <c r="HT62" s="202"/>
      <c r="HU62" s="202"/>
      <c r="HV62" s="202"/>
      <c r="HW62" s="202"/>
      <c r="HX62" s="202"/>
      <c r="HY62" s="202"/>
      <c r="HZ62" s="202"/>
      <c r="IA62" s="202"/>
      <c r="IB62" s="202"/>
      <c r="IC62" s="202"/>
      <c r="ID62" s="202"/>
      <c r="IE62" s="202"/>
      <c r="IF62" s="202"/>
      <c r="IG62" s="203"/>
      <c r="IH62" s="202"/>
      <c r="II62" s="202"/>
      <c r="IJ62" s="208"/>
      <c r="IK62" s="209"/>
      <c r="IL62" s="209"/>
      <c r="IM62" s="210"/>
      <c r="IN62" s="152">
        <f>F62*10%</f>
        <v>0</v>
      </c>
      <c r="IO62" s="152">
        <f>F62+IN62</f>
        <v>0</v>
      </c>
    </row>
    <row r="63" spans="1:249" s="15" customFormat="1" ht="15" customHeight="1" thickBot="1" x14ac:dyDescent="0.2">
      <c r="A63" s="211"/>
      <c r="B63" s="212"/>
      <c r="C63" s="212"/>
      <c r="D63" s="212"/>
      <c r="E63" s="212"/>
      <c r="F63" s="213"/>
      <c r="G63" s="214"/>
      <c r="H63" s="123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15"/>
      <c r="DJ63" s="215"/>
      <c r="DK63" s="215"/>
      <c r="DL63" s="215"/>
      <c r="DM63" s="215"/>
      <c r="DN63" s="215"/>
      <c r="DO63" s="215"/>
      <c r="DP63" s="215"/>
      <c r="DQ63" s="215"/>
      <c r="DR63" s="215"/>
      <c r="DS63" s="215"/>
      <c r="DT63" s="215"/>
      <c r="DU63" s="215"/>
      <c r="DV63" s="215"/>
      <c r="DW63" s="215"/>
      <c r="DX63" s="215"/>
      <c r="DY63" s="215"/>
      <c r="DZ63" s="215"/>
      <c r="EA63" s="215"/>
      <c r="EB63" s="215"/>
      <c r="EC63" s="215"/>
      <c r="ED63" s="215"/>
      <c r="EE63" s="215"/>
      <c r="EF63" s="215"/>
      <c r="EG63" s="215"/>
      <c r="EH63" s="215"/>
      <c r="EI63" s="215"/>
      <c r="EJ63" s="215"/>
      <c r="EK63" s="215"/>
      <c r="EL63" s="215"/>
      <c r="EM63" s="215"/>
      <c r="EN63" s="215"/>
      <c r="EO63" s="215"/>
      <c r="EP63" s="215"/>
      <c r="EQ63" s="215"/>
      <c r="ER63" s="215"/>
      <c r="ES63" s="215"/>
      <c r="ET63" s="215"/>
      <c r="EU63" s="215"/>
      <c r="EV63" s="215"/>
      <c r="EW63" s="215"/>
      <c r="EX63" s="215"/>
      <c r="EY63" s="215"/>
      <c r="EZ63" s="215"/>
      <c r="FA63" s="215"/>
      <c r="FB63" s="215"/>
      <c r="FC63" s="215"/>
      <c r="FD63" s="215"/>
      <c r="FE63" s="215"/>
      <c r="FF63" s="215"/>
      <c r="FG63" s="215"/>
      <c r="FH63" s="215"/>
      <c r="FI63" s="215"/>
      <c r="FJ63" s="215"/>
      <c r="FK63" s="215"/>
      <c r="FL63" s="215"/>
      <c r="FM63" s="215"/>
      <c r="FN63" s="215"/>
      <c r="FO63" s="215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15"/>
      <c r="GI63" s="215"/>
      <c r="GJ63" s="215"/>
      <c r="GK63" s="2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215"/>
      <c r="HA63" s="215"/>
      <c r="HB63" s="215"/>
      <c r="HC63" s="215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15"/>
      <c r="IG63" s="215"/>
      <c r="IH63" s="215"/>
      <c r="II63" s="215"/>
      <c r="IJ63" s="216"/>
      <c r="IK63" s="216"/>
      <c r="IL63" s="216"/>
      <c r="IM63" s="217"/>
      <c r="IN63" s="116"/>
      <c r="IO63" s="116"/>
    </row>
    <row r="64" spans="1:249" s="15" customFormat="1" ht="56.1" hidden="1" customHeight="1" thickBot="1" x14ac:dyDescent="0.2">
      <c r="A64" s="218" t="s">
        <v>116</v>
      </c>
      <c r="B64" s="219"/>
      <c r="C64" s="219"/>
      <c r="D64" s="219"/>
      <c r="E64" s="219"/>
      <c r="F64" s="219"/>
      <c r="G64" s="220"/>
      <c r="H64" s="220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  <c r="BG64" s="221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1"/>
      <c r="CA64" s="221"/>
      <c r="CB64" s="221"/>
      <c r="CC64" s="221"/>
      <c r="CD64" s="221"/>
      <c r="CE64" s="221"/>
      <c r="CF64" s="221"/>
      <c r="CG64" s="221"/>
      <c r="CH64" s="221"/>
      <c r="CI64" s="221"/>
      <c r="CJ64" s="221"/>
      <c r="CK64" s="221"/>
      <c r="CL64" s="221"/>
      <c r="CM64" s="221"/>
      <c r="CN64" s="221"/>
      <c r="CO64" s="221"/>
      <c r="CP64" s="221"/>
      <c r="CQ64" s="221"/>
      <c r="CR64" s="221"/>
      <c r="CS64" s="221"/>
      <c r="CT64" s="221"/>
      <c r="CU64" s="221"/>
      <c r="CV64" s="221"/>
      <c r="CW64" s="221"/>
      <c r="CX64" s="221"/>
      <c r="CY64" s="221"/>
      <c r="CZ64" s="221"/>
      <c r="DA64" s="221"/>
      <c r="DB64" s="221"/>
      <c r="DC64" s="221"/>
      <c r="DD64" s="221"/>
      <c r="DE64" s="221"/>
      <c r="DF64" s="221"/>
      <c r="DG64" s="221"/>
      <c r="DH64" s="221"/>
      <c r="DI64" s="221"/>
      <c r="DJ64" s="221"/>
      <c r="DK64" s="221"/>
      <c r="DL64" s="221"/>
      <c r="DM64" s="221"/>
      <c r="DN64" s="221"/>
      <c r="DO64" s="221"/>
      <c r="DP64" s="221"/>
      <c r="DQ64" s="221"/>
      <c r="DR64" s="221"/>
      <c r="DS64" s="221"/>
      <c r="DT64" s="221"/>
      <c r="DU64" s="221"/>
      <c r="DV64" s="221"/>
      <c r="DW64" s="221"/>
      <c r="DX64" s="221"/>
      <c r="DY64" s="221"/>
      <c r="DZ64" s="221"/>
      <c r="EA64" s="221"/>
      <c r="EB64" s="221"/>
      <c r="EC64" s="221"/>
      <c r="ED64" s="221"/>
      <c r="EE64" s="221"/>
      <c r="EF64" s="221"/>
      <c r="EG64" s="221"/>
      <c r="EH64" s="221"/>
      <c r="EI64" s="221"/>
      <c r="EJ64" s="221"/>
      <c r="EK64" s="221"/>
      <c r="EL64" s="221"/>
      <c r="EM64" s="221"/>
      <c r="EN64" s="221"/>
      <c r="EO64" s="221"/>
      <c r="EP64" s="221"/>
      <c r="EQ64" s="221"/>
      <c r="ER64" s="221"/>
      <c r="ES64" s="221"/>
      <c r="ET64" s="221"/>
      <c r="EU64" s="221"/>
      <c r="EV64" s="221"/>
      <c r="EW64" s="221"/>
      <c r="EX64" s="221"/>
      <c r="EY64" s="221"/>
      <c r="EZ64" s="221"/>
      <c r="FA64" s="221"/>
      <c r="FB64" s="221"/>
      <c r="FC64" s="221"/>
      <c r="FD64" s="221"/>
      <c r="FE64" s="221"/>
      <c r="FF64" s="221"/>
      <c r="FG64" s="221"/>
      <c r="FH64" s="221"/>
      <c r="FI64" s="221"/>
      <c r="FJ64" s="221"/>
      <c r="FK64" s="221"/>
      <c r="FL64" s="221"/>
      <c r="FM64" s="221"/>
      <c r="FN64" s="221"/>
      <c r="FO64" s="221"/>
      <c r="FP64" s="221"/>
      <c r="FQ64" s="221"/>
      <c r="FR64" s="221"/>
      <c r="FS64" s="221"/>
      <c r="FT64" s="221"/>
      <c r="FU64" s="221"/>
      <c r="FV64" s="221"/>
      <c r="FW64" s="221"/>
      <c r="FX64" s="221"/>
      <c r="FY64" s="221"/>
      <c r="FZ64" s="221"/>
      <c r="GA64" s="221"/>
      <c r="GB64" s="221"/>
      <c r="GC64" s="221"/>
      <c r="GD64" s="221"/>
      <c r="GE64" s="221"/>
      <c r="GF64" s="221"/>
      <c r="GG64" s="221"/>
      <c r="GH64" s="221"/>
      <c r="GI64" s="221"/>
      <c r="GJ64" s="221"/>
      <c r="GK64" s="221"/>
      <c r="GL64" s="221"/>
      <c r="GM64" s="221"/>
      <c r="GN64" s="221"/>
      <c r="GO64" s="221"/>
      <c r="GP64" s="221"/>
      <c r="GQ64" s="221"/>
      <c r="GR64" s="221"/>
      <c r="GS64" s="221"/>
      <c r="GT64" s="221"/>
      <c r="GU64" s="221"/>
      <c r="GV64" s="221"/>
      <c r="GW64" s="221"/>
      <c r="GX64" s="221"/>
      <c r="GY64" s="221"/>
      <c r="GZ64" s="221"/>
      <c r="HA64" s="221"/>
      <c r="HB64" s="221"/>
      <c r="HC64" s="221"/>
      <c r="HD64" s="221"/>
      <c r="HE64" s="221"/>
      <c r="HF64" s="221"/>
      <c r="HG64" s="221"/>
      <c r="HH64" s="221"/>
      <c r="HI64" s="221"/>
      <c r="HJ64" s="221"/>
      <c r="HK64" s="221"/>
      <c r="HL64" s="221"/>
      <c r="HM64" s="221"/>
      <c r="HN64" s="221"/>
      <c r="HO64" s="221"/>
      <c r="HP64" s="221"/>
      <c r="HQ64" s="221"/>
      <c r="HR64" s="221"/>
      <c r="HS64" s="221"/>
      <c r="HT64" s="221"/>
      <c r="HU64" s="221"/>
      <c r="HV64" s="221"/>
      <c r="HW64" s="221"/>
      <c r="HX64" s="221"/>
      <c r="HY64" s="221"/>
      <c r="HZ64" s="221"/>
      <c r="IA64" s="221"/>
      <c r="IB64" s="221"/>
      <c r="IC64" s="221"/>
      <c r="ID64" s="221"/>
      <c r="IE64" s="221"/>
      <c r="IF64" s="221"/>
      <c r="IG64" s="221"/>
      <c r="IH64" s="221"/>
      <c r="II64" s="221"/>
      <c r="IJ64" s="222"/>
      <c r="IK64" s="222"/>
      <c r="IL64" s="222"/>
      <c r="IM64" s="223"/>
      <c r="IN64" s="116"/>
      <c r="IO64" s="116"/>
    </row>
    <row r="65" spans="1:249" s="15" customFormat="1" ht="56.1" hidden="1" customHeight="1" thickBot="1" x14ac:dyDescent="0.2">
      <c r="A65" s="224" t="s">
        <v>114</v>
      </c>
      <c r="B65" s="109">
        <f>COUNTA(B67:B71)</f>
        <v>0</v>
      </c>
      <c r="C65" s="225" t="s">
        <v>115</v>
      </c>
      <c r="D65" s="226"/>
      <c r="E65" s="226"/>
      <c r="F65" s="227">
        <f ca="1">SUM(F67:F104)</f>
        <v>0</v>
      </c>
      <c r="G65" s="228">
        <f>COUNTA(I65:IG65)</f>
        <v>233</v>
      </c>
      <c r="H65" s="229">
        <f>SUM(I65:IG65)</f>
        <v>0</v>
      </c>
      <c r="I65" s="230">
        <f>SUM(I66:I72)</f>
        <v>0</v>
      </c>
      <c r="J65" s="230">
        <f t="shared" ref="J65:II65" si="60">SUM(J66:J72)</f>
        <v>0</v>
      </c>
      <c r="K65" s="230">
        <f t="shared" si="60"/>
        <v>0</v>
      </c>
      <c r="L65" s="230">
        <f t="shared" si="60"/>
        <v>0</v>
      </c>
      <c r="M65" s="230">
        <f t="shared" si="60"/>
        <v>0</v>
      </c>
      <c r="N65" s="230">
        <f t="shared" si="60"/>
        <v>0</v>
      </c>
      <c r="O65" s="230">
        <f t="shared" si="60"/>
        <v>0</v>
      </c>
      <c r="P65" s="230">
        <f t="shared" si="60"/>
        <v>0</v>
      </c>
      <c r="Q65" s="230">
        <f t="shared" si="60"/>
        <v>0</v>
      </c>
      <c r="R65" s="230">
        <f t="shared" si="60"/>
        <v>0</v>
      </c>
      <c r="S65" s="230">
        <f t="shared" si="60"/>
        <v>0</v>
      </c>
      <c r="T65" s="230">
        <f t="shared" si="60"/>
        <v>0</v>
      </c>
      <c r="U65" s="230">
        <f t="shared" si="60"/>
        <v>0</v>
      </c>
      <c r="V65" s="230">
        <f t="shared" si="60"/>
        <v>0</v>
      </c>
      <c r="W65" s="230">
        <f t="shared" ref="W65:AI65" si="61">SUM(W66:W72)</f>
        <v>0</v>
      </c>
      <c r="X65" s="230">
        <f t="shared" ref="X65:Y65" si="62">SUM(X66:X72)</f>
        <v>0</v>
      </c>
      <c r="Y65" s="230">
        <f t="shared" si="62"/>
        <v>0</v>
      </c>
      <c r="Z65" s="230">
        <f t="shared" si="61"/>
        <v>0</v>
      </c>
      <c r="AA65" s="230">
        <f t="shared" si="61"/>
        <v>0</v>
      </c>
      <c r="AB65" s="230">
        <f t="shared" ref="AB65:AC65" si="63">SUM(AB66:AB72)</f>
        <v>0</v>
      </c>
      <c r="AC65" s="230">
        <f t="shared" si="63"/>
        <v>0</v>
      </c>
      <c r="AD65" s="230">
        <f t="shared" si="61"/>
        <v>0</v>
      </c>
      <c r="AE65" s="230">
        <f t="shared" si="61"/>
        <v>0</v>
      </c>
      <c r="AF65" s="230">
        <f t="shared" si="61"/>
        <v>0</v>
      </c>
      <c r="AG65" s="230">
        <f t="shared" ref="AG65:AH65" si="64">SUM(AG66:AG72)</f>
        <v>0</v>
      </c>
      <c r="AH65" s="230">
        <f t="shared" si="64"/>
        <v>0</v>
      </c>
      <c r="AI65" s="230">
        <f t="shared" si="61"/>
        <v>0</v>
      </c>
      <c r="AJ65" s="230">
        <f t="shared" si="60"/>
        <v>0</v>
      </c>
      <c r="AK65" s="230">
        <f t="shared" ref="AK65" si="65">SUM(AK66:AK72)</f>
        <v>0</v>
      </c>
      <c r="AL65" s="230">
        <f t="shared" si="60"/>
        <v>0</v>
      </c>
      <c r="AM65" s="230">
        <f t="shared" ref="AM65:AN65" si="66">SUM(AM66:AM72)</f>
        <v>0</v>
      </c>
      <c r="AN65" s="230">
        <f t="shared" si="66"/>
        <v>0</v>
      </c>
      <c r="AO65" s="230">
        <f t="shared" si="60"/>
        <v>0</v>
      </c>
      <c r="AP65" s="230">
        <f t="shared" si="60"/>
        <v>0</v>
      </c>
      <c r="AQ65" s="230">
        <f t="shared" si="60"/>
        <v>0</v>
      </c>
      <c r="AR65" s="230">
        <f t="shared" ref="AR65" si="67">SUM(AR66:AR72)</f>
        <v>0</v>
      </c>
      <c r="AS65" s="230">
        <f t="shared" si="60"/>
        <v>0</v>
      </c>
      <c r="AT65" s="230">
        <f t="shared" si="60"/>
        <v>0</v>
      </c>
      <c r="AU65" s="230">
        <f t="shared" ref="AU65:AY65" si="68">SUM(AU66:AU72)</f>
        <v>0</v>
      </c>
      <c r="AV65" s="230">
        <f t="shared" si="68"/>
        <v>0</v>
      </c>
      <c r="AW65" s="230">
        <f t="shared" si="68"/>
        <v>0</v>
      </c>
      <c r="AX65" s="230">
        <f t="shared" ref="AX65" si="69">SUM(AX66:AX72)</f>
        <v>0</v>
      </c>
      <c r="AY65" s="230">
        <f t="shared" si="68"/>
        <v>0</v>
      </c>
      <c r="AZ65" s="230">
        <f t="shared" si="60"/>
        <v>0</v>
      </c>
      <c r="BA65" s="230">
        <f t="shared" ref="BA65:BG65" si="70">SUM(BA66:BA72)</f>
        <v>0</v>
      </c>
      <c r="BB65" s="230">
        <f t="shared" si="70"/>
        <v>0</v>
      </c>
      <c r="BC65" s="230">
        <f t="shared" ref="BC65" si="71">SUM(BC66:BC72)</f>
        <v>0</v>
      </c>
      <c r="BD65" s="230">
        <f t="shared" si="70"/>
        <v>0</v>
      </c>
      <c r="BE65" s="230">
        <f t="shared" ref="BE65:BF65" si="72">SUM(BE66:BE72)</f>
        <v>0</v>
      </c>
      <c r="BF65" s="230">
        <f t="shared" si="72"/>
        <v>0</v>
      </c>
      <c r="BG65" s="230">
        <f t="shared" si="70"/>
        <v>0</v>
      </c>
      <c r="BH65" s="230">
        <f t="shared" si="60"/>
        <v>0</v>
      </c>
      <c r="BI65" s="230">
        <f t="shared" si="60"/>
        <v>0</v>
      </c>
      <c r="BJ65" s="230">
        <f t="shared" si="60"/>
        <v>0</v>
      </c>
      <c r="BK65" s="230">
        <f t="shared" si="60"/>
        <v>0</v>
      </c>
      <c r="BL65" s="230">
        <f t="shared" ref="BL65" si="73">SUM(BL66:BL72)</f>
        <v>0</v>
      </c>
      <c r="BM65" s="230">
        <f t="shared" si="60"/>
        <v>0</v>
      </c>
      <c r="BN65" s="230">
        <f t="shared" ref="BN65:BO65" si="74">SUM(BN66:BN72)</f>
        <v>0</v>
      </c>
      <c r="BO65" s="230">
        <f t="shared" si="74"/>
        <v>0</v>
      </c>
      <c r="BP65" s="230">
        <f t="shared" ref="BP65" si="75">SUM(BP66:BP72)</f>
        <v>0</v>
      </c>
      <c r="BQ65" s="230">
        <f t="shared" si="60"/>
        <v>0</v>
      </c>
      <c r="BR65" s="230">
        <f t="shared" si="60"/>
        <v>0</v>
      </c>
      <c r="BS65" s="230">
        <f t="shared" ref="BS65:BV65" si="76">SUM(BS66:BS72)</f>
        <v>0</v>
      </c>
      <c r="BT65" s="230">
        <f t="shared" ref="BT65:BZ65" si="77">SUM(BT66:BT72)</f>
        <v>0</v>
      </c>
      <c r="BU65" s="230">
        <f t="shared" si="76"/>
        <v>0</v>
      </c>
      <c r="BV65" s="230">
        <f t="shared" si="76"/>
        <v>0</v>
      </c>
      <c r="BW65" s="230">
        <f t="shared" si="77"/>
        <v>0</v>
      </c>
      <c r="BX65" s="230">
        <f t="shared" si="77"/>
        <v>0</v>
      </c>
      <c r="BY65" s="230">
        <f t="shared" ref="BY65" si="78">SUM(BY66:BY72)</f>
        <v>0</v>
      </c>
      <c r="BZ65" s="230">
        <f t="shared" si="77"/>
        <v>0</v>
      </c>
      <c r="CA65" s="230">
        <f t="shared" si="60"/>
        <v>0</v>
      </c>
      <c r="CB65" s="230">
        <f t="shared" ref="CB65:CC65" si="79">SUM(CB66:CB72)</f>
        <v>0</v>
      </c>
      <c r="CC65" s="230">
        <f t="shared" si="79"/>
        <v>0</v>
      </c>
      <c r="CD65" s="230">
        <f t="shared" si="60"/>
        <v>0</v>
      </c>
      <c r="CE65" s="230">
        <f>SUM(CE66:CE72)</f>
        <v>0</v>
      </c>
      <c r="CF65" s="230">
        <f t="shared" ref="CF65" si="80">SUM(CF66:CF72)</f>
        <v>0</v>
      </c>
      <c r="CG65" s="230">
        <f t="shared" ref="CG65:CH65" si="81">SUM(CG66:CG72)</f>
        <v>0</v>
      </c>
      <c r="CH65" s="230">
        <f t="shared" si="81"/>
        <v>0</v>
      </c>
      <c r="CI65" s="230">
        <f t="shared" si="60"/>
        <v>0</v>
      </c>
      <c r="CJ65" s="230">
        <f t="shared" si="60"/>
        <v>0</v>
      </c>
      <c r="CK65" s="230">
        <f t="shared" si="60"/>
        <v>0</v>
      </c>
      <c r="CL65" s="230">
        <f t="shared" si="60"/>
        <v>0</v>
      </c>
      <c r="CM65" s="230">
        <f t="shared" ref="CM65:CO65" si="82">SUM(CM66:CM72)</f>
        <v>0</v>
      </c>
      <c r="CN65" s="230">
        <f t="shared" si="82"/>
        <v>0</v>
      </c>
      <c r="CO65" s="230">
        <f t="shared" si="82"/>
        <v>0</v>
      </c>
      <c r="CP65" s="230">
        <f t="shared" si="60"/>
        <v>0</v>
      </c>
      <c r="CQ65" s="230">
        <f t="shared" ref="CQ65:CR65" si="83">SUM(CQ66:CQ72)</f>
        <v>0</v>
      </c>
      <c r="CR65" s="230">
        <f t="shared" si="83"/>
        <v>0</v>
      </c>
      <c r="CS65" s="230">
        <f t="shared" si="60"/>
        <v>0</v>
      </c>
      <c r="CT65" s="230">
        <f t="shared" si="60"/>
        <v>0</v>
      </c>
      <c r="CU65" s="230">
        <f t="shared" ref="CU65:CV65" si="84">SUM(CU66:CU72)</f>
        <v>0</v>
      </c>
      <c r="CV65" s="230">
        <f t="shared" si="84"/>
        <v>0</v>
      </c>
      <c r="CW65" s="230">
        <f t="shared" si="60"/>
        <v>0</v>
      </c>
      <c r="CX65" s="230">
        <f t="shared" si="60"/>
        <v>0</v>
      </c>
      <c r="CY65" s="230">
        <f t="shared" si="60"/>
        <v>0</v>
      </c>
      <c r="CZ65" s="230">
        <f t="shared" si="60"/>
        <v>0</v>
      </c>
      <c r="DA65" s="230">
        <f t="shared" ref="DA65:DD65" si="85">SUM(DA66:DA72)</f>
        <v>0</v>
      </c>
      <c r="DB65" s="230">
        <f t="shared" ref="DB65:DC65" si="86">SUM(DB66:DB72)</f>
        <v>0</v>
      </c>
      <c r="DC65" s="230">
        <f t="shared" si="86"/>
        <v>0</v>
      </c>
      <c r="DD65" s="230">
        <f t="shared" si="85"/>
        <v>0</v>
      </c>
      <c r="DE65" s="230">
        <f t="shared" si="60"/>
        <v>0</v>
      </c>
      <c r="DF65" s="230">
        <f t="shared" si="60"/>
        <v>0</v>
      </c>
      <c r="DG65" s="230">
        <f t="shared" si="60"/>
        <v>0</v>
      </c>
      <c r="DH65" s="230">
        <f t="shared" si="60"/>
        <v>0</v>
      </c>
      <c r="DI65" s="230">
        <f t="shared" ref="DI65:DM65" si="87">SUM(DI66:DI72)</f>
        <v>0</v>
      </c>
      <c r="DJ65" s="230">
        <f t="shared" si="87"/>
        <v>0</v>
      </c>
      <c r="DK65" s="230">
        <f t="shared" ref="DK65:DL65" si="88">SUM(DK66:DK72)</f>
        <v>0</v>
      </c>
      <c r="DL65" s="230">
        <f t="shared" si="88"/>
        <v>0</v>
      </c>
      <c r="DM65" s="230">
        <f t="shared" si="87"/>
        <v>0</v>
      </c>
      <c r="DN65" s="230">
        <f t="shared" si="60"/>
        <v>0</v>
      </c>
      <c r="DO65" s="230">
        <f t="shared" ref="DO65:DQ65" si="89">SUM(DO66:DO72)</f>
        <v>0</v>
      </c>
      <c r="DP65" s="230">
        <f t="shared" si="89"/>
        <v>0</v>
      </c>
      <c r="DQ65" s="230">
        <f t="shared" si="89"/>
        <v>0</v>
      </c>
      <c r="DR65" s="230">
        <f t="shared" si="60"/>
        <v>0</v>
      </c>
      <c r="DS65" s="230">
        <f t="shared" ref="DS65" si="90">SUM(DS66:DS72)</f>
        <v>0</v>
      </c>
      <c r="DT65" s="230">
        <f t="shared" si="60"/>
        <v>0</v>
      </c>
      <c r="DU65" s="230">
        <f t="shared" ref="DU65:EO65" si="91">SUM(DU66:DU72)</f>
        <v>0</v>
      </c>
      <c r="DV65" s="230">
        <f t="shared" ref="DV65" si="92">SUM(DV66:DV72)</f>
        <v>0</v>
      </c>
      <c r="DW65" s="230">
        <f t="shared" si="91"/>
        <v>0</v>
      </c>
      <c r="DX65" s="230">
        <f t="shared" ref="DX65:EB65" si="93">SUM(DX66:DX72)</f>
        <v>0</v>
      </c>
      <c r="DY65" s="230">
        <f t="shared" si="93"/>
        <v>0</v>
      </c>
      <c r="DZ65" s="230">
        <f t="shared" ref="DZ65" si="94">SUM(DZ66:DZ72)</f>
        <v>0</v>
      </c>
      <c r="EA65" s="230">
        <f t="shared" si="93"/>
        <v>0</v>
      </c>
      <c r="EB65" s="230">
        <f t="shared" si="93"/>
        <v>0</v>
      </c>
      <c r="EC65" s="230">
        <f t="shared" si="91"/>
        <v>0</v>
      </c>
      <c r="ED65" s="230">
        <f t="shared" ref="ED65:EM65" si="95">SUM(ED66:ED72)</f>
        <v>0</v>
      </c>
      <c r="EE65" s="230">
        <f t="shared" si="95"/>
        <v>0</v>
      </c>
      <c r="EF65" s="230">
        <f t="shared" si="95"/>
        <v>0</v>
      </c>
      <c r="EG65" s="230">
        <f t="shared" ref="EG65:EJ65" si="96">SUM(EG66:EG72)</f>
        <v>0</v>
      </c>
      <c r="EH65" s="230">
        <f t="shared" ref="EH65" si="97">SUM(EH66:EH72)</f>
        <v>0</v>
      </c>
      <c r="EI65" s="230">
        <f t="shared" si="96"/>
        <v>0</v>
      </c>
      <c r="EJ65" s="230">
        <f t="shared" si="96"/>
        <v>0</v>
      </c>
      <c r="EK65" s="230">
        <f t="shared" si="95"/>
        <v>0</v>
      </c>
      <c r="EL65" s="230">
        <f t="shared" si="95"/>
        <v>0</v>
      </c>
      <c r="EM65" s="230">
        <f t="shared" si="95"/>
        <v>0</v>
      </c>
      <c r="EN65" s="230">
        <f t="shared" ref="EN65" si="98">SUM(EN66:EN72)</f>
        <v>0</v>
      </c>
      <c r="EO65" s="230">
        <f t="shared" si="91"/>
        <v>0</v>
      </c>
      <c r="EP65" s="230">
        <f t="shared" si="60"/>
        <v>0</v>
      </c>
      <c r="EQ65" s="230">
        <f t="shared" si="60"/>
        <v>0</v>
      </c>
      <c r="ER65" s="230">
        <f t="shared" si="60"/>
        <v>0</v>
      </c>
      <c r="ES65" s="230">
        <f t="shared" ref="ES65" si="99">SUM(ES66:ES72)</f>
        <v>0</v>
      </c>
      <c r="ET65" s="230">
        <f t="shared" si="60"/>
        <v>0</v>
      </c>
      <c r="EU65" s="230">
        <f t="shared" ref="EU65:EW65" si="100">SUM(EU66:EU72)</f>
        <v>0</v>
      </c>
      <c r="EV65" s="230">
        <f t="shared" ref="EV65" si="101">SUM(EV66:EV72)</f>
        <v>0</v>
      </c>
      <c r="EW65" s="230">
        <f t="shared" si="100"/>
        <v>0</v>
      </c>
      <c r="EX65" s="230">
        <f t="shared" si="60"/>
        <v>0</v>
      </c>
      <c r="EY65" s="230">
        <f t="shared" si="60"/>
        <v>0</v>
      </c>
      <c r="EZ65" s="230">
        <f t="shared" ref="EZ65:FK65" si="102">SUM(EZ66:EZ72)</f>
        <v>0</v>
      </c>
      <c r="FA65" s="230">
        <f t="shared" ref="FA65:FC65" si="103">SUM(FA66:FA72)</f>
        <v>0</v>
      </c>
      <c r="FB65" s="230">
        <f t="shared" si="103"/>
        <v>0</v>
      </c>
      <c r="FC65" s="230">
        <f t="shared" si="103"/>
        <v>0</v>
      </c>
      <c r="FD65" s="230">
        <f t="shared" si="102"/>
        <v>0</v>
      </c>
      <c r="FE65" s="230">
        <f t="shared" si="102"/>
        <v>0</v>
      </c>
      <c r="FF65" s="230">
        <f t="shared" ref="FF65" si="104">SUM(FF66:FF72)</f>
        <v>0</v>
      </c>
      <c r="FG65" s="230">
        <f t="shared" ref="FG65:FI65" si="105">SUM(FG66:FG72)</f>
        <v>0</v>
      </c>
      <c r="FH65" s="230">
        <f t="shared" ref="FH65" si="106">SUM(FH66:FH72)</f>
        <v>0</v>
      </c>
      <c r="FI65" s="230">
        <f t="shared" si="105"/>
        <v>0</v>
      </c>
      <c r="FJ65" s="230">
        <f t="shared" si="102"/>
        <v>0</v>
      </c>
      <c r="FK65" s="230">
        <f t="shared" si="102"/>
        <v>0</v>
      </c>
      <c r="FL65" s="230">
        <f t="shared" si="60"/>
        <v>0</v>
      </c>
      <c r="FM65" s="230">
        <f t="shared" si="60"/>
        <v>0</v>
      </c>
      <c r="FN65" s="230">
        <f t="shared" si="60"/>
        <v>0</v>
      </c>
      <c r="FO65" s="230">
        <f t="shared" ref="FO65:FS65" si="107">SUM(FO66:FO72)</f>
        <v>0</v>
      </c>
      <c r="FP65" s="230">
        <f t="shared" ref="FP65" si="108">SUM(FP66:FP72)</f>
        <v>0</v>
      </c>
      <c r="FQ65" s="230">
        <f t="shared" si="107"/>
        <v>0</v>
      </c>
      <c r="FR65" s="230">
        <f t="shared" si="107"/>
        <v>0</v>
      </c>
      <c r="FS65" s="230">
        <f t="shared" si="107"/>
        <v>0</v>
      </c>
      <c r="FT65" s="230">
        <f t="shared" si="60"/>
        <v>0</v>
      </c>
      <c r="FU65" s="230">
        <f t="shared" ref="FU65:FX65" si="109">SUM(FU66:FU72)</f>
        <v>0</v>
      </c>
      <c r="FV65" s="230">
        <f t="shared" si="109"/>
        <v>0</v>
      </c>
      <c r="FW65" s="230">
        <f t="shared" si="109"/>
        <v>0</v>
      </c>
      <c r="FX65" s="230">
        <f t="shared" si="109"/>
        <v>0</v>
      </c>
      <c r="FY65" s="230">
        <f t="shared" si="60"/>
        <v>0</v>
      </c>
      <c r="FZ65" s="230">
        <f t="shared" si="60"/>
        <v>0</v>
      </c>
      <c r="GA65" s="230">
        <f t="shared" si="60"/>
        <v>0</v>
      </c>
      <c r="GB65" s="230">
        <f t="shared" ref="GB65" si="110">SUM(GB66:GB72)</f>
        <v>0</v>
      </c>
      <c r="GC65" s="230">
        <f t="shared" ref="GC65:GF65" si="111">SUM(GC66:GC72)</f>
        <v>0</v>
      </c>
      <c r="GD65" s="230">
        <f t="shared" si="111"/>
        <v>0</v>
      </c>
      <c r="GE65" s="230">
        <f t="shared" si="111"/>
        <v>0</v>
      </c>
      <c r="GF65" s="230">
        <f t="shared" si="111"/>
        <v>0</v>
      </c>
      <c r="GG65" s="230">
        <f t="shared" ref="GG65:GI65" si="112">SUM(GG66:GG72)</f>
        <v>0</v>
      </c>
      <c r="GH65" s="230">
        <f t="shared" si="112"/>
        <v>0</v>
      </c>
      <c r="GI65" s="230">
        <f t="shared" si="112"/>
        <v>0</v>
      </c>
      <c r="GJ65" s="230">
        <f t="shared" si="60"/>
        <v>0</v>
      </c>
      <c r="GK65" s="230">
        <f t="shared" si="60"/>
        <v>0</v>
      </c>
      <c r="GL65" s="230">
        <f t="shared" si="60"/>
        <v>0</v>
      </c>
      <c r="GM65" s="230">
        <f t="shared" si="60"/>
        <v>0</v>
      </c>
      <c r="GN65" s="230">
        <f t="shared" ref="GN65:GO65" si="113">SUM(GN66:GN72)</f>
        <v>0</v>
      </c>
      <c r="GO65" s="230">
        <f t="shared" si="113"/>
        <v>0</v>
      </c>
      <c r="GP65" s="230">
        <f t="shared" si="60"/>
        <v>0</v>
      </c>
      <c r="GQ65" s="230">
        <f t="shared" ref="GQ65:GS65" si="114">SUM(GQ66:GQ72)</f>
        <v>0</v>
      </c>
      <c r="GR65" s="230">
        <f t="shared" si="114"/>
        <v>0</v>
      </c>
      <c r="GS65" s="230">
        <f t="shared" si="114"/>
        <v>0</v>
      </c>
      <c r="GT65" s="230">
        <f t="shared" si="60"/>
        <v>0</v>
      </c>
      <c r="GU65" s="230">
        <f t="shared" si="60"/>
        <v>0</v>
      </c>
      <c r="GV65" s="230">
        <f t="shared" si="60"/>
        <v>0</v>
      </c>
      <c r="GW65" s="230">
        <f t="shared" ref="GW65:GX65" si="115">SUM(GW66:GW72)</f>
        <v>0</v>
      </c>
      <c r="GX65" s="230">
        <f t="shared" si="115"/>
        <v>0</v>
      </c>
      <c r="GY65" s="230">
        <f t="shared" si="60"/>
        <v>0</v>
      </c>
      <c r="GZ65" s="230">
        <f t="shared" ref="GZ65" si="116">SUM(GZ66:GZ72)</f>
        <v>0</v>
      </c>
      <c r="HA65" s="230">
        <f t="shared" si="60"/>
        <v>0</v>
      </c>
      <c r="HB65" s="230">
        <f t="shared" si="60"/>
        <v>0</v>
      </c>
      <c r="HC65" s="230">
        <f t="shared" si="60"/>
        <v>0</v>
      </c>
      <c r="HD65" s="230">
        <f t="shared" si="60"/>
        <v>0</v>
      </c>
      <c r="HE65" s="230">
        <f t="shared" si="60"/>
        <v>0</v>
      </c>
      <c r="HF65" s="230">
        <f t="shared" si="60"/>
        <v>0</v>
      </c>
      <c r="HG65" s="230">
        <f t="shared" si="60"/>
        <v>0</v>
      </c>
      <c r="HH65" s="230">
        <f t="shared" si="60"/>
        <v>0</v>
      </c>
      <c r="HI65" s="230">
        <f t="shared" si="60"/>
        <v>0</v>
      </c>
      <c r="HJ65" s="230">
        <f t="shared" si="60"/>
        <v>0</v>
      </c>
      <c r="HK65" s="230">
        <f t="shared" si="60"/>
        <v>0</v>
      </c>
      <c r="HL65" s="230">
        <f t="shared" ref="HL65:HQ65" si="117">SUM(HL66:HL72)</f>
        <v>0</v>
      </c>
      <c r="HM65" s="230">
        <f t="shared" si="117"/>
        <v>0</v>
      </c>
      <c r="HN65" s="230">
        <f t="shared" si="117"/>
        <v>0</v>
      </c>
      <c r="HO65" s="230">
        <f t="shared" si="117"/>
        <v>0</v>
      </c>
      <c r="HP65" s="230">
        <f t="shared" si="117"/>
        <v>0</v>
      </c>
      <c r="HQ65" s="230">
        <f t="shared" si="117"/>
        <v>0</v>
      </c>
      <c r="HR65" s="230">
        <f t="shared" ref="HR65:HT65" si="118">SUM(HR66:HR72)</f>
        <v>0</v>
      </c>
      <c r="HS65" s="230">
        <f t="shared" si="118"/>
        <v>0</v>
      </c>
      <c r="HT65" s="230">
        <f t="shared" si="118"/>
        <v>0</v>
      </c>
      <c r="HU65" s="230">
        <f t="shared" ref="HU65:IC65" si="119">SUM(HU66:HU72)</f>
        <v>0</v>
      </c>
      <c r="HV65" s="230">
        <f t="shared" si="119"/>
        <v>0</v>
      </c>
      <c r="HW65" s="230">
        <f t="shared" si="119"/>
        <v>0</v>
      </c>
      <c r="HX65" s="230">
        <f t="shared" si="119"/>
        <v>0</v>
      </c>
      <c r="HY65" s="230">
        <f t="shared" si="119"/>
        <v>0</v>
      </c>
      <c r="HZ65" s="230">
        <f t="shared" si="119"/>
        <v>0</v>
      </c>
      <c r="IA65" s="230">
        <f t="shared" si="119"/>
        <v>0</v>
      </c>
      <c r="IB65" s="230">
        <f t="shared" si="119"/>
        <v>0</v>
      </c>
      <c r="IC65" s="230">
        <f t="shared" si="119"/>
        <v>0</v>
      </c>
      <c r="ID65" s="230">
        <f t="shared" si="60"/>
        <v>0</v>
      </c>
      <c r="IE65" s="230">
        <f t="shared" si="60"/>
        <v>0</v>
      </c>
      <c r="IF65" s="230">
        <f t="shared" si="60"/>
        <v>0</v>
      </c>
      <c r="IG65" s="230">
        <f t="shared" si="60"/>
        <v>0</v>
      </c>
      <c r="IH65" s="230">
        <f t="shared" ref="IH65" si="120">SUM(IH66:IH72)</f>
        <v>0</v>
      </c>
      <c r="II65" s="230">
        <f t="shared" si="60"/>
        <v>0</v>
      </c>
      <c r="IJ65" s="363"/>
      <c r="IK65" s="364"/>
      <c r="IL65" s="364"/>
      <c r="IM65" s="365"/>
      <c r="IN65" s="116">
        <f ca="1">SUM(IN34:IN93)</f>
        <v>0</v>
      </c>
      <c r="IO65" s="116">
        <f ca="1">SUM(IO34:IO93)</f>
        <v>0</v>
      </c>
    </row>
    <row r="66" spans="1:249" s="135" customFormat="1" ht="15" hidden="1" customHeight="1" thickBot="1" x14ac:dyDescent="0.35">
      <c r="A66" s="117"/>
      <c r="B66" s="118"/>
      <c r="C66" s="119"/>
      <c r="D66" s="120"/>
      <c r="E66" s="118"/>
      <c r="F66" s="121"/>
      <c r="G66" s="122"/>
      <c r="H66" s="123"/>
      <c r="I66" s="124"/>
      <c r="J66" s="125"/>
      <c r="K66" s="126"/>
      <c r="L66" s="125"/>
      <c r="M66" s="125"/>
      <c r="N66" s="125"/>
      <c r="O66" s="124"/>
      <c r="P66" s="125"/>
      <c r="Q66" s="126"/>
      <c r="R66" s="125"/>
      <c r="S66" s="125"/>
      <c r="T66" s="125"/>
      <c r="U66" s="125"/>
      <c r="V66" s="124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4"/>
      <c r="AK66" s="125"/>
      <c r="AL66" s="125"/>
      <c r="AM66" s="125"/>
      <c r="AN66" s="125"/>
      <c r="AO66" s="125"/>
      <c r="AP66" s="126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4"/>
      <c r="BK66" s="125"/>
      <c r="BL66" s="125"/>
      <c r="BM66" s="125"/>
      <c r="BN66" s="125"/>
      <c r="BO66" s="125"/>
      <c r="BP66" s="125"/>
      <c r="BQ66" s="125"/>
      <c r="BR66" s="127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4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9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30"/>
      <c r="FL66" s="130"/>
      <c r="FM66" s="128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4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6"/>
      <c r="IH66" s="125"/>
      <c r="II66" s="125"/>
      <c r="IJ66" s="131"/>
      <c r="IK66" s="132"/>
      <c r="IL66" s="133"/>
      <c r="IM66" s="134"/>
      <c r="IN66" s="12"/>
    </row>
    <row r="67" spans="1:249" s="15" customFormat="1" ht="52.5" hidden="1" customHeight="1" thickBot="1" x14ac:dyDescent="0.2">
      <c r="A67" s="136"/>
      <c r="B67" s="231"/>
      <c r="C67" s="232"/>
      <c r="D67" s="233"/>
      <c r="E67" s="234">
        <f t="shared" ref="E67:E71" si="121">COUNTA(IK67:IL67)</f>
        <v>0</v>
      </c>
      <c r="F67" s="235"/>
      <c r="G67" s="141">
        <f>COUNTA(I67:IG67)</f>
        <v>0</v>
      </c>
      <c r="H67" s="142">
        <f>SUM(I67:IG67)</f>
        <v>0</v>
      </c>
      <c r="I67" s="236"/>
      <c r="J67" s="237"/>
      <c r="K67" s="238"/>
      <c r="L67" s="236"/>
      <c r="M67" s="237"/>
      <c r="N67" s="238"/>
      <c r="O67" s="236"/>
      <c r="P67" s="237"/>
      <c r="Q67" s="239"/>
      <c r="R67" s="236"/>
      <c r="S67" s="237"/>
      <c r="T67" s="239"/>
      <c r="U67" s="238"/>
      <c r="V67" s="239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6"/>
      <c r="AR67" s="237"/>
      <c r="AS67" s="240"/>
      <c r="AT67" s="240"/>
      <c r="AU67" s="240"/>
      <c r="AV67" s="240"/>
      <c r="AW67" s="237"/>
      <c r="AX67" s="240"/>
      <c r="AY67" s="240"/>
      <c r="AZ67" s="240"/>
      <c r="BA67" s="237"/>
      <c r="BB67" s="237"/>
      <c r="BC67" s="237"/>
      <c r="BD67" s="237"/>
      <c r="BE67" s="237"/>
      <c r="BF67" s="237"/>
      <c r="BG67" s="237"/>
      <c r="BH67" s="237"/>
      <c r="BI67" s="239"/>
      <c r="BJ67" s="236"/>
      <c r="BK67" s="240"/>
      <c r="BL67" s="237"/>
      <c r="BM67" s="237"/>
      <c r="BN67" s="237"/>
      <c r="BO67" s="237"/>
      <c r="BP67" s="237"/>
      <c r="BQ67" s="237"/>
      <c r="BR67" s="241"/>
      <c r="BS67" s="237"/>
      <c r="BT67" s="236"/>
      <c r="BU67" s="236"/>
      <c r="BV67" s="236"/>
      <c r="BW67" s="236"/>
      <c r="BX67" s="236"/>
      <c r="BY67" s="236"/>
      <c r="BZ67" s="236"/>
      <c r="CA67" s="236"/>
      <c r="CB67" s="240"/>
      <c r="CC67" s="240"/>
      <c r="CD67" s="240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40"/>
      <c r="CT67" s="240"/>
      <c r="CU67" s="237"/>
      <c r="CV67" s="237"/>
      <c r="CW67" s="237"/>
      <c r="CX67" s="238"/>
      <c r="CY67" s="242"/>
      <c r="CZ67" s="243"/>
      <c r="DA67" s="243"/>
      <c r="DB67" s="244"/>
      <c r="DC67" s="244"/>
      <c r="DD67" s="244"/>
      <c r="DE67" s="244"/>
      <c r="DF67" s="245"/>
      <c r="DG67" s="244"/>
      <c r="DH67" s="244"/>
      <c r="DI67" s="244"/>
      <c r="DJ67" s="244"/>
      <c r="DK67" s="244"/>
      <c r="DL67" s="244"/>
      <c r="DM67" s="244"/>
      <c r="DN67" s="244"/>
      <c r="DO67" s="244"/>
      <c r="DP67" s="244"/>
      <c r="DQ67" s="244"/>
      <c r="DR67" s="244"/>
      <c r="DS67" s="244"/>
      <c r="DT67" s="244"/>
      <c r="DU67" s="244"/>
      <c r="DV67" s="244"/>
      <c r="DW67" s="244"/>
      <c r="DX67" s="244"/>
      <c r="DY67" s="244"/>
      <c r="DZ67" s="244"/>
      <c r="EA67" s="244"/>
      <c r="EB67" s="244"/>
      <c r="EC67" s="244"/>
      <c r="ED67" s="244"/>
      <c r="EE67" s="244"/>
      <c r="EF67" s="244"/>
      <c r="EG67" s="244"/>
      <c r="EH67" s="244"/>
      <c r="EI67" s="244"/>
      <c r="EJ67" s="244"/>
      <c r="EK67" s="244"/>
      <c r="EL67" s="244"/>
      <c r="EM67" s="244"/>
      <c r="EN67" s="244"/>
      <c r="EO67" s="244"/>
      <c r="EP67" s="244"/>
      <c r="EQ67" s="246"/>
      <c r="ER67" s="237"/>
      <c r="ES67" s="237"/>
      <c r="ET67" s="237"/>
      <c r="EU67" s="237"/>
      <c r="EV67" s="237"/>
      <c r="EW67" s="237"/>
      <c r="EX67" s="237"/>
      <c r="EY67" s="237"/>
      <c r="EZ67" s="237"/>
      <c r="FA67" s="237"/>
      <c r="FB67" s="237"/>
      <c r="FC67" s="237"/>
      <c r="FD67" s="237"/>
      <c r="FE67" s="237"/>
      <c r="FF67" s="237"/>
      <c r="FG67" s="237"/>
      <c r="FH67" s="237"/>
      <c r="FI67" s="237"/>
      <c r="FJ67" s="237"/>
      <c r="FK67" s="245"/>
      <c r="FL67" s="245"/>
      <c r="FM67" s="245"/>
      <c r="FN67" s="237"/>
      <c r="FO67" s="237"/>
      <c r="FP67" s="237"/>
      <c r="FQ67" s="237"/>
      <c r="FR67" s="237"/>
      <c r="FS67" s="237"/>
      <c r="FT67" s="237"/>
      <c r="FU67" s="237"/>
      <c r="FV67" s="237"/>
      <c r="FW67" s="237"/>
      <c r="FX67" s="237"/>
      <c r="FY67" s="237"/>
      <c r="FZ67" s="237"/>
      <c r="GA67" s="237"/>
      <c r="GB67" s="237"/>
      <c r="GC67" s="237"/>
      <c r="GD67" s="237"/>
      <c r="GE67" s="237"/>
      <c r="GF67" s="237"/>
      <c r="GG67" s="237"/>
      <c r="GH67" s="237"/>
      <c r="GI67" s="237"/>
      <c r="GJ67" s="237"/>
      <c r="GK67" s="239"/>
      <c r="GL67" s="236"/>
      <c r="GM67" s="237"/>
      <c r="GN67" s="237"/>
      <c r="GO67" s="237"/>
      <c r="GP67" s="237"/>
      <c r="GQ67" s="237"/>
      <c r="GR67" s="237"/>
      <c r="GS67" s="237"/>
      <c r="GT67" s="237"/>
      <c r="GU67" s="237"/>
      <c r="GV67" s="237"/>
      <c r="GW67" s="237"/>
      <c r="GX67" s="237"/>
      <c r="GY67" s="237"/>
      <c r="GZ67" s="237"/>
      <c r="HA67" s="237"/>
      <c r="HB67" s="240"/>
      <c r="HC67" s="237"/>
      <c r="HD67" s="237"/>
      <c r="HE67" s="237"/>
      <c r="HF67" s="237"/>
      <c r="HG67" s="237"/>
      <c r="HH67" s="237"/>
      <c r="HI67" s="237"/>
      <c r="HJ67" s="237"/>
      <c r="HK67" s="237"/>
      <c r="HL67" s="237"/>
      <c r="HM67" s="237"/>
      <c r="HN67" s="237"/>
      <c r="HO67" s="237"/>
      <c r="HP67" s="237"/>
      <c r="HQ67" s="237"/>
      <c r="HR67" s="237"/>
      <c r="HS67" s="237"/>
      <c r="HT67" s="237"/>
      <c r="HU67" s="237"/>
      <c r="HV67" s="237"/>
      <c r="HW67" s="237"/>
      <c r="HX67" s="237"/>
      <c r="HY67" s="237"/>
      <c r="HZ67" s="237"/>
      <c r="IA67" s="237"/>
      <c r="IB67" s="237"/>
      <c r="IC67" s="237"/>
      <c r="ID67" s="237"/>
      <c r="IE67" s="237"/>
      <c r="IF67" s="237"/>
      <c r="IG67" s="238"/>
      <c r="IH67" s="237"/>
      <c r="II67" s="237"/>
      <c r="IJ67" s="247"/>
      <c r="IK67" s="248"/>
      <c r="IL67" s="249"/>
      <c r="IM67" s="250"/>
      <c r="IN67" s="152">
        <f>F67*10%</f>
        <v>0</v>
      </c>
      <c r="IO67" s="152">
        <f>F67+IN67</f>
        <v>0</v>
      </c>
    </row>
    <row r="68" spans="1:249" s="15" customFormat="1" ht="52.5" hidden="1" customHeight="1" thickBot="1" x14ac:dyDescent="0.2">
      <c r="A68" s="136"/>
      <c r="B68" s="251"/>
      <c r="C68" s="252"/>
      <c r="D68" s="253"/>
      <c r="E68" s="234">
        <f t="shared" si="121"/>
        <v>0</v>
      </c>
      <c r="F68" s="169"/>
      <c r="G68" s="141">
        <f>COUNTA(I68:IG68)</f>
        <v>0</v>
      </c>
      <c r="H68" s="142">
        <f>SUM(I68:IG68)</f>
        <v>0</v>
      </c>
      <c r="I68" s="236"/>
      <c r="J68" s="237"/>
      <c r="K68" s="238"/>
      <c r="L68" s="236"/>
      <c r="M68" s="237"/>
      <c r="N68" s="238"/>
      <c r="O68" s="236"/>
      <c r="P68" s="237"/>
      <c r="Q68" s="239"/>
      <c r="R68" s="236"/>
      <c r="S68" s="237"/>
      <c r="T68" s="239"/>
      <c r="U68" s="238"/>
      <c r="V68" s="239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6"/>
      <c r="AR68" s="237"/>
      <c r="AS68" s="240"/>
      <c r="AT68" s="240"/>
      <c r="AU68" s="240"/>
      <c r="AV68" s="240"/>
      <c r="AW68" s="237"/>
      <c r="AX68" s="240"/>
      <c r="AY68" s="240"/>
      <c r="AZ68" s="240"/>
      <c r="BA68" s="237"/>
      <c r="BB68" s="237"/>
      <c r="BC68" s="237"/>
      <c r="BD68" s="237"/>
      <c r="BE68" s="237"/>
      <c r="BF68" s="237"/>
      <c r="BG68" s="237"/>
      <c r="BH68" s="237"/>
      <c r="BI68" s="239"/>
      <c r="BJ68" s="236"/>
      <c r="BK68" s="240"/>
      <c r="BL68" s="237"/>
      <c r="BM68" s="237"/>
      <c r="BN68" s="237"/>
      <c r="BO68" s="237"/>
      <c r="BP68" s="237"/>
      <c r="BQ68" s="237"/>
      <c r="BR68" s="241"/>
      <c r="BS68" s="237"/>
      <c r="BT68" s="236"/>
      <c r="BU68" s="236"/>
      <c r="BV68" s="236"/>
      <c r="BW68" s="236"/>
      <c r="BX68" s="236"/>
      <c r="BY68" s="236"/>
      <c r="BZ68" s="236"/>
      <c r="CA68" s="236"/>
      <c r="CB68" s="240"/>
      <c r="CC68" s="240"/>
      <c r="CD68" s="240"/>
      <c r="CE68" s="237"/>
      <c r="CF68" s="237"/>
      <c r="CG68" s="237"/>
      <c r="CH68" s="237"/>
      <c r="CI68" s="237"/>
      <c r="CJ68" s="237"/>
      <c r="CK68" s="237"/>
      <c r="CL68" s="237"/>
      <c r="CM68" s="237"/>
      <c r="CN68" s="237"/>
      <c r="CO68" s="237"/>
      <c r="CP68" s="237"/>
      <c r="CQ68" s="237"/>
      <c r="CR68" s="237"/>
      <c r="CS68" s="240"/>
      <c r="CT68" s="240"/>
      <c r="CU68" s="237"/>
      <c r="CV68" s="237"/>
      <c r="CW68" s="237"/>
      <c r="CX68" s="238"/>
      <c r="CY68" s="242"/>
      <c r="CZ68" s="243"/>
      <c r="DA68" s="243"/>
      <c r="DB68" s="254"/>
      <c r="DC68" s="254"/>
      <c r="DD68" s="254"/>
      <c r="DE68" s="254"/>
      <c r="DF68" s="255"/>
      <c r="DG68" s="254"/>
      <c r="DH68" s="254"/>
      <c r="DI68" s="254"/>
      <c r="DJ68" s="254"/>
      <c r="DK68" s="254"/>
      <c r="DL68" s="254"/>
      <c r="DM68" s="254"/>
      <c r="DN68" s="254"/>
      <c r="DO68" s="254"/>
      <c r="DP68" s="254"/>
      <c r="DQ68" s="254"/>
      <c r="DR68" s="254"/>
      <c r="DS68" s="254"/>
      <c r="DT68" s="254"/>
      <c r="DU68" s="254"/>
      <c r="DV68" s="254"/>
      <c r="DW68" s="254"/>
      <c r="DX68" s="254"/>
      <c r="DY68" s="254"/>
      <c r="DZ68" s="254"/>
      <c r="EA68" s="254"/>
      <c r="EB68" s="254"/>
      <c r="EC68" s="254"/>
      <c r="ED68" s="254"/>
      <c r="EE68" s="254"/>
      <c r="EF68" s="254"/>
      <c r="EG68" s="254"/>
      <c r="EH68" s="254"/>
      <c r="EI68" s="254"/>
      <c r="EJ68" s="254"/>
      <c r="EK68" s="254"/>
      <c r="EL68" s="254"/>
      <c r="EM68" s="254"/>
      <c r="EN68" s="254"/>
      <c r="EO68" s="254"/>
      <c r="EP68" s="254"/>
      <c r="EQ68" s="256"/>
      <c r="ER68" s="237"/>
      <c r="ES68" s="237"/>
      <c r="ET68" s="237"/>
      <c r="EU68" s="237"/>
      <c r="EV68" s="237"/>
      <c r="EW68" s="237"/>
      <c r="EX68" s="237"/>
      <c r="EY68" s="237"/>
      <c r="EZ68" s="237"/>
      <c r="FA68" s="237"/>
      <c r="FB68" s="237"/>
      <c r="FC68" s="237"/>
      <c r="FD68" s="237"/>
      <c r="FE68" s="237"/>
      <c r="FF68" s="237"/>
      <c r="FG68" s="237"/>
      <c r="FH68" s="237"/>
      <c r="FI68" s="237"/>
      <c r="FJ68" s="237"/>
      <c r="FK68" s="255"/>
      <c r="FL68" s="255"/>
      <c r="FM68" s="255"/>
      <c r="FN68" s="237"/>
      <c r="FO68" s="237"/>
      <c r="FP68" s="237"/>
      <c r="FQ68" s="237"/>
      <c r="FR68" s="237"/>
      <c r="FS68" s="237"/>
      <c r="FT68" s="237"/>
      <c r="FU68" s="237"/>
      <c r="FV68" s="237"/>
      <c r="FW68" s="237"/>
      <c r="FX68" s="237"/>
      <c r="FY68" s="237"/>
      <c r="FZ68" s="237"/>
      <c r="GA68" s="237"/>
      <c r="GB68" s="237"/>
      <c r="GC68" s="237"/>
      <c r="GD68" s="237"/>
      <c r="GE68" s="237"/>
      <c r="GF68" s="237"/>
      <c r="GG68" s="237"/>
      <c r="GH68" s="237"/>
      <c r="GI68" s="237"/>
      <c r="GJ68" s="237"/>
      <c r="GK68" s="239"/>
      <c r="GL68" s="236"/>
      <c r="GM68" s="237"/>
      <c r="GN68" s="237"/>
      <c r="GO68" s="237"/>
      <c r="GP68" s="237"/>
      <c r="GQ68" s="237"/>
      <c r="GR68" s="237"/>
      <c r="GS68" s="237"/>
      <c r="GT68" s="237"/>
      <c r="GU68" s="237"/>
      <c r="GV68" s="237"/>
      <c r="GW68" s="237"/>
      <c r="GX68" s="237"/>
      <c r="GY68" s="237"/>
      <c r="GZ68" s="237"/>
      <c r="HA68" s="237"/>
      <c r="HB68" s="240"/>
      <c r="HC68" s="237"/>
      <c r="HD68" s="237"/>
      <c r="HE68" s="237"/>
      <c r="HF68" s="237"/>
      <c r="HG68" s="237"/>
      <c r="HH68" s="237"/>
      <c r="HI68" s="237"/>
      <c r="HJ68" s="237"/>
      <c r="HK68" s="237"/>
      <c r="HL68" s="237"/>
      <c r="HM68" s="237"/>
      <c r="HN68" s="237"/>
      <c r="HO68" s="237"/>
      <c r="HP68" s="237"/>
      <c r="HQ68" s="237"/>
      <c r="HR68" s="237"/>
      <c r="HS68" s="237"/>
      <c r="HT68" s="237"/>
      <c r="HU68" s="237"/>
      <c r="HV68" s="237"/>
      <c r="HW68" s="237"/>
      <c r="HX68" s="237"/>
      <c r="HY68" s="237"/>
      <c r="HZ68" s="237"/>
      <c r="IA68" s="237"/>
      <c r="IB68" s="237"/>
      <c r="IC68" s="237"/>
      <c r="ID68" s="237"/>
      <c r="IE68" s="237"/>
      <c r="IF68" s="237"/>
      <c r="IG68" s="238"/>
      <c r="IH68" s="237"/>
      <c r="II68" s="237"/>
      <c r="IJ68" s="247"/>
      <c r="IK68" s="248"/>
      <c r="IL68" s="249"/>
      <c r="IM68" s="250"/>
      <c r="IN68" s="152">
        <f>F68*10%</f>
        <v>0</v>
      </c>
      <c r="IO68" s="152">
        <f>F68+IN68</f>
        <v>0</v>
      </c>
    </row>
    <row r="69" spans="1:249" s="15" customFormat="1" ht="52.5" hidden="1" customHeight="1" thickBot="1" x14ac:dyDescent="0.2">
      <c r="A69" s="136"/>
      <c r="B69" s="257"/>
      <c r="C69" s="258"/>
      <c r="D69" s="259"/>
      <c r="E69" s="234">
        <f t="shared" si="121"/>
        <v>0</v>
      </c>
      <c r="F69" s="169"/>
      <c r="G69" s="141">
        <f>COUNTA(I69:IG69)</f>
        <v>0</v>
      </c>
      <c r="H69" s="142">
        <f>SUM(I69:IG69)</f>
        <v>0</v>
      </c>
      <c r="I69" s="236"/>
      <c r="J69" s="237"/>
      <c r="K69" s="238"/>
      <c r="L69" s="236"/>
      <c r="M69" s="237"/>
      <c r="N69" s="238"/>
      <c r="O69" s="236"/>
      <c r="P69" s="237"/>
      <c r="Q69" s="239"/>
      <c r="R69" s="236"/>
      <c r="S69" s="237"/>
      <c r="T69" s="239"/>
      <c r="U69" s="238"/>
      <c r="V69" s="239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6"/>
      <c r="AR69" s="237"/>
      <c r="AS69" s="240"/>
      <c r="AT69" s="240"/>
      <c r="AU69" s="240"/>
      <c r="AV69" s="240"/>
      <c r="AW69" s="237"/>
      <c r="AX69" s="240"/>
      <c r="AY69" s="240"/>
      <c r="AZ69" s="240"/>
      <c r="BA69" s="237"/>
      <c r="BB69" s="237"/>
      <c r="BC69" s="237"/>
      <c r="BD69" s="237"/>
      <c r="BE69" s="237"/>
      <c r="BF69" s="237"/>
      <c r="BG69" s="237"/>
      <c r="BH69" s="237"/>
      <c r="BI69" s="239"/>
      <c r="BJ69" s="236"/>
      <c r="BK69" s="240"/>
      <c r="BL69" s="237"/>
      <c r="BM69" s="237"/>
      <c r="BN69" s="237"/>
      <c r="BO69" s="237"/>
      <c r="BP69" s="237"/>
      <c r="BQ69" s="237"/>
      <c r="BR69" s="241"/>
      <c r="BS69" s="237"/>
      <c r="BT69" s="236"/>
      <c r="BU69" s="236"/>
      <c r="BV69" s="236"/>
      <c r="BW69" s="236"/>
      <c r="BX69" s="236"/>
      <c r="BY69" s="236"/>
      <c r="BZ69" s="236"/>
      <c r="CA69" s="236"/>
      <c r="CB69" s="240"/>
      <c r="CC69" s="240"/>
      <c r="CD69" s="240"/>
      <c r="CE69" s="237"/>
      <c r="CF69" s="237"/>
      <c r="CG69" s="237"/>
      <c r="CH69" s="237"/>
      <c r="CI69" s="237"/>
      <c r="CJ69" s="237"/>
      <c r="CK69" s="237"/>
      <c r="CL69" s="237"/>
      <c r="CM69" s="237"/>
      <c r="CN69" s="237"/>
      <c r="CO69" s="237"/>
      <c r="CP69" s="237"/>
      <c r="CQ69" s="237"/>
      <c r="CR69" s="237"/>
      <c r="CS69" s="240"/>
      <c r="CT69" s="240"/>
      <c r="CU69" s="237"/>
      <c r="CV69" s="237"/>
      <c r="CW69" s="237"/>
      <c r="CX69" s="238"/>
      <c r="CY69" s="242"/>
      <c r="CZ69" s="243"/>
      <c r="DA69" s="243"/>
      <c r="DB69" s="244"/>
      <c r="DC69" s="244"/>
      <c r="DD69" s="244"/>
      <c r="DE69" s="244"/>
      <c r="DF69" s="245"/>
      <c r="DG69" s="244"/>
      <c r="DH69" s="244"/>
      <c r="DI69" s="244"/>
      <c r="DJ69" s="244"/>
      <c r="DK69" s="244"/>
      <c r="DL69" s="244"/>
      <c r="DM69" s="244"/>
      <c r="DN69" s="244"/>
      <c r="DO69" s="244"/>
      <c r="DP69" s="244"/>
      <c r="DQ69" s="244"/>
      <c r="DR69" s="244"/>
      <c r="DS69" s="244"/>
      <c r="DT69" s="244"/>
      <c r="DU69" s="244"/>
      <c r="DV69" s="244"/>
      <c r="DW69" s="244"/>
      <c r="DX69" s="244"/>
      <c r="DY69" s="244"/>
      <c r="DZ69" s="244"/>
      <c r="EA69" s="244"/>
      <c r="EB69" s="244"/>
      <c r="EC69" s="244"/>
      <c r="ED69" s="244"/>
      <c r="EE69" s="244"/>
      <c r="EF69" s="244"/>
      <c r="EG69" s="244"/>
      <c r="EH69" s="244"/>
      <c r="EI69" s="244"/>
      <c r="EJ69" s="244"/>
      <c r="EK69" s="244"/>
      <c r="EL69" s="244"/>
      <c r="EM69" s="244"/>
      <c r="EN69" s="244"/>
      <c r="EO69" s="244"/>
      <c r="EP69" s="244"/>
      <c r="EQ69" s="246"/>
      <c r="ER69" s="237"/>
      <c r="ES69" s="237"/>
      <c r="ET69" s="237"/>
      <c r="EU69" s="237"/>
      <c r="EV69" s="237"/>
      <c r="EW69" s="237"/>
      <c r="EX69" s="237"/>
      <c r="EY69" s="237"/>
      <c r="EZ69" s="237"/>
      <c r="FA69" s="237"/>
      <c r="FB69" s="237"/>
      <c r="FC69" s="237"/>
      <c r="FD69" s="237"/>
      <c r="FE69" s="237"/>
      <c r="FF69" s="237"/>
      <c r="FG69" s="237"/>
      <c r="FH69" s="237"/>
      <c r="FI69" s="237"/>
      <c r="FJ69" s="237"/>
      <c r="FK69" s="245"/>
      <c r="FL69" s="245"/>
      <c r="FM69" s="245"/>
      <c r="FN69" s="237"/>
      <c r="FO69" s="237"/>
      <c r="FP69" s="237"/>
      <c r="FQ69" s="237"/>
      <c r="FR69" s="237"/>
      <c r="FS69" s="237"/>
      <c r="FT69" s="237"/>
      <c r="FU69" s="237"/>
      <c r="FV69" s="237"/>
      <c r="FW69" s="237"/>
      <c r="FX69" s="237"/>
      <c r="FY69" s="237"/>
      <c r="FZ69" s="237"/>
      <c r="GA69" s="237"/>
      <c r="GB69" s="237"/>
      <c r="GC69" s="237"/>
      <c r="GD69" s="237"/>
      <c r="GE69" s="237"/>
      <c r="GF69" s="237"/>
      <c r="GG69" s="237"/>
      <c r="GH69" s="237"/>
      <c r="GI69" s="237"/>
      <c r="GJ69" s="237"/>
      <c r="GK69" s="239"/>
      <c r="GL69" s="236"/>
      <c r="GM69" s="237"/>
      <c r="GN69" s="237"/>
      <c r="GO69" s="237"/>
      <c r="GP69" s="237"/>
      <c r="GQ69" s="237"/>
      <c r="GR69" s="237"/>
      <c r="GS69" s="237"/>
      <c r="GT69" s="237"/>
      <c r="GU69" s="237"/>
      <c r="GV69" s="237"/>
      <c r="GW69" s="237"/>
      <c r="GX69" s="237"/>
      <c r="GY69" s="237"/>
      <c r="GZ69" s="237"/>
      <c r="HA69" s="237"/>
      <c r="HB69" s="240"/>
      <c r="HC69" s="237"/>
      <c r="HD69" s="237"/>
      <c r="HE69" s="237"/>
      <c r="HF69" s="237"/>
      <c r="HG69" s="237"/>
      <c r="HH69" s="237"/>
      <c r="HI69" s="237"/>
      <c r="HJ69" s="237"/>
      <c r="HK69" s="237"/>
      <c r="HL69" s="237"/>
      <c r="HM69" s="237"/>
      <c r="HN69" s="237"/>
      <c r="HO69" s="237"/>
      <c r="HP69" s="237"/>
      <c r="HQ69" s="237"/>
      <c r="HR69" s="237"/>
      <c r="HS69" s="237"/>
      <c r="HT69" s="237"/>
      <c r="HU69" s="237"/>
      <c r="HV69" s="237"/>
      <c r="HW69" s="237"/>
      <c r="HX69" s="237"/>
      <c r="HY69" s="237"/>
      <c r="HZ69" s="237"/>
      <c r="IA69" s="237"/>
      <c r="IB69" s="237"/>
      <c r="IC69" s="237"/>
      <c r="ID69" s="237"/>
      <c r="IE69" s="237"/>
      <c r="IF69" s="237"/>
      <c r="IG69" s="238"/>
      <c r="IH69" s="237"/>
      <c r="II69" s="237"/>
      <c r="IJ69" s="247"/>
      <c r="IK69" s="248"/>
      <c r="IL69" s="249"/>
      <c r="IM69" s="250"/>
      <c r="IN69" s="152">
        <f>F69*10%</f>
        <v>0</v>
      </c>
      <c r="IO69" s="152">
        <f>F69+IN69</f>
        <v>0</v>
      </c>
    </row>
    <row r="70" spans="1:249" s="15" customFormat="1" ht="52.5" hidden="1" customHeight="1" thickBot="1" x14ac:dyDescent="0.2">
      <c r="A70" s="136"/>
      <c r="B70" s="251"/>
      <c r="C70" s="252"/>
      <c r="D70" s="253"/>
      <c r="E70" s="234">
        <f t="shared" si="121"/>
        <v>0</v>
      </c>
      <c r="F70" s="169"/>
      <c r="G70" s="141">
        <f>COUNTA(I70:IG70)</f>
        <v>0</v>
      </c>
      <c r="H70" s="142">
        <f>SUM(I70:IG70)</f>
        <v>0</v>
      </c>
      <c r="I70" s="236"/>
      <c r="J70" s="237"/>
      <c r="K70" s="238"/>
      <c r="L70" s="236"/>
      <c r="M70" s="237"/>
      <c r="N70" s="238"/>
      <c r="O70" s="236"/>
      <c r="P70" s="237"/>
      <c r="Q70" s="239"/>
      <c r="R70" s="236"/>
      <c r="S70" s="237"/>
      <c r="T70" s="239"/>
      <c r="U70" s="238"/>
      <c r="V70" s="239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6"/>
      <c r="AR70" s="237"/>
      <c r="AS70" s="240"/>
      <c r="AT70" s="240"/>
      <c r="AU70" s="240"/>
      <c r="AV70" s="240"/>
      <c r="AW70" s="237"/>
      <c r="AX70" s="240"/>
      <c r="AY70" s="240"/>
      <c r="AZ70" s="240"/>
      <c r="BA70" s="237"/>
      <c r="BB70" s="237"/>
      <c r="BC70" s="237"/>
      <c r="BD70" s="237"/>
      <c r="BE70" s="237"/>
      <c r="BF70" s="237"/>
      <c r="BG70" s="237"/>
      <c r="BH70" s="237"/>
      <c r="BI70" s="239"/>
      <c r="BJ70" s="236"/>
      <c r="BK70" s="240"/>
      <c r="BL70" s="237"/>
      <c r="BM70" s="237"/>
      <c r="BN70" s="237"/>
      <c r="BO70" s="237"/>
      <c r="BP70" s="237"/>
      <c r="BQ70" s="237"/>
      <c r="BR70" s="241"/>
      <c r="BS70" s="237"/>
      <c r="BT70" s="236"/>
      <c r="BU70" s="236"/>
      <c r="BV70" s="236"/>
      <c r="BW70" s="236"/>
      <c r="BX70" s="236"/>
      <c r="BY70" s="236"/>
      <c r="BZ70" s="236"/>
      <c r="CA70" s="236"/>
      <c r="CB70" s="240"/>
      <c r="CC70" s="240"/>
      <c r="CD70" s="240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37"/>
      <c r="CQ70" s="237"/>
      <c r="CR70" s="237"/>
      <c r="CS70" s="240"/>
      <c r="CT70" s="240"/>
      <c r="CU70" s="237"/>
      <c r="CV70" s="237"/>
      <c r="CW70" s="237"/>
      <c r="CX70" s="238"/>
      <c r="CY70" s="242"/>
      <c r="CZ70" s="243"/>
      <c r="DA70" s="243"/>
      <c r="DB70" s="254"/>
      <c r="DC70" s="254"/>
      <c r="DD70" s="254"/>
      <c r="DE70" s="254"/>
      <c r="DF70" s="255"/>
      <c r="DG70" s="254"/>
      <c r="DH70" s="254"/>
      <c r="DI70" s="254"/>
      <c r="DJ70" s="254"/>
      <c r="DK70" s="254"/>
      <c r="DL70" s="254"/>
      <c r="DM70" s="254"/>
      <c r="DN70" s="254"/>
      <c r="DO70" s="254"/>
      <c r="DP70" s="254"/>
      <c r="DQ70" s="254"/>
      <c r="DR70" s="254"/>
      <c r="DS70" s="254"/>
      <c r="DT70" s="254"/>
      <c r="DU70" s="254"/>
      <c r="DV70" s="254"/>
      <c r="DW70" s="254"/>
      <c r="DX70" s="254"/>
      <c r="DY70" s="254"/>
      <c r="DZ70" s="254"/>
      <c r="EA70" s="254"/>
      <c r="EB70" s="254"/>
      <c r="EC70" s="254"/>
      <c r="ED70" s="254"/>
      <c r="EE70" s="254"/>
      <c r="EF70" s="254"/>
      <c r="EG70" s="254"/>
      <c r="EH70" s="254"/>
      <c r="EI70" s="254"/>
      <c r="EJ70" s="254"/>
      <c r="EK70" s="254"/>
      <c r="EL70" s="254"/>
      <c r="EM70" s="254"/>
      <c r="EN70" s="254"/>
      <c r="EO70" s="254"/>
      <c r="EP70" s="254"/>
      <c r="EQ70" s="256"/>
      <c r="ER70" s="237"/>
      <c r="ES70" s="237"/>
      <c r="ET70" s="237"/>
      <c r="EU70" s="237"/>
      <c r="EV70" s="237"/>
      <c r="EW70" s="237"/>
      <c r="EX70" s="237"/>
      <c r="EY70" s="237"/>
      <c r="EZ70" s="237"/>
      <c r="FA70" s="237"/>
      <c r="FB70" s="237"/>
      <c r="FC70" s="237"/>
      <c r="FD70" s="237"/>
      <c r="FE70" s="237"/>
      <c r="FF70" s="237"/>
      <c r="FG70" s="237"/>
      <c r="FH70" s="237"/>
      <c r="FI70" s="237"/>
      <c r="FJ70" s="237"/>
      <c r="FK70" s="255"/>
      <c r="FL70" s="255"/>
      <c r="FM70" s="255"/>
      <c r="FN70" s="237"/>
      <c r="FO70" s="237"/>
      <c r="FP70" s="237"/>
      <c r="FQ70" s="237"/>
      <c r="FR70" s="237"/>
      <c r="FS70" s="237"/>
      <c r="FT70" s="237"/>
      <c r="FU70" s="237"/>
      <c r="FV70" s="237"/>
      <c r="FW70" s="237"/>
      <c r="FX70" s="237"/>
      <c r="FY70" s="237"/>
      <c r="FZ70" s="237"/>
      <c r="GA70" s="237"/>
      <c r="GB70" s="237"/>
      <c r="GC70" s="237"/>
      <c r="GD70" s="237"/>
      <c r="GE70" s="237"/>
      <c r="GF70" s="237"/>
      <c r="GG70" s="237"/>
      <c r="GH70" s="237"/>
      <c r="GI70" s="237"/>
      <c r="GJ70" s="237"/>
      <c r="GK70" s="239"/>
      <c r="GL70" s="236"/>
      <c r="GM70" s="237"/>
      <c r="GN70" s="237"/>
      <c r="GO70" s="237"/>
      <c r="GP70" s="237"/>
      <c r="GQ70" s="237"/>
      <c r="GR70" s="237"/>
      <c r="GS70" s="237"/>
      <c r="GT70" s="237"/>
      <c r="GU70" s="237"/>
      <c r="GV70" s="237"/>
      <c r="GW70" s="237"/>
      <c r="GX70" s="237"/>
      <c r="GY70" s="237"/>
      <c r="GZ70" s="237"/>
      <c r="HA70" s="237"/>
      <c r="HB70" s="240"/>
      <c r="HC70" s="237"/>
      <c r="HD70" s="237"/>
      <c r="HE70" s="237"/>
      <c r="HF70" s="237"/>
      <c r="HG70" s="237"/>
      <c r="HH70" s="237"/>
      <c r="HI70" s="237"/>
      <c r="HJ70" s="237"/>
      <c r="HK70" s="237"/>
      <c r="HL70" s="237"/>
      <c r="HM70" s="237"/>
      <c r="HN70" s="237"/>
      <c r="HO70" s="237"/>
      <c r="HP70" s="237"/>
      <c r="HQ70" s="237"/>
      <c r="HR70" s="237"/>
      <c r="HS70" s="237"/>
      <c r="HT70" s="237"/>
      <c r="HU70" s="237"/>
      <c r="HV70" s="237"/>
      <c r="HW70" s="237"/>
      <c r="HX70" s="237"/>
      <c r="HY70" s="237"/>
      <c r="HZ70" s="237"/>
      <c r="IA70" s="237"/>
      <c r="IB70" s="237"/>
      <c r="IC70" s="237"/>
      <c r="ID70" s="237"/>
      <c r="IE70" s="237"/>
      <c r="IF70" s="237"/>
      <c r="IG70" s="238"/>
      <c r="IH70" s="237"/>
      <c r="II70" s="237"/>
      <c r="IJ70" s="247"/>
      <c r="IK70" s="248"/>
      <c r="IL70" s="249"/>
      <c r="IM70" s="250"/>
      <c r="IN70" s="152">
        <f>F70*10%</f>
        <v>0</v>
      </c>
      <c r="IO70" s="152">
        <f>F70+IN70</f>
        <v>0</v>
      </c>
    </row>
    <row r="71" spans="1:249" s="15" customFormat="1" ht="52.5" hidden="1" customHeight="1" thickBot="1" x14ac:dyDescent="0.2">
      <c r="A71" s="136"/>
      <c r="B71" s="257"/>
      <c r="C71" s="258"/>
      <c r="D71" s="259"/>
      <c r="E71" s="234">
        <f t="shared" si="121"/>
        <v>0</v>
      </c>
      <c r="F71" s="169"/>
      <c r="G71" s="141">
        <f>COUNTA(I71:IG71)</f>
        <v>0</v>
      </c>
      <c r="H71" s="142">
        <f>SUM(I71:IG71)</f>
        <v>0</v>
      </c>
      <c r="I71" s="236"/>
      <c r="J71" s="237"/>
      <c r="K71" s="238"/>
      <c r="L71" s="236"/>
      <c r="M71" s="237"/>
      <c r="N71" s="238"/>
      <c r="O71" s="236"/>
      <c r="P71" s="237"/>
      <c r="Q71" s="239"/>
      <c r="R71" s="236"/>
      <c r="S71" s="237"/>
      <c r="T71" s="239"/>
      <c r="U71" s="238"/>
      <c r="V71" s="239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6"/>
      <c r="AR71" s="237"/>
      <c r="AS71" s="240"/>
      <c r="AT71" s="240"/>
      <c r="AU71" s="240"/>
      <c r="AV71" s="240"/>
      <c r="AW71" s="237"/>
      <c r="AX71" s="240"/>
      <c r="AY71" s="240"/>
      <c r="AZ71" s="240"/>
      <c r="BA71" s="237"/>
      <c r="BB71" s="237"/>
      <c r="BC71" s="237"/>
      <c r="BD71" s="237"/>
      <c r="BE71" s="237"/>
      <c r="BF71" s="237"/>
      <c r="BG71" s="237"/>
      <c r="BH71" s="237"/>
      <c r="BI71" s="239"/>
      <c r="BJ71" s="236"/>
      <c r="BK71" s="240"/>
      <c r="BL71" s="237"/>
      <c r="BM71" s="237"/>
      <c r="BN71" s="237"/>
      <c r="BO71" s="237"/>
      <c r="BP71" s="237"/>
      <c r="BQ71" s="237"/>
      <c r="BR71" s="241"/>
      <c r="BS71" s="237"/>
      <c r="BT71" s="236"/>
      <c r="BU71" s="236"/>
      <c r="BV71" s="236"/>
      <c r="BW71" s="236"/>
      <c r="BX71" s="236"/>
      <c r="BY71" s="236"/>
      <c r="BZ71" s="236"/>
      <c r="CA71" s="236"/>
      <c r="CB71" s="240"/>
      <c r="CC71" s="240"/>
      <c r="CD71" s="240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37"/>
      <c r="CQ71" s="237"/>
      <c r="CR71" s="237"/>
      <c r="CS71" s="240"/>
      <c r="CT71" s="240"/>
      <c r="CU71" s="237"/>
      <c r="CV71" s="237"/>
      <c r="CW71" s="237"/>
      <c r="CX71" s="238"/>
      <c r="CY71" s="242"/>
      <c r="CZ71" s="243"/>
      <c r="DA71" s="243"/>
      <c r="DB71" s="244"/>
      <c r="DC71" s="244"/>
      <c r="DD71" s="244"/>
      <c r="DE71" s="244"/>
      <c r="DF71" s="245"/>
      <c r="DG71" s="244"/>
      <c r="DH71" s="244"/>
      <c r="DI71" s="244"/>
      <c r="DJ71" s="244"/>
      <c r="DK71" s="244"/>
      <c r="DL71" s="244"/>
      <c r="DM71" s="244"/>
      <c r="DN71" s="244"/>
      <c r="DO71" s="244"/>
      <c r="DP71" s="244"/>
      <c r="DQ71" s="244"/>
      <c r="DR71" s="244"/>
      <c r="DS71" s="244"/>
      <c r="DT71" s="244"/>
      <c r="DU71" s="244"/>
      <c r="DV71" s="244"/>
      <c r="DW71" s="244"/>
      <c r="DX71" s="244"/>
      <c r="DY71" s="244"/>
      <c r="DZ71" s="244"/>
      <c r="EA71" s="244"/>
      <c r="EB71" s="244"/>
      <c r="EC71" s="244"/>
      <c r="ED71" s="244"/>
      <c r="EE71" s="244"/>
      <c r="EF71" s="244"/>
      <c r="EG71" s="244"/>
      <c r="EH71" s="244"/>
      <c r="EI71" s="244"/>
      <c r="EJ71" s="244"/>
      <c r="EK71" s="244"/>
      <c r="EL71" s="244"/>
      <c r="EM71" s="244"/>
      <c r="EN71" s="244"/>
      <c r="EO71" s="244"/>
      <c r="EP71" s="244"/>
      <c r="EQ71" s="246"/>
      <c r="ER71" s="237"/>
      <c r="ES71" s="237"/>
      <c r="ET71" s="237"/>
      <c r="EU71" s="237"/>
      <c r="EV71" s="237"/>
      <c r="EW71" s="237"/>
      <c r="EX71" s="237"/>
      <c r="EY71" s="237"/>
      <c r="EZ71" s="237"/>
      <c r="FA71" s="237"/>
      <c r="FB71" s="237"/>
      <c r="FC71" s="237"/>
      <c r="FD71" s="237"/>
      <c r="FE71" s="237"/>
      <c r="FF71" s="237"/>
      <c r="FG71" s="237"/>
      <c r="FH71" s="237"/>
      <c r="FI71" s="237"/>
      <c r="FJ71" s="237"/>
      <c r="FK71" s="245"/>
      <c r="FL71" s="245"/>
      <c r="FM71" s="245"/>
      <c r="FN71" s="237"/>
      <c r="FO71" s="237"/>
      <c r="FP71" s="237"/>
      <c r="FQ71" s="237"/>
      <c r="FR71" s="237"/>
      <c r="FS71" s="237"/>
      <c r="FT71" s="237"/>
      <c r="FU71" s="237"/>
      <c r="FV71" s="237"/>
      <c r="FW71" s="237"/>
      <c r="FX71" s="237"/>
      <c r="FY71" s="237"/>
      <c r="FZ71" s="237"/>
      <c r="GA71" s="237"/>
      <c r="GB71" s="237"/>
      <c r="GC71" s="237"/>
      <c r="GD71" s="237"/>
      <c r="GE71" s="237"/>
      <c r="GF71" s="237"/>
      <c r="GG71" s="237"/>
      <c r="GH71" s="237"/>
      <c r="GI71" s="237"/>
      <c r="GJ71" s="237"/>
      <c r="GK71" s="239"/>
      <c r="GL71" s="236"/>
      <c r="GM71" s="237"/>
      <c r="GN71" s="237"/>
      <c r="GO71" s="237"/>
      <c r="GP71" s="237"/>
      <c r="GQ71" s="237"/>
      <c r="GR71" s="237"/>
      <c r="GS71" s="237"/>
      <c r="GT71" s="237"/>
      <c r="GU71" s="237"/>
      <c r="GV71" s="237"/>
      <c r="GW71" s="237"/>
      <c r="GX71" s="237"/>
      <c r="GY71" s="237"/>
      <c r="GZ71" s="237"/>
      <c r="HA71" s="237"/>
      <c r="HB71" s="240"/>
      <c r="HC71" s="237"/>
      <c r="HD71" s="237"/>
      <c r="HE71" s="237"/>
      <c r="HF71" s="237"/>
      <c r="HG71" s="237"/>
      <c r="HH71" s="237"/>
      <c r="HI71" s="237"/>
      <c r="HJ71" s="237"/>
      <c r="HK71" s="237"/>
      <c r="HL71" s="237"/>
      <c r="HM71" s="237"/>
      <c r="HN71" s="237"/>
      <c r="HO71" s="237"/>
      <c r="HP71" s="237"/>
      <c r="HQ71" s="237"/>
      <c r="HR71" s="237"/>
      <c r="HS71" s="237"/>
      <c r="HT71" s="237"/>
      <c r="HU71" s="237"/>
      <c r="HV71" s="237"/>
      <c r="HW71" s="237"/>
      <c r="HX71" s="237"/>
      <c r="HY71" s="237"/>
      <c r="HZ71" s="237"/>
      <c r="IA71" s="237"/>
      <c r="IB71" s="237"/>
      <c r="IC71" s="237"/>
      <c r="ID71" s="237"/>
      <c r="IE71" s="237"/>
      <c r="IF71" s="237"/>
      <c r="IG71" s="238"/>
      <c r="IH71" s="237"/>
      <c r="II71" s="237"/>
      <c r="IJ71" s="247"/>
      <c r="IK71" s="248"/>
      <c r="IL71" s="249"/>
      <c r="IM71" s="250"/>
      <c r="IN71" s="152">
        <f>F71*10%</f>
        <v>0</v>
      </c>
      <c r="IO71" s="152">
        <f>F71+IN71</f>
        <v>0</v>
      </c>
    </row>
    <row r="72" spans="1:249" s="135" customFormat="1" ht="15" hidden="1" customHeight="1" thickBot="1" x14ac:dyDescent="0.35">
      <c r="A72" s="117"/>
      <c r="B72" s="118"/>
      <c r="C72" s="119"/>
      <c r="D72" s="120"/>
      <c r="E72" s="118"/>
      <c r="F72" s="121"/>
      <c r="G72" s="122"/>
      <c r="H72" s="123"/>
      <c r="I72" s="124"/>
      <c r="J72" s="125"/>
      <c r="K72" s="126"/>
      <c r="L72" s="125"/>
      <c r="M72" s="125"/>
      <c r="N72" s="125"/>
      <c r="O72" s="124"/>
      <c r="P72" s="125"/>
      <c r="Q72" s="126"/>
      <c r="R72" s="125"/>
      <c r="S72" s="125"/>
      <c r="T72" s="125"/>
      <c r="U72" s="125"/>
      <c r="V72" s="124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4"/>
      <c r="AK72" s="125"/>
      <c r="AL72" s="125"/>
      <c r="AM72" s="125"/>
      <c r="AN72" s="125"/>
      <c r="AO72" s="125"/>
      <c r="AP72" s="126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4"/>
      <c r="BK72" s="125"/>
      <c r="BL72" s="125"/>
      <c r="BM72" s="125"/>
      <c r="BN72" s="125"/>
      <c r="BO72" s="125"/>
      <c r="BP72" s="125"/>
      <c r="BQ72" s="125"/>
      <c r="BR72" s="127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4"/>
      <c r="CZ72" s="128"/>
      <c r="DA72" s="128"/>
      <c r="DB72" s="128"/>
      <c r="DC72" s="128"/>
      <c r="DD72" s="128"/>
      <c r="DE72" s="128"/>
      <c r="DF72" s="128"/>
      <c r="DG72" s="128"/>
      <c r="DH72" s="128"/>
      <c r="DI72" s="128"/>
      <c r="DJ72" s="128"/>
      <c r="DK72" s="128"/>
      <c r="DL72" s="128"/>
      <c r="DM72" s="128"/>
      <c r="DN72" s="128"/>
      <c r="DO72" s="128"/>
      <c r="DP72" s="128"/>
      <c r="DQ72" s="128"/>
      <c r="DR72" s="128"/>
      <c r="DS72" s="128"/>
      <c r="DT72" s="128"/>
      <c r="DU72" s="128"/>
      <c r="DV72" s="128"/>
      <c r="DW72" s="128"/>
      <c r="DX72" s="128"/>
      <c r="DY72" s="128"/>
      <c r="DZ72" s="128"/>
      <c r="EA72" s="128"/>
      <c r="EB72" s="128"/>
      <c r="EC72" s="128"/>
      <c r="ED72" s="128"/>
      <c r="EE72" s="128"/>
      <c r="EF72" s="128"/>
      <c r="EG72" s="128"/>
      <c r="EH72" s="128"/>
      <c r="EI72" s="128"/>
      <c r="EJ72" s="128"/>
      <c r="EK72" s="128"/>
      <c r="EL72" s="128"/>
      <c r="EM72" s="128"/>
      <c r="EN72" s="128"/>
      <c r="EO72" s="128"/>
      <c r="EP72" s="128"/>
      <c r="EQ72" s="129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30"/>
      <c r="FL72" s="130"/>
      <c r="FM72" s="128"/>
      <c r="FN72" s="125"/>
      <c r="FO72" s="125"/>
      <c r="FP72" s="125"/>
      <c r="FQ72" s="125"/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4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6"/>
      <c r="IH72" s="125"/>
      <c r="II72" s="125"/>
      <c r="IJ72" s="131"/>
      <c r="IK72" s="132"/>
      <c r="IL72" s="133"/>
      <c r="IM72" s="134"/>
      <c r="IN72" s="12"/>
    </row>
    <row r="73" spans="1:249" s="15" customFormat="1" ht="56.1" hidden="1" customHeight="1" thickBot="1" x14ac:dyDescent="0.2">
      <c r="A73" s="383" t="s">
        <v>117</v>
      </c>
      <c r="B73" s="384"/>
      <c r="C73" s="384"/>
      <c r="D73" s="384"/>
      <c r="E73" s="384"/>
      <c r="F73" s="227">
        <f ca="1">(SUM(F12:F71))-F65</f>
        <v>0</v>
      </c>
      <c r="G73" s="228">
        <f>COUNTA(I73:IG73)</f>
        <v>233</v>
      </c>
      <c r="H73" s="229">
        <f>SUM(I73:IG73)</f>
        <v>0</v>
      </c>
      <c r="I73" s="260">
        <f t="shared" ref="I73:CI73" si="122">(SUM(I12:I71))-I65</f>
        <v>0</v>
      </c>
      <c r="J73" s="261">
        <f t="shared" si="122"/>
        <v>0</v>
      </c>
      <c r="K73" s="261">
        <f t="shared" si="122"/>
        <v>0</v>
      </c>
      <c r="L73" s="261">
        <f t="shared" si="122"/>
        <v>0</v>
      </c>
      <c r="M73" s="261">
        <f t="shared" si="122"/>
        <v>0</v>
      </c>
      <c r="N73" s="261">
        <f t="shared" si="122"/>
        <v>0</v>
      </c>
      <c r="O73" s="261">
        <f t="shared" si="122"/>
        <v>0</v>
      </c>
      <c r="P73" s="261">
        <f t="shared" si="122"/>
        <v>0</v>
      </c>
      <c r="Q73" s="261">
        <f t="shared" si="122"/>
        <v>0</v>
      </c>
      <c r="R73" s="261">
        <f t="shared" si="122"/>
        <v>0</v>
      </c>
      <c r="S73" s="261">
        <f t="shared" si="122"/>
        <v>0</v>
      </c>
      <c r="T73" s="261">
        <f t="shared" si="122"/>
        <v>0</v>
      </c>
      <c r="U73" s="261">
        <f t="shared" si="122"/>
        <v>0</v>
      </c>
      <c r="V73" s="261">
        <f t="shared" si="122"/>
        <v>0</v>
      </c>
      <c r="W73" s="261">
        <f t="shared" ref="W73:AI73" si="123">(SUM(W12:W71))-W65</f>
        <v>0</v>
      </c>
      <c r="X73" s="261">
        <f t="shared" ref="X73:Y73" si="124">(SUM(X12:X71))-X65</f>
        <v>0</v>
      </c>
      <c r="Y73" s="261">
        <f t="shared" si="124"/>
        <v>0</v>
      </c>
      <c r="Z73" s="261">
        <f t="shared" si="123"/>
        <v>0</v>
      </c>
      <c r="AA73" s="261">
        <f t="shared" si="123"/>
        <v>0</v>
      </c>
      <c r="AB73" s="261">
        <f t="shared" ref="AB73:AC73" si="125">(SUM(AB12:AB71))-AB65</f>
        <v>0</v>
      </c>
      <c r="AC73" s="261">
        <f t="shared" si="125"/>
        <v>0</v>
      </c>
      <c r="AD73" s="261">
        <f t="shared" si="123"/>
        <v>0</v>
      </c>
      <c r="AE73" s="261">
        <f t="shared" si="123"/>
        <v>0</v>
      </c>
      <c r="AF73" s="261">
        <f t="shared" si="123"/>
        <v>0</v>
      </c>
      <c r="AG73" s="261">
        <f t="shared" ref="AG73:AH73" si="126">(SUM(AG12:AG71))-AG65</f>
        <v>0</v>
      </c>
      <c r="AH73" s="261">
        <f t="shared" si="126"/>
        <v>0</v>
      </c>
      <c r="AI73" s="261">
        <f t="shared" si="123"/>
        <v>0</v>
      </c>
      <c r="AJ73" s="261">
        <f t="shared" si="122"/>
        <v>0</v>
      </c>
      <c r="AK73" s="261">
        <f t="shared" ref="AK73" si="127">(SUM(AK12:AK71))-AK65</f>
        <v>0</v>
      </c>
      <c r="AL73" s="261">
        <f t="shared" si="122"/>
        <v>0</v>
      </c>
      <c r="AM73" s="261">
        <f t="shared" ref="AM73:AN73" si="128">(SUM(AM12:AM71))-AM65</f>
        <v>0</v>
      </c>
      <c r="AN73" s="261">
        <f t="shared" si="128"/>
        <v>0</v>
      </c>
      <c r="AO73" s="261">
        <f t="shared" si="122"/>
        <v>0</v>
      </c>
      <c r="AP73" s="261">
        <f t="shared" si="122"/>
        <v>0</v>
      </c>
      <c r="AQ73" s="261">
        <f t="shared" si="122"/>
        <v>0</v>
      </c>
      <c r="AR73" s="261">
        <f t="shared" ref="AR73" si="129">(SUM(AR12:AR71))-AR65</f>
        <v>0</v>
      </c>
      <c r="AS73" s="261">
        <f t="shared" si="122"/>
        <v>0</v>
      </c>
      <c r="AT73" s="261">
        <f t="shared" si="122"/>
        <v>0</v>
      </c>
      <c r="AU73" s="261">
        <f t="shared" ref="AU73:AY73" si="130">(SUM(AU12:AU71))-AU65</f>
        <v>0</v>
      </c>
      <c r="AV73" s="261">
        <f t="shared" si="130"/>
        <v>0</v>
      </c>
      <c r="AW73" s="261">
        <f t="shared" si="130"/>
        <v>0</v>
      </c>
      <c r="AX73" s="261">
        <f t="shared" ref="AX73" si="131">(SUM(AX12:AX71))-AX65</f>
        <v>0</v>
      </c>
      <c r="AY73" s="261">
        <f t="shared" si="130"/>
        <v>0</v>
      </c>
      <c r="AZ73" s="261">
        <f t="shared" si="122"/>
        <v>0</v>
      </c>
      <c r="BA73" s="261">
        <f t="shared" ref="BA73:BG73" si="132">(SUM(BA12:BA71))-BA65</f>
        <v>0</v>
      </c>
      <c r="BB73" s="261">
        <f t="shared" si="132"/>
        <v>0</v>
      </c>
      <c r="BC73" s="261">
        <f t="shared" ref="BC73" si="133">(SUM(BC12:BC71))-BC65</f>
        <v>0</v>
      </c>
      <c r="BD73" s="261">
        <f t="shared" si="132"/>
        <v>0</v>
      </c>
      <c r="BE73" s="261">
        <f t="shared" ref="BE73:BF73" si="134">(SUM(BE12:BE71))-BE65</f>
        <v>0</v>
      </c>
      <c r="BF73" s="261">
        <f t="shared" si="134"/>
        <v>0</v>
      </c>
      <c r="BG73" s="261">
        <f t="shared" si="132"/>
        <v>0</v>
      </c>
      <c r="BH73" s="261">
        <f t="shared" si="122"/>
        <v>0</v>
      </c>
      <c r="BI73" s="261">
        <f t="shared" si="122"/>
        <v>0</v>
      </c>
      <c r="BJ73" s="261">
        <f t="shared" si="122"/>
        <v>0</v>
      </c>
      <c r="BK73" s="261">
        <f t="shared" si="122"/>
        <v>0</v>
      </c>
      <c r="BL73" s="261">
        <f t="shared" ref="BL73" si="135">(SUM(BL12:BL71))-BL65</f>
        <v>0</v>
      </c>
      <c r="BM73" s="261">
        <f t="shared" si="122"/>
        <v>0</v>
      </c>
      <c r="BN73" s="261">
        <f t="shared" ref="BN73:BO73" si="136">(SUM(BN12:BN71))-BN65</f>
        <v>0</v>
      </c>
      <c r="BO73" s="261">
        <f t="shared" si="136"/>
        <v>0</v>
      </c>
      <c r="BP73" s="261">
        <f t="shared" ref="BP73" si="137">(SUM(BP12:BP71))-BP65</f>
        <v>0</v>
      </c>
      <c r="BQ73" s="261">
        <f t="shared" si="122"/>
        <v>0</v>
      </c>
      <c r="BR73" s="261">
        <f t="shared" si="122"/>
        <v>0</v>
      </c>
      <c r="BS73" s="261">
        <f t="shared" ref="BS73" si="138">(SUM(BS12:BS71))-BS65</f>
        <v>0</v>
      </c>
      <c r="BT73" s="261">
        <f t="shared" ref="BT73:BV73" si="139">(SUM(BT12:BT71))-BT65</f>
        <v>0</v>
      </c>
      <c r="BU73" s="261">
        <f t="shared" si="139"/>
        <v>0</v>
      </c>
      <c r="BV73" s="261">
        <f t="shared" si="139"/>
        <v>0</v>
      </c>
      <c r="BW73" s="261">
        <f t="shared" ref="BW73:BZ73" si="140">(SUM(BW12:BW71))-BW65</f>
        <v>0</v>
      </c>
      <c r="BX73" s="261">
        <f t="shared" si="140"/>
        <v>0</v>
      </c>
      <c r="BY73" s="261">
        <f t="shared" ref="BY73" si="141">(SUM(BY12:BY71))-BY65</f>
        <v>0</v>
      </c>
      <c r="BZ73" s="261">
        <f t="shared" si="140"/>
        <v>0</v>
      </c>
      <c r="CA73" s="261">
        <f t="shared" si="122"/>
        <v>0</v>
      </c>
      <c r="CB73" s="261">
        <f t="shared" ref="CB73:CC73" si="142">(SUM(CB12:CB71))-CB65</f>
        <v>0</v>
      </c>
      <c r="CC73" s="261">
        <f t="shared" si="142"/>
        <v>0</v>
      </c>
      <c r="CD73" s="261">
        <f t="shared" si="122"/>
        <v>0</v>
      </c>
      <c r="CE73" s="261">
        <f t="shared" si="122"/>
        <v>0</v>
      </c>
      <c r="CF73" s="261">
        <f t="shared" si="122"/>
        <v>0</v>
      </c>
      <c r="CG73" s="261">
        <f t="shared" ref="CG73:CH73" si="143">(SUM(CG12:CG71))-CG65</f>
        <v>0</v>
      </c>
      <c r="CH73" s="261">
        <f t="shared" si="143"/>
        <v>0</v>
      </c>
      <c r="CI73" s="261">
        <f t="shared" si="122"/>
        <v>0</v>
      </c>
      <c r="CJ73" s="261">
        <f t="shared" ref="CJ73:CM73" si="144">(SUM(CJ12:CJ71))-CJ65</f>
        <v>0</v>
      </c>
      <c r="CK73" s="261">
        <f t="shared" si="144"/>
        <v>0</v>
      </c>
      <c r="CL73" s="261">
        <f t="shared" si="144"/>
        <v>0</v>
      </c>
      <c r="CM73" s="261">
        <f t="shared" si="144"/>
        <v>0</v>
      </c>
      <c r="CN73" s="261">
        <f t="shared" ref="CN73:CO73" si="145">(SUM(CN12:CN71))-CN65</f>
        <v>0</v>
      </c>
      <c r="CO73" s="261">
        <f t="shared" si="145"/>
        <v>0</v>
      </c>
      <c r="CP73" s="261">
        <f t="shared" ref="CP73:II73" si="146">(SUM(CP12:CP71))-CP65</f>
        <v>0</v>
      </c>
      <c r="CQ73" s="261">
        <f t="shared" ref="CQ73:CR73" si="147">(SUM(CQ12:CQ71))-CQ65</f>
        <v>0</v>
      </c>
      <c r="CR73" s="261">
        <f t="shared" si="147"/>
        <v>0</v>
      </c>
      <c r="CS73" s="261">
        <f t="shared" si="146"/>
        <v>0</v>
      </c>
      <c r="CT73" s="261">
        <f t="shared" si="146"/>
        <v>0</v>
      </c>
      <c r="CU73" s="261">
        <f t="shared" ref="CU73:CV73" si="148">(SUM(CU12:CU71))-CU65</f>
        <v>0</v>
      </c>
      <c r="CV73" s="261">
        <f t="shared" si="148"/>
        <v>0</v>
      </c>
      <c r="CW73" s="261">
        <f t="shared" si="146"/>
        <v>0</v>
      </c>
      <c r="CX73" s="261">
        <f t="shared" si="146"/>
        <v>0</v>
      </c>
      <c r="CY73" s="261">
        <f t="shared" si="146"/>
        <v>0</v>
      </c>
      <c r="CZ73" s="261">
        <f t="shared" si="146"/>
        <v>0</v>
      </c>
      <c r="DA73" s="261">
        <f t="shared" ref="DA73:DD73" si="149">(SUM(DA12:DA71))-DA65</f>
        <v>0</v>
      </c>
      <c r="DB73" s="261">
        <f t="shared" ref="DB73:DC73" si="150">(SUM(DB12:DB71))-DB65</f>
        <v>0</v>
      </c>
      <c r="DC73" s="261">
        <f t="shared" si="150"/>
        <v>0</v>
      </c>
      <c r="DD73" s="261">
        <f t="shared" si="149"/>
        <v>0</v>
      </c>
      <c r="DE73" s="261">
        <f t="shared" si="146"/>
        <v>0</v>
      </c>
      <c r="DF73" s="261">
        <f t="shared" si="146"/>
        <v>0</v>
      </c>
      <c r="DG73" s="261">
        <f t="shared" si="146"/>
        <v>0</v>
      </c>
      <c r="DH73" s="261">
        <f t="shared" si="146"/>
        <v>0</v>
      </c>
      <c r="DI73" s="261">
        <f t="shared" ref="DI73:DM73" si="151">(SUM(DI12:DI71))-DI65</f>
        <v>0</v>
      </c>
      <c r="DJ73" s="261">
        <f t="shared" si="151"/>
        <v>0</v>
      </c>
      <c r="DK73" s="261">
        <f t="shared" ref="DK73:DL73" si="152">(SUM(DK12:DK71))-DK65</f>
        <v>0</v>
      </c>
      <c r="DL73" s="261">
        <f t="shared" si="152"/>
        <v>0</v>
      </c>
      <c r="DM73" s="261">
        <f t="shared" si="151"/>
        <v>0</v>
      </c>
      <c r="DN73" s="261">
        <f t="shared" si="146"/>
        <v>0</v>
      </c>
      <c r="DO73" s="261">
        <f t="shared" ref="DO73:DQ73" si="153">(SUM(DO12:DO71))-DO65</f>
        <v>0</v>
      </c>
      <c r="DP73" s="261">
        <f t="shared" si="153"/>
        <v>0</v>
      </c>
      <c r="DQ73" s="261">
        <f t="shared" si="153"/>
        <v>0</v>
      </c>
      <c r="DR73" s="261">
        <f t="shared" si="146"/>
        <v>0</v>
      </c>
      <c r="DS73" s="261">
        <f t="shared" ref="DS73" si="154">(SUM(DS12:DS71))-DS65</f>
        <v>0</v>
      </c>
      <c r="DT73" s="261">
        <f t="shared" si="146"/>
        <v>0</v>
      </c>
      <c r="DU73" s="261">
        <f t="shared" ref="DU73:EO73" si="155">(SUM(DU12:DU71))-DU65</f>
        <v>0</v>
      </c>
      <c r="DV73" s="261">
        <f t="shared" ref="DV73" si="156">(SUM(DV12:DV71))-DV65</f>
        <v>0</v>
      </c>
      <c r="DW73" s="261">
        <f t="shared" si="155"/>
        <v>0</v>
      </c>
      <c r="DX73" s="261">
        <f t="shared" ref="DX73:EB73" si="157">(SUM(DX12:DX71))-DX65</f>
        <v>0</v>
      </c>
      <c r="DY73" s="261">
        <f t="shared" si="157"/>
        <v>0</v>
      </c>
      <c r="DZ73" s="261">
        <f t="shared" ref="DZ73" si="158">(SUM(DZ12:DZ71))-DZ65</f>
        <v>0</v>
      </c>
      <c r="EA73" s="261">
        <f t="shared" si="157"/>
        <v>0</v>
      </c>
      <c r="EB73" s="261">
        <f t="shared" si="157"/>
        <v>0</v>
      </c>
      <c r="EC73" s="261">
        <f t="shared" si="155"/>
        <v>0</v>
      </c>
      <c r="ED73" s="261">
        <f t="shared" ref="ED73:EM73" si="159">(SUM(ED12:ED71))-ED65</f>
        <v>0</v>
      </c>
      <c r="EE73" s="261">
        <f t="shared" si="159"/>
        <v>0</v>
      </c>
      <c r="EF73" s="261">
        <f t="shared" si="159"/>
        <v>0</v>
      </c>
      <c r="EG73" s="261">
        <f t="shared" ref="EG73:EJ73" si="160">(SUM(EG12:EG71))-EG65</f>
        <v>0</v>
      </c>
      <c r="EH73" s="261">
        <f t="shared" ref="EH73" si="161">(SUM(EH12:EH71))-EH65</f>
        <v>0</v>
      </c>
      <c r="EI73" s="261">
        <f t="shared" si="160"/>
        <v>0</v>
      </c>
      <c r="EJ73" s="261">
        <f t="shared" si="160"/>
        <v>0</v>
      </c>
      <c r="EK73" s="261">
        <f t="shared" si="159"/>
        <v>0</v>
      </c>
      <c r="EL73" s="261">
        <f t="shared" si="159"/>
        <v>0</v>
      </c>
      <c r="EM73" s="261">
        <f t="shared" si="159"/>
        <v>0</v>
      </c>
      <c r="EN73" s="261">
        <f t="shared" ref="EN73" si="162">(SUM(EN12:EN71))-EN65</f>
        <v>0</v>
      </c>
      <c r="EO73" s="261">
        <f t="shared" si="155"/>
        <v>0</v>
      </c>
      <c r="EP73" s="261">
        <f t="shared" si="146"/>
        <v>0</v>
      </c>
      <c r="EQ73" s="261">
        <f t="shared" si="146"/>
        <v>0</v>
      </c>
      <c r="ER73" s="261">
        <f t="shared" si="146"/>
        <v>0</v>
      </c>
      <c r="ES73" s="261">
        <f t="shared" ref="ES73" si="163">(SUM(ES12:ES71))-ES65</f>
        <v>0</v>
      </c>
      <c r="ET73" s="261">
        <f t="shared" si="146"/>
        <v>0</v>
      </c>
      <c r="EU73" s="261">
        <f t="shared" ref="EU73:EW73" si="164">(SUM(EU12:EU71))-EU65</f>
        <v>0</v>
      </c>
      <c r="EV73" s="261">
        <f t="shared" ref="EV73" si="165">(SUM(EV12:EV71))-EV65</f>
        <v>0</v>
      </c>
      <c r="EW73" s="261">
        <f t="shared" si="164"/>
        <v>0</v>
      </c>
      <c r="EX73" s="261">
        <f t="shared" si="146"/>
        <v>0</v>
      </c>
      <c r="EY73" s="261">
        <f t="shared" si="146"/>
        <v>0</v>
      </c>
      <c r="EZ73" s="261">
        <f t="shared" ref="EZ73:FK73" si="166">(SUM(EZ12:EZ71))-EZ65</f>
        <v>0</v>
      </c>
      <c r="FA73" s="261">
        <f t="shared" ref="FA73:FC73" si="167">(SUM(FA12:FA71))-FA65</f>
        <v>0</v>
      </c>
      <c r="FB73" s="261">
        <f t="shared" si="167"/>
        <v>0</v>
      </c>
      <c r="FC73" s="261">
        <f t="shared" si="167"/>
        <v>0</v>
      </c>
      <c r="FD73" s="261">
        <f t="shared" si="166"/>
        <v>0</v>
      </c>
      <c r="FE73" s="261">
        <f t="shared" si="166"/>
        <v>0</v>
      </c>
      <c r="FF73" s="261">
        <f t="shared" ref="FF73" si="168">(SUM(FF12:FF71))-FF65</f>
        <v>0</v>
      </c>
      <c r="FG73" s="261">
        <f t="shared" ref="FG73:FI73" si="169">(SUM(FG12:FG71))-FG65</f>
        <v>0</v>
      </c>
      <c r="FH73" s="261">
        <f t="shared" ref="FH73" si="170">(SUM(FH12:FH71))-FH65</f>
        <v>0</v>
      </c>
      <c r="FI73" s="261">
        <f t="shared" si="169"/>
        <v>0</v>
      </c>
      <c r="FJ73" s="261">
        <f t="shared" si="166"/>
        <v>0</v>
      </c>
      <c r="FK73" s="261">
        <f t="shared" si="166"/>
        <v>0</v>
      </c>
      <c r="FL73" s="261">
        <f t="shared" si="146"/>
        <v>0</v>
      </c>
      <c r="FM73" s="261">
        <f t="shared" si="146"/>
        <v>0</v>
      </c>
      <c r="FN73" s="261">
        <f t="shared" si="146"/>
        <v>0</v>
      </c>
      <c r="FO73" s="261">
        <f t="shared" ref="FO73:FS73" si="171">(SUM(FO12:FO71))-FO65</f>
        <v>0</v>
      </c>
      <c r="FP73" s="261">
        <f t="shared" ref="FP73" si="172">(SUM(FP12:FP71))-FP65</f>
        <v>0</v>
      </c>
      <c r="FQ73" s="261">
        <f t="shared" si="171"/>
        <v>0</v>
      </c>
      <c r="FR73" s="261">
        <f t="shared" si="171"/>
        <v>0</v>
      </c>
      <c r="FS73" s="261">
        <f t="shared" si="171"/>
        <v>0</v>
      </c>
      <c r="FT73" s="261">
        <f t="shared" si="146"/>
        <v>0</v>
      </c>
      <c r="FU73" s="261">
        <f t="shared" ref="FU73:FX73" si="173">(SUM(FU12:FU71))-FU65</f>
        <v>0</v>
      </c>
      <c r="FV73" s="261">
        <f t="shared" si="173"/>
        <v>0</v>
      </c>
      <c r="FW73" s="261">
        <f t="shared" si="173"/>
        <v>0</v>
      </c>
      <c r="FX73" s="261">
        <f t="shared" si="173"/>
        <v>0</v>
      </c>
      <c r="FY73" s="261">
        <f t="shared" si="146"/>
        <v>0</v>
      </c>
      <c r="FZ73" s="261">
        <f t="shared" si="146"/>
        <v>0</v>
      </c>
      <c r="GA73" s="261">
        <f t="shared" si="146"/>
        <v>0</v>
      </c>
      <c r="GB73" s="261">
        <f t="shared" ref="GB73" si="174">(SUM(GB12:GB71))-GB65</f>
        <v>0</v>
      </c>
      <c r="GC73" s="261">
        <f t="shared" ref="GC73:GF73" si="175">(SUM(GC12:GC71))-GC65</f>
        <v>0</v>
      </c>
      <c r="GD73" s="261">
        <f t="shared" si="175"/>
        <v>0</v>
      </c>
      <c r="GE73" s="261">
        <f t="shared" si="175"/>
        <v>0</v>
      </c>
      <c r="GF73" s="261">
        <f t="shared" si="175"/>
        <v>0</v>
      </c>
      <c r="GG73" s="261">
        <f t="shared" ref="GG73:GI73" si="176">(SUM(GG12:GG71))-GG65</f>
        <v>0</v>
      </c>
      <c r="GH73" s="261">
        <f t="shared" si="176"/>
        <v>0</v>
      </c>
      <c r="GI73" s="261">
        <f t="shared" si="176"/>
        <v>0</v>
      </c>
      <c r="GJ73" s="261">
        <f t="shared" si="146"/>
        <v>0</v>
      </c>
      <c r="GK73" s="261">
        <f t="shared" si="146"/>
        <v>0</v>
      </c>
      <c r="GL73" s="261">
        <f t="shared" si="146"/>
        <v>0</v>
      </c>
      <c r="GM73" s="261">
        <f t="shared" si="146"/>
        <v>0</v>
      </c>
      <c r="GN73" s="261">
        <f t="shared" ref="GN73:GO73" si="177">(SUM(GN12:GN71))-GN65</f>
        <v>0</v>
      </c>
      <c r="GO73" s="261">
        <f t="shared" si="177"/>
        <v>0</v>
      </c>
      <c r="GP73" s="261">
        <f t="shared" si="146"/>
        <v>0</v>
      </c>
      <c r="GQ73" s="261">
        <f t="shared" ref="GQ73:GS73" si="178">(SUM(GQ12:GQ71))-GQ65</f>
        <v>0</v>
      </c>
      <c r="GR73" s="261">
        <f t="shared" si="178"/>
        <v>0</v>
      </c>
      <c r="GS73" s="261">
        <f t="shared" si="178"/>
        <v>0</v>
      </c>
      <c r="GT73" s="261">
        <f t="shared" si="146"/>
        <v>0</v>
      </c>
      <c r="GU73" s="261">
        <f t="shared" si="146"/>
        <v>0</v>
      </c>
      <c r="GV73" s="261">
        <f t="shared" si="146"/>
        <v>0</v>
      </c>
      <c r="GW73" s="261">
        <f t="shared" ref="GW73:GX73" si="179">(SUM(GW12:GW71))-GW65</f>
        <v>0</v>
      </c>
      <c r="GX73" s="261">
        <f t="shared" si="179"/>
        <v>0</v>
      </c>
      <c r="GY73" s="261">
        <f t="shared" si="146"/>
        <v>0</v>
      </c>
      <c r="GZ73" s="261">
        <f t="shared" ref="GZ73" si="180">(SUM(GZ12:GZ71))-GZ65</f>
        <v>0</v>
      </c>
      <c r="HA73" s="261">
        <f t="shared" si="146"/>
        <v>0</v>
      </c>
      <c r="HB73" s="261">
        <f t="shared" si="146"/>
        <v>0</v>
      </c>
      <c r="HC73" s="261">
        <f t="shared" si="146"/>
        <v>0</v>
      </c>
      <c r="HD73" s="261">
        <f t="shared" si="146"/>
        <v>0</v>
      </c>
      <c r="HE73" s="261">
        <f t="shared" si="146"/>
        <v>0</v>
      </c>
      <c r="HF73" s="261">
        <f t="shared" si="146"/>
        <v>0</v>
      </c>
      <c r="HG73" s="261">
        <f t="shared" si="146"/>
        <v>0</v>
      </c>
      <c r="HH73" s="261">
        <f t="shared" si="146"/>
        <v>0</v>
      </c>
      <c r="HI73" s="261">
        <f t="shared" si="146"/>
        <v>0</v>
      </c>
      <c r="HJ73" s="261">
        <f t="shared" si="146"/>
        <v>0</v>
      </c>
      <c r="HK73" s="261">
        <f t="shared" si="146"/>
        <v>0</v>
      </c>
      <c r="HL73" s="261">
        <f t="shared" ref="HL73:HQ73" si="181">(SUM(HL12:HL71))-HL65</f>
        <v>0</v>
      </c>
      <c r="HM73" s="261">
        <f t="shared" si="181"/>
        <v>0</v>
      </c>
      <c r="HN73" s="261">
        <f t="shared" si="181"/>
        <v>0</v>
      </c>
      <c r="HO73" s="261">
        <f t="shared" si="181"/>
        <v>0</v>
      </c>
      <c r="HP73" s="261">
        <f t="shared" si="181"/>
        <v>0</v>
      </c>
      <c r="HQ73" s="261">
        <f t="shared" si="181"/>
        <v>0</v>
      </c>
      <c r="HR73" s="261">
        <f t="shared" ref="HR73:HT73" si="182">(SUM(HR12:HR71))-HR65</f>
        <v>0</v>
      </c>
      <c r="HS73" s="261">
        <f t="shared" si="182"/>
        <v>0</v>
      </c>
      <c r="HT73" s="261">
        <f t="shared" si="182"/>
        <v>0</v>
      </c>
      <c r="HU73" s="261">
        <f t="shared" ref="HU73:IC73" si="183">(SUM(HU12:HU71))-HU65</f>
        <v>0</v>
      </c>
      <c r="HV73" s="261">
        <f t="shared" si="183"/>
        <v>0</v>
      </c>
      <c r="HW73" s="261">
        <f t="shared" si="183"/>
        <v>0</v>
      </c>
      <c r="HX73" s="261">
        <f t="shared" si="183"/>
        <v>0</v>
      </c>
      <c r="HY73" s="261">
        <f t="shared" si="183"/>
        <v>0</v>
      </c>
      <c r="HZ73" s="261">
        <f t="shared" si="183"/>
        <v>0</v>
      </c>
      <c r="IA73" s="261">
        <f t="shared" si="183"/>
        <v>0</v>
      </c>
      <c r="IB73" s="261">
        <f t="shared" si="183"/>
        <v>0</v>
      </c>
      <c r="IC73" s="261">
        <f t="shared" si="183"/>
        <v>0</v>
      </c>
      <c r="ID73" s="261">
        <f t="shared" si="146"/>
        <v>0</v>
      </c>
      <c r="IE73" s="261">
        <f t="shared" si="146"/>
        <v>0</v>
      </c>
      <c r="IF73" s="261">
        <f t="shared" si="146"/>
        <v>0</v>
      </c>
      <c r="IG73" s="261">
        <f t="shared" si="146"/>
        <v>0</v>
      </c>
      <c r="IH73" s="261">
        <f t="shared" ref="IH73" si="184">(SUM(IH12:IH71))-IH65</f>
        <v>0</v>
      </c>
      <c r="II73" s="261">
        <f t="shared" si="146"/>
        <v>0</v>
      </c>
      <c r="IJ73" s="363"/>
      <c r="IK73" s="364"/>
      <c r="IL73" s="364"/>
      <c r="IM73" s="365"/>
      <c r="IN73" s="116">
        <f ca="1">SUM(IN36:IN94)</f>
        <v>0</v>
      </c>
      <c r="IO73" s="116">
        <f ca="1">SUM(IO36:IO94)</f>
        <v>0</v>
      </c>
    </row>
    <row r="74" spans="1:249" s="15" customFormat="1" ht="18" customHeight="1" thickBot="1" x14ac:dyDescent="0.3">
      <c r="A74" s="14"/>
      <c r="B74" s="2"/>
      <c r="C74" s="3"/>
      <c r="D74" s="2"/>
      <c r="E74" s="2"/>
      <c r="F74" s="4"/>
      <c r="G74" s="5"/>
      <c r="H74" s="5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</row>
    <row r="75" spans="1:249" s="269" customFormat="1" ht="60.75" customHeight="1" thickBot="1" x14ac:dyDescent="0.35">
      <c r="A75" s="385" t="s">
        <v>118</v>
      </c>
      <c r="B75" s="386"/>
      <c r="C75" s="386"/>
      <c r="D75" s="262" t="s">
        <v>119</v>
      </c>
      <c r="E75" s="262" t="s">
        <v>120</v>
      </c>
      <c r="F75" s="263" t="s">
        <v>121</v>
      </c>
      <c r="G75" s="264"/>
      <c r="H75" s="264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5"/>
      <c r="CE75" s="265"/>
      <c r="CF75" s="265"/>
      <c r="CG75" s="265"/>
      <c r="CH75" s="265"/>
      <c r="CI75" s="265"/>
      <c r="CJ75" s="265"/>
      <c r="CK75" s="265"/>
      <c r="CL75" s="265"/>
      <c r="CM75" s="265"/>
      <c r="CN75" s="265"/>
      <c r="CO75" s="265"/>
      <c r="CP75" s="265"/>
      <c r="CQ75" s="265"/>
      <c r="CR75" s="265"/>
      <c r="CS75" s="265"/>
      <c r="CT75" s="265"/>
      <c r="CU75" s="265"/>
      <c r="CV75" s="265"/>
      <c r="CW75" s="265"/>
      <c r="CX75" s="265"/>
      <c r="CY75" s="265"/>
      <c r="CZ75" s="265"/>
      <c r="DA75" s="265"/>
      <c r="DB75" s="265"/>
      <c r="DC75" s="265"/>
      <c r="DD75" s="265"/>
      <c r="DE75" s="265"/>
      <c r="DF75" s="265"/>
      <c r="DG75" s="265"/>
      <c r="DH75" s="265"/>
      <c r="DI75" s="265"/>
      <c r="DJ75" s="265"/>
      <c r="DK75" s="265"/>
      <c r="DL75" s="265"/>
      <c r="DM75" s="265"/>
      <c r="DN75" s="265"/>
      <c r="DO75" s="265"/>
      <c r="DP75" s="265"/>
      <c r="DQ75" s="265"/>
      <c r="DR75" s="265"/>
      <c r="DS75" s="265"/>
      <c r="DT75" s="265"/>
      <c r="DU75" s="265"/>
      <c r="DV75" s="265"/>
      <c r="DW75" s="265"/>
      <c r="DX75" s="265"/>
      <c r="DY75" s="265"/>
      <c r="DZ75" s="265"/>
      <c r="EA75" s="265"/>
      <c r="EB75" s="265"/>
      <c r="EC75" s="265"/>
      <c r="ED75" s="265"/>
      <c r="EE75" s="265"/>
      <c r="EF75" s="265"/>
      <c r="EG75" s="265"/>
      <c r="EH75" s="265"/>
      <c r="EI75" s="265"/>
      <c r="EJ75" s="265"/>
      <c r="EK75" s="265"/>
      <c r="EL75" s="265"/>
      <c r="EM75" s="265"/>
      <c r="EN75" s="265"/>
      <c r="EO75" s="265"/>
      <c r="EP75" s="265"/>
      <c r="EQ75" s="265"/>
      <c r="ER75" s="265"/>
      <c r="ES75" s="265"/>
      <c r="ET75" s="265"/>
      <c r="EU75" s="265"/>
      <c r="EV75" s="265"/>
      <c r="EW75" s="265"/>
      <c r="EX75" s="265"/>
      <c r="EY75" s="265"/>
      <c r="EZ75" s="265"/>
      <c r="FA75" s="265"/>
      <c r="FB75" s="265"/>
      <c r="FC75" s="265"/>
      <c r="FD75" s="265"/>
      <c r="FE75" s="265"/>
      <c r="FF75" s="265"/>
      <c r="FG75" s="265"/>
      <c r="FH75" s="265"/>
      <c r="FI75" s="265"/>
      <c r="FJ75" s="265"/>
      <c r="FK75" s="265"/>
      <c r="FL75" s="265"/>
      <c r="FM75" s="265"/>
      <c r="FN75" s="265"/>
      <c r="FO75" s="265"/>
      <c r="FP75" s="265"/>
      <c r="FQ75" s="265"/>
      <c r="FR75" s="265"/>
      <c r="FS75" s="265"/>
      <c r="FT75" s="265"/>
      <c r="FU75" s="265"/>
      <c r="FV75" s="265"/>
      <c r="FW75" s="265"/>
      <c r="FX75" s="265"/>
      <c r="FY75" s="265"/>
      <c r="FZ75" s="265"/>
      <c r="GA75" s="265"/>
      <c r="GB75" s="265"/>
      <c r="GC75" s="265"/>
      <c r="GD75" s="265"/>
      <c r="GE75" s="265"/>
      <c r="GF75" s="265"/>
      <c r="GG75" s="265"/>
      <c r="GH75" s="265"/>
      <c r="GI75" s="265"/>
      <c r="GJ75" s="265"/>
      <c r="GK75" s="265"/>
      <c r="GL75" s="265"/>
      <c r="GM75" s="265"/>
      <c r="GN75" s="265"/>
      <c r="GO75" s="265"/>
      <c r="GP75" s="265"/>
      <c r="GQ75" s="265"/>
      <c r="GR75" s="265"/>
      <c r="GS75" s="265"/>
      <c r="GT75" s="265"/>
      <c r="GU75" s="265"/>
      <c r="GV75" s="265"/>
      <c r="GW75" s="265"/>
      <c r="GX75" s="265"/>
      <c r="GY75" s="265"/>
      <c r="GZ75" s="265"/>
      <c r="HA75" s="265"/>
      <c r="HB75" s="265"/>
      <c r="HC75" s="265"/>
      <c r="HD75" s="265"/>
      <c r="HE75" s="265"/>
      <c r="HF75" s="265"/>
      <c r="HG75" s="265"/>
      <c r="HH75" s="265"/>
      <c r="HI75" s="265"/>
      <c r="HJ75" s="265"/>
      <c r="HK75" s="265"/>
      <c r="HL75" s="265"/>
      <c r="HM75" s="265"/>
      <c r="HN75" s="265"/>
      <c r="HO75" s="265"/>
      <c r="HP75" s="265"/>
      <c r="HQ75" s="265"/>
      <c r="HR75" s="265"/>
      <c r="HS75" s="265"/>
      <c r="HT75" s="265"/>
      <c r="HU75" s="265"/>
      <c r="HV75" s="265"/>
      <c r="HW75" s="265"/>
      <c r="HX75" s="265"/>
      <c r="HY75" s="265"/>
      <c r="HZ75" s="265"/>
      <c r="IA75" s="265"/>
      <c r="IB75" s="265"/>
      <c r="IC75" s="265"/>
      <c r="ID75" s="265"/>
      <c r="IE75" s="265"/>
      <c r="IF75" s="265"/>
      <c r="IG75" s="265"/>
      <c r="IH75" s="265"/>
      <c r="II75" s="265"/>
      <c r="IJ75" s="266" t="s">
        <v>122</v>
      </c>
      <c r="IK75" s="267" t="s">
        <v>123</v>
      </c>
      <c r="IL75" s="267" t="s">
        <v>124</v>
      </c>
      <c r="IM75" s="268" t="s">
        <v>125</v>
      </c>
      <c r="IN75" s="263" t="s">
        <v>126</v>
      </c>
    </row>
    <row r="76" spans="1:249" s="274" customFormat="1" ht="18" customHeight="1" thickTop="1" x14ac:dyDescent="0.3">
      <c r="A76" s="387" t="s">
        <v>127</v>
      </c>
      <c r="B76" s="388"/>
      <c r="C76" s="388"/>
      <c r="D76" s="271">
        <f>COUNTIF(D12:D71,A76)</f>
        <v>0</v>
      </c>
      <c r="E76" s="271">
        <f>(SUMIF(D12:D71,A76,E12:E71))/2</f>
        <v>0</v>
      </c>
      <c r="F76" s="272">
        <f>SUMIF(D12:D71,A76,F12:F71)</f>
        <v>0</v>
      </c>
      <c r="G76" s="273"/>
      <c r="H76" s="273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2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275"/>
      <c r="CO76" s="275"/>
      <c r="CP76" s="275"/>
      <c r="CQ76" s="275"/>
      <c r="CR76" s="275"/>
      <c r="CS76" s="275"/>
      <c r="CT76" s="275"/>
      <c r="CU76" s="275"/>
      <c r="CV76" s="275"/>
      <c r="CW76" s="275"/>
      <c r="CX76" s="275"/>
      <c r="CY76" s="275"/>
      <c r="CZ76" s="275"/>
      <c r="DA76" s="275"/>
      <c r="DE76" s="275"/>
      <c r="DF76" s="275"/>
      <c r="DG76" s="275"/>
      <c r="DH76" s="275"/>
      <c r="DK76" s="275"/>
      <c r="DL76" s="275"/>
      <c r="DM76" s="275"/>
      <c r="DN76" s="275"/>
      <c r="IJ76" s="270" t="s">
        <v>127</v>
      </c>
      <c r="IK76" s="276">
        <f>SUMIF(IK12:IK71,"*입금*",F12:F71)</f>
        <v>0</v>
      </c>
      <c r="IL76" s="276">
        <f>(SUMIF(IL12:IL71,"*세금*",F12:F71))-IL81</f>
        <v>0</v>
      </c>
      <c r="IM76" s="277">
        <f>F76-IK76</f>
        <v>0</v>
      </c>
      <c r="IN76" s="278">
        <f>F76-IL76</f>
        <v>0</v>
      </c>
    </row>
    <row r="77" spans="1:249" s="274" customFormat="1" ht="20.100000000000001" customHeight="1" x14ac:dyDescent="0.3">
      <c r="A77" s="389" t="s">
        <v>128</v>
      </c>
      <c r="B77" s="390"/>
      <c r="C77" s="390"/>
      <c r="D77" s="280">
        <f>COUNTIF(D12:D71,A77)</f>
        <v>0</v>
      </c>
      <c r="E77" s="280">
        <f>(SUMIF(D12:D71,A77,E12:E71))/2</f>
        <v>0</v>
      </c>
      <c r="F77" s="281">
        <f>SUMIF(D12:D71,A77,F12:F71)</f>
        <v>0</v>
      </c>
      <c r="G77" s="273"/>
      <c r="H77" s="273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2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275"/>
      <c r="CO77" s="275"/>
      <c r="CP77" s="275"/>
      <c r="CQ77" s="275"/>
      <c r="CR77" s="275"/>
      <c r="CS77" s="275"/>
      <c r="CT77" s="275"/>
      <c r="CU77" s="275"/>
      <c r="CV77" s="275"/>
      <c r="CW77" s="275"/>
      <c r="CX77" s="275"/>
      <c r="CY77" s="275"/>
      <c r="CZ77" s="275"/>
      <c r="DA77" s="275"/>
      <c r="DE77" s="275"/>
      <c r="DF77" s="275"/>
      <c r="DG77" s="275"/>
      <c r="DH77" s="275"/>
      <c r="DK77" s="275"/>
      <c r="DL77" s="275"/>
      <c r="DM77" s="275"/>
      <c r="DN77" s="275"/>
      <c r="IJ77" s="279" t="s">
        <v>128</v>
      </c>
      <c r="IK77" s="282">
        <f>SUMIF(IK12:IK71,"*카드*",F12:F71)</f>
        <v>0</v>
      </c>
      <c r="IL77" s="391"/>
      <c r="IM77" s="277">
        <f>F77-IK77</f>
        <v>0</v>
      </c>
      <c r="IN77" s="400"/>
    </row>
    <row r="78" spans="1:249" s="269" customFormat="1" ht="20.100000000000001" customHeight="1" x14ac:dyDescent="0.3">
      <c r="A78" s="389" t="s">
        <v>129</v>
      </c>
      <c r="B78" s="390"/>
      <c r="C78" s="390"/>
      <c r="D78" s="280">
        <f>COUNTIF(D12:D71,A78)</f>
        <v>0</v>
      </c>
      <c r="E78" s="280">
        <f>(SUMIF(D12:D71,A78,E12:E71))/2</f>
        <v>0</v>
      </c>
      <c r="F78" s="281">
        <f>SUMIF(D12:D71,A78,F12:F71)</f>
        <v>0</v>
      </c>
      <c r="G78" s="273"/>
      <c r="H78" s="273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2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275"/>
      <c r="CO78" s="275"/>
      <c r="CP78" s="275"/>
      <c r="CQ78" s="275"/>
      <c r="CR78" s="275"/>
      <c r="CS78" s="275"/>
      <c r="CT78" s="275"/>
      <c r="CU78" s="275"/>
      <c r="CV78" s="275"/>
      <c r="CW78" s="275"/>
      <c r="CX78" s="275"/>
      <c r="CY78" s="275"/>
      <c r="CZ78" s="275"/>
      <c r="DA78" s="275"/>
      <c r="DB78" s="283"/>
      <c r="DC78" s="283"/>
      <c r="DD78" s="283"/>
      <c r="DE78" s="275"/>
      <c r="DF78" s="275"/>
      <c r="DG78" s="275"/>
      <c r="DH78" s="275"/>
      <c r="DI78" s="283"/>
      <c r="DJ78" s="283"/>
      <c r="DK78" s="275"/>
      <c r="DL78" s="275"/>
      <c r="DM78" s="275"/>
      <c r="DN78" s="275"/>
      <c r="DO78" s="283"/>
      <c r="DP78" s="283"/>
      <c r="DQ78" s="283"/>
      <c r="DR78" s="283"/>
      <c r="DS78" s="283"/>
      <c r="DT78" s="283"/>
      <c r="DU78" s="283"/>
      <c r="DV78" s="283"/>
      <c r="DW78" s="283"/>
      <c r="DX78" s="283"/>
      <c r="DY78" s="283"/>
      <c r="DZ78" s="283"/>
      <c r="EA78" s="283"/>
      <c r="EB78" s="283"/>
      <c r="EC78" s="283"/>
      <c r="ED78" s="283"/>
      <c r="EE78" s="283"/>
      <c r="EF78" s="283"/>
      <c r="EG78" s="283"/>
      <c r="EH78" s="283"/>
      <c r="EI78" s="283"/>
      <c r="EJ78" s="283"/>
      <c r="EK78" s="283"/>
      <c r="EL78" s="283"/>
      <c r="EM78" s="283"/>
      <c r="EN78" s="283"/>
      <c r="EO78" s="283"/>
      <c r="EP78" s="283"/>
      <c r="EQ78" s="283"/>
      <c r="FK78" s="284"/>
      <c r="FL78" s="284"/>
      <c r="FM78" s="284"/>
      <c r="IJ78" s="279" t="s">
        <v>129</v>
      </c>
      <c r="IK78" s="285">
        <f>SUMIF(IK12:IK71,"*현금*",F12:F71)</f>
        <v>0</v>
      </c>
      <c r="IL78" s="392"/>
      <c r="IM78" s="277">
        <f>F78-IK78</f>
        <v>0</v>
      </c>
      <c r="IN78" s="401"/>
    </row>
    <row r="79" spans="1:249" s="269" customFormat="1" ht="20.100000000000001" customHeight="1" x14ac:dyDescent="0.3">
      <c r="A79" s="389" t="s">
        <v>130</v>
      </c>
      <c r="B79" s="390"/>
      <c r="C79" s="390"/>
      <c r="D79" s="286">
        <f>COUNTIF(D12:D71,A79)</f>
        <v>0</v>
      </c>
      <c r="E79" s="280">
        <f>(SUMIF(D12:D71,A79,E12:E71))/2</f>
        <v>0</v>
      </c>
      <c r="F79" s="281">
        <f>SUMIF(D12:D71,A79,F12:F71)</f>
        <v>0</v>
      </c>
      <c r="G79" s="273"/>
      <c r="H79" s="273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2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275"/>
      <c r="CO79" s="275"/>
      <c r="CP79" s="275"/>
      <c r="CQ79" s="275"/>
      <c r="CR79" s="275"/>
      <c r="CS79" s="275"/>
      <c r="CT79" s="275"/>
      <c r="CU79" s="275"/>
      <c r="CV79" s="275"/>
      <c r="CW79" s="275"/>
      <c r="CX79" s="275"/>
      <c r="CY79" s="275"/>
      <c r="CZ79" s="275"/>
      <c r="DA79" s="275"/>
      <c r="DB79" s="283"/>
      <c r="DC79" s="283"/>
      <c r="DD79" s="283"/>
      <c r="DE79" s="275"/>
      <c r="DF79" s="275"/>
      <c r="DG79" s="275"/>
      <c r="DH79" s="275"/>
      <c r="DI79" s="283"/>
      <c r="DJ79" s="283"/>
      <c r="DK79" s="275"/>
      <c r="DL79" s="275"/>
      <c r="DM79" s="275"/>
      <c r="DN79" s="275"/>
      <c r="DO79" s="283"/>
      <c r="DP79" s="283"/>
      <c r="DQ79" s="283"/>
      <c r="DR79" s="283"/>
      <c r="DS79" s="283"/>
      <c r="DT79" s="283"/>
      <c r="DU79" s="283"/>
      <c r="DV79" s="283"/>
      <c r="DW79" s="283"/>
      <c r="DX79" s="283"/>
      <c r="DY79" s="283"/>
      <c r="DZ79" s="283"/>
      <c r="EA79" s="283"/>
      <c r="EB79" s="283"/>
      <c r="EC79" s="283"/>
      <c r="ED79" s="283"/>
      <c r="EE79" s="283"/>
      <c r="EF79" s="283"/>
      <c r="EG79" s="283"/>
      <c r="EH79" s="283"/>
      <c r="EI79" s="283"/>
      <c r="EJ79" s="283"/>
      <c r="EK79" s="283"/>
      <c r="EL79" s="283"/>
      <c r="EM79" s="283"/>
      <c r="EN79" s="283"/>
      <c r="EO79" s="283"/>
      <c r="EP79" s="283"/>
      <c r="EQ79" s="283"/>
      <c r="FK79" s="284"/>
      <c r="FL79" s="284"/>
      <c r="FM79" s="284"/>
      <c r="IJ79" s="279" t="s">
        <v>130</v>
      </c>
      <c r="IK79" s="285">
        <f>SUMIF(IK12:IK71,"*씨티*",F12:F71)</f>
        <v>0</v>
      </c>
      <c r="IL79" s="392"/>
      <c r="IM79" s="277">
        <f>F79-IK79</f>
        <v>0</v>
      </c>
      <c r="IN79" s="401"/>
    </row>
    <row r="80" spans="1:249" s="269" customFormat="1" ht="20.100000000000001" customHeight="1" x14ac:dyDescent="0.3">
      <c r="A80" s="389" t="s">
        <v>131</v>
      </c>
      <c r="B80" s="390"/>
      <c r="C80" s="390"/>
      <c r="D80" s="286">
        <f>COUNTIF(D12:D71,A80)</f>
        <v>0</v>
      </c>
      <c r="E80" s="280">
        <f>(SUMIF(D12:D71,A80,E12:E71))/2</f>
        <v>0</v>
      </c>
      <c r="F80" s="281">
        <f>SUMIF(D12:D71,A80,F12:F71)</f>
        <v>0</v>
      </c>
      <c r="G80" s="273"/>
      <c r="H80" s="273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2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275"/>
      <c r="CO80" s="275"/>
      <c r="CP80" s="275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  <c r="DA80" s="275"/>
      <c r="DB80" s="283"/>
      <c r="DC80" s="283"/>
      <c r="DD80" s="283"/>
      <c r="DE80" s="275"/>
      <c r="DF80" s="275"/>
      <c r="DG80" s="275"/>
      <c r="DH80" s="275"/>
      <c r="DI80" s="283"/>
      <c r="DJ80" s="283"/>
      <c r="DK80" s="275"/>
      <c r="DL80" s="275"/>
      <c r="DM80" s="275"/>
      <c r="DN80" s="275"/>
      <c r="DO80" s="283"/>
      <c r="DP80" s="283"/>
      <c r="DQ80" s="283"/>
      <c r="DR80" s="283"/>
      <c r="DS80" s="283"/>
      <c r="DT80" s="283"/>
      <c r="DU80" s="283"/>
      <c r="DV80" s="283"/>
      <c r="DW80" s="283"/>
      <c r="DX80" s="283"/>
      <c r="DY80" s="283"/>
      <c r="DZ80" s="283"/>
      <c r="EA80" s="283"/>
      <c r="EB80" s="283"/>
      <c r="EC80" s="283"/>
      <c r="ED80" s="283"/>
      <c r="EE80" s="283"/>
      <c r="EF80" s="283"/>
      <c r="EG80" s="283"/>
      <c r="EH80" s="283"/>
      <c r="EI80" s="283"/>
      <c r="EJ80" s="283"/>
      <c r="EK80" s="283"/>
      <c r="EL80" s="283"/>
      <c r="EM80" s="283"/>
      <c r="EN80" s="283"/>
      <c r="EO80" s="283"/>
      <c r="EP80" s="283"/>
      <c r="EQ80" s="283"/>
      <c r="FK80" s="284"/>
      <c r="FL80" s="284"/>
      <c r="FM80" s="284"/>
      <c r="IJ80" s="279" t="s">
        <v>131</v>
      </c>
      <c r="IK80" s="285">
        <f>SUMIF(IK12:IK71,"*달러*",F12:F71)</f>
        <v>0</v>
      </c>
      <c r="IL80" s="393"/>
      <c r="IM80" s="277">
        <f>F80-IK80</f>
        <v>0</v>
      </c>
      <c r="IN80" s="402"/>
    </row>
    <row r="81" spans="1:386" s="269" customFormat="1" ht="20.100000000000001" customHeight="1" thickBot="1" x14ac:dyDescent="0.35">
      <c r="A81" s="403" t="s">
        <v>132</v>
      </c>
      <c r="B81" s="404"/>
      <c r="C81" s="404"/>
      <c r="D81" s="287">
        <f>COUNTIF(D12:D71,A81)</f>
        <v>0</v>
      </c>
      <c r="E81" s="288">
        <f>(SUMIF(D12:D71,A81,E12:E71))/2</f>
        <v>0</v>
      </c>
      <c r="F81" s="289">
        <f>SUMIF(D12:D71,A81,F12:F71)</f>
        <v>0</v>
      </c>
      <c r="G81" s="273"/>
      <c r="H81" s="273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2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275"/>
      <c r="CO81" s="275"/>
      <c r="CP81" s="275"/>
      <c r="CQ81" s="275"/>
      <c r="CR81" s="275"/>
      <c r="CS81" s="275"/>
      <c r="CT81" s="275"/>
      <c r="CU81" s="275"/>
      <c r="CV81" s="275"/>
      <c r="CW81" s="275"/>
      <c r="CX81" s="275"/>
      <c r="CY81" s="275"/>
      <c r="CZ81" s="275"/>
      <c r="DA81" s="275"/>
      <c r="DB81" s="283"/>
      <c r="DC81" s="283"/>
      <c r="DD81" s="283"/>
      <c r="DE81" s="275"/>
      <c r="DF81" s="275"/>
      <c r="DG81" s="275"/>
      <c r="DH81" s="275"/>
      <c r="DI81" s="283"/>
      <c r="DJ81" s="283"/>
      <c r="DK81" s="275"/>
      <c r="DL81" s="275"/>
      <c r="DM81" s="275"/>
      <c r="DN81" s="275"/>
      <c r="DO81" s="283"/>
      <c r="DP81" s="283"/>
      <c r="DQ81" s="283"/>
      <c r="DR81" s="283"/>
      <c r="DS81" s="283"/>
      <c r="DT81" s="283"/>
      <c r="DU81" s="283"/>
      <c r="DV81" s="283"/>
      <c r="DW81" s="283"/>
      <c r="DX81" s="283"/>
      <c r="DY81" s="283"/>
      <c r="DZ81" s="283"/>
      <c r="EA81" s="283"/>
      <c r="EB81" s="283"/>
      <c r="EC81" s="283"/>
      <c r="ED81" s="283"/>
      <c r="EE81" s="283"/>
      <c r="EF81" s="283"/>
      <c r="EG81" s="283"/>
      <c r="EH81" s="283"/>
      <c r="EI81" s="283"/>
      <c r="EJ81" s="283"/>
      <c r="EK81" s="283"/>
      <c r="EL81" s="283"/>
      <c r="EM81" s="283"/>
      <c r="EN81" s="283"/>
      <c r="EO81" s="283"/>
      <c r="EP81" s="283"/>
      <c r="EQ81" s="283"/>
      <c r="FK81" s="284"/>
      <c r="FL81" s="284"/>
      <c r="FM81" s="284"/>
      <c r="IJ81" s="290" t="s">
        <v>132</v>
      </c>
      <c r="IK81" s="291"/>
      <c r="IL81" s="291"/>
      <c r="IM81" s="292"/>
      <c r="IN81" s="293"/>
    </row>
    <row r="82" spans="1:386" s="269" customFormat="1" ht="20.100000000000001" customHeight="1" x14ac:dyDescent="0.3">
      <c r="A82" s="405" t="s">
        <v>133</v>
      </c>
      <c r="B82" s="406"/>
      <c r="C82" s="406"/>
      <c r="D82" s="294">
        <f>SUM(D76:D81)</f>
        <v>0</v>
      </c>
      <c r="E82" s="294">
        <f>SUM(E76:E81)</f>
        <v>0</v>
      </c>
      <c r="F82" s="295">
        <f>(SUM(F76:F81))-F80</f>
        <v>0</v>
      </c>
      <c r="G82" s="296"/>
      <c r="H82" s="296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2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275"/>
      <c r="CO82" s="275"/>
      <c r="CP82" s="275"/>
      <c r="CQ82" s="275"/>
      <c r="CR82" s="275"/>
      <c r="CS82" s="275"/>
      <c r="CT82" s="275"/>
      <c r="CU82" s="275"/>
      <c r="CV82" s="275"/>
      <c r="CW82" s="275"/>
      <c r="CX82" s="275"/>
      <c r="CY82" s="275"/>
      <c r="CZ82" s="275"/>
      <c r="DA82" s="275"/>
      <c r="DB82" s="283"/>
      <c r="DC82" s="283"/>
      <c r="DD82" s="283"/>
      <c r="DE82" s="275"/>
      <c r="DF82" s="275"/>
      <c r="DG82" s="275"/>
      <c r="DH82" s="275"/>
      <c r="DI82" s="283"/>
      <c r="DJ82" s="283"/>
      <c r="DK82" s="275"/>
      <c r="DL82" s="275"/>
      <c r="DM82" s="275"/>
      <c r="DN82" s="275"/>
      <c r="DO82" s="283"/>
      <c r="DP82" s="283"/>
      <c r="DQ82" s="283"/>
      <c r="DR82" s="283"/>
      <c r="DS82" s="283"/>
      <c r="DT82" s="283"/>
      <c r="DU82" s="283"/>
      <c r="DV82" s="283"/>
      <c r="DW82" s="283"/>
      <c r="DX82" s="283"/>
      <c r="DY82" s="283"/>
      <c r="DZ82" s="283"/>
      <c r="EA82" s="283"/>
      <c r="EB82" s="283"/>
      <c r="EC82" s="283"/>
      <c r="ED82" s="283"/>
      <c r="EE82" s="283"/>
      <c r="EF82" s="283"/>
      <c r="EG82" s="283"/>
      <c r="EH82" s="283"/>
      <c r="EI82" s="283"/>
      <c r="EJ82" s="283"/>
      <c r="EK82" s="283"/>
      <c r="EL82" s="283"/>
      <c r="EM82" s="283"/>
      <c r="EN82" s="283"/>
      <c r="EO82" s="283"/>
      <c r="EP82" s="283"/>
      <c r="EQ82" s="283"/>
      <c r="FK82" s="284"/>
      <c r="FL82" s="284"/>
      <c r="FM82" s="284"/>
      <c r="IJ82" s="297" t="s">
        <v>134</v>
      </c>
      <c r="IK82" s="298">
        <f>SUM(IK76:IK81)</f>
        <v>0</v>
      </c>
      <c r="IL82" s="298">
        <f>SUM(IL76:IL81)</f>
        <v>0</v>
      </c>
      <c r="IM82" s="407" t="s">
        <v>135</v>
      </c>
      <c r="IN82" s="408"/>
    </row>
    <row r="83" spans="1:386" s="269" customFormat="1" ht="20.100000000000001" customHeight="1" thickBot="1" x14ac:dyDescent="0.35">
      <c r="A83" s="394" t="s">
        <v>136</v>
      </c>
      <c r="B83" s="395"/>
      <c r="C83" s="395"/>
      <c r="D83" s="395"/>
      <c r="E83" s="395"/>
      <c r="F83" s="396"/>
      <c r="G83" s="299"/>
      <c r="H83" s="299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2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275"/>
      <c r="CO83" s="275"/>
      <c r="CP83" s="275"/>
      <c r="CQ83" s="275"/>
      <c r="CR83" s="275"/>
      <c r="CS83" s="275"/>
      <c r="CT83" s="275"/>
      <c r="CU83" s="275"/>
      <c r="CV83" s="275"/>
      <c r="CW83" s="275"/>
      <c r="CX83" s="275"/>
      <c r="CY83" s="275"/>
      <c r="CZ83" s="275"/>
      <c r="DA83" s="275"/>
      <c r="DB83" s="283"/>
      <c r="DC83" s="283"/>
      <c r="DD83" s="283"/>
      <c r="DE83" s="275"/>
      <c r="DF83" s="275"/>
      <c r="DG83" s="275"/>
      <c r="DH83" s="275"/>
      <c r="DI83" s="283"/>
      <c r="DJ83" s="283"/>
      <c r="DK83" s="275"/>
      <c r="DL83" s="275"/>
      <c r="DM83" s="275"/>
      <c r="DN83" s="275"/>
      <c r="DO83" s="283"/>
      <c r="DP83" s="283"/>
      <c r="DQ83" s="283"/>
      <c r="DR83" s="283"/>
      <c r="DS83" s="283"/>
      <c r="DT83" s="283"/>
      <c r="DU83" s="283"/>
      <c r="DV83" s="283"/>
      <c r="DW83" s="283"/>
      <c r="DX83" s="283"/>
      <c r="DY83" s="283"/>
      <c r="DZ83" s="283"/>
      <c r="EA83" s="283"/>
      <c r="EB83" s="283"/>
      <c r="EC83" s="283"/>
      <c r="ED83" s="283"/>
      <c r="EE83" s="283"/>
      <c r="EF83" s="283"/>
      <c r="EG83" s="283"/>
      <c r="EH83" s="283"/>
      <c r="EI83" s="283"/>
      <c r="EJ83" s="283"/>
      <c r="EK83" s="283"/>
      <c r="EL83" s="283"/>
      <c r="EM83" s="283"/>
      <c r="EN83" s="283"/>
      <c r="EO83" s="283"/>
      <c r="EP83" s="283"/>
      <c r="EQ83" s="283"/>
      <c r="FK83" s="284"/>
      <c r="FL83" s="284"/>
      <c r="FM83" s="284"/>
      <c r="IJ83" s="300" t="s">
        <v>137</v>
      </c>
      <c r="IK83" s="301">
        <f>D82-(COUNTA(IK12:IK71))</f>
        <v>0</v>
      </c>
      <c r="IL83" s="301">
        <f>D76-(COUNTIF(IL12:IL71,"*세금*"))</f>
        <v>0</v>
      </c>
      <c r="IM83" s="302">
        <f>SUM(IM76:IM81)</f>
        <v>0</v>
      </c>
      <c r="IN83" s="303">
        <f>SUM(IN76:IN81)</f>
        <v>0</v>
      </c>
    </row>
    <row r="84" spans="1:386" s="19" customFormat="1" ht="20.100000000000001" customHeight="1" x14ac:dyDescent="0.35">
      <c r="A84" s="1"/>
      <c r="B84" s="2"/>
      <c r="C84" s="3"/>
      <c r="D84" s="2"/>
      <c r="E84" s="2"/>
      <c r="F84" s="4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9"/>
      <c r="FL84" s="9"/>
      <c r="FM84" s="9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135"/>
      <c r="IK84" s="135"/>
      <c r="IL84" s="135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</row>
    <row r="85" spans="1:386" s="19" customFormat="1" ht="20.100000000000001" customHeight="1" x14ac:dyDescent="0.35">
      <c r="A85" s="1"/>
      <c r="B85" s="2"/>
      <c r="C85" s="3"/>
      <c r="D85" s="2"/>
      <c r="E85" s="2"/>
      <c r="F85" s="4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9"/>
      <c r="FL85" s="9"/>
      <c r="FM85" s="9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135"/>
      <c r="IK85" s="135"/>
      <c r="IL85" s="135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</row>
    <row r="86" spans="1:386" s="19" customFormat="1" ht="20.100000000000001" customHeight="1" x14ac:dyDescent="0.35">
      <c r="A86" s="1"/>
      <c r="B86" s="2"/>
      <c r="C86" s="3"/>
      <c r="D86" s="2"/>
      <c r="E86" s="2"/>
      <c r="F86" s="4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9"/>
      <c r="FL86" s="9"/>
      <c r="FM86" s="9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135"/>
      <c r="IK86" s="135"/>
      <c r="IL86" s="135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</row>
    <row r="87" spans="1:386" s="19" customFormat="1" ht="20.100000000000001" customHeight="1" x14ac:dyDescent="0.35">
      <c r="A87" s="1"/>
      <c r="B87" s="2"/>
      <c r="C87" s="3"/>
      <c r="D87" s="2"/>
      <c r="E87" s="2"/>
      <c r="F87" s="4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9"/>
      <c r="FL87" s="9"/>
      <c r="FM87" s="9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135"/>
      <c r="IK87" s="135"/>
      <c r="IL87" s="135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</row>
    <row r="88" spans="1:386" s="19" customFormat="1" ht="20.100000000000001" customHeight="1" x14ac:dyDescent="0.35">
      <c r="A88" s="1"/>
      <c r="B88" s="2"/>
      <c r="C88" s="3"/>
      <c r="D88" s="2"/>
      <c r="E88" s="2"/>
      <c r="F88" s="4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9"/>
      <c r="FL88" s="9"/>
      <c r="FM88" s="9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135"/>
      <c r="IK88" s="135"/>
      <c r="IL88" s="135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</row>
    <row r="89" spans="1:386" s="19" customFormat="1" ht="20.100000000000001" customHeight="1" x14ac:dyDescent="0.35">
      <c r="A89" s="1"/>
      <c r="B89" s="2"/>
      <c r="C89" s="3"/>
      <c r="D89" s="2"/>
      <c r="E89" s="2"/>
      <c r="F89" s="4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9"/>
      <c r="FL89" s="9"/>
      <c r="FM89" s="9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135"/>
      <c r="IK89" s="135"/>
      <c r="IL89" s="135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/>
      <c r="NV89" s="6"/>
    </row>
    <row r="90" spans="1:386" s="19" customFormat="1" ht="20.100000000000001" customHeight="1" x14ac:dyDescent="0.35">
      <c r="A90" s="1"/>
      <c r="B90" s="2"/>
      <c r="C90" s="3"/>
      <c r="D90" s="2"/>
      <c r="E90" s="2"/>
      <c r="F90" s="4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9"/>
      <c r="FL90" s="9"/>
      <c r="FM90" s="9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135"/>
      <c r="IK90" s="135"/>
      <c r="IL90" s="135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</row>
    <row r="91" spans="1:386" s="19" customFormat="1" ht="20.100000000000001" customHeight="1" x14ac:dyDescent="0.35">
      <c r="A91" s="1"/>
      <c r="B91" s="2"/>
      <c r="C91" s="3"/>
      <c r="D91" s="2"/>
      <c r="E91" s="2"/>
      <c r="F91" s="4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9"/>
      <c r="FL91" s="9"/>
      <c r="FM91" s="9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397"/>
      <c r="IK91" s="135"/>
      <c r="IL91" s="135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</row>
    <row r="92" spans="1:386" s="19" customFormat="1" ht="20.100000000000001" customHeight="1" x14ac:dyDescent="0.35">
      <c r="A92" s="1"/>
      <c r="B92" s="2"/>
      <c r="C92" s="398"/>
      <c r="D92" s="2"/>
      <c r="E92" s="2"/>
      <c r="F92" s="4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9"/>
      <c r="FL92" s="9"/>
      <c r="FM92" s="9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397"/>
      <c r="IK92" s="135"/>
      <c r="IL92" s="135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</row>
    <row r="93" spans="1:386" s="19" customFormat="1" ht="20.100000000000001" customHeight="1" x14ac:dyDescent="0.35">
      <c r="A93" s="1"/>
      <c r="B93" s="2"/>
      <c r="C93" s="399"/>
      <c r="D93" s="2"/>
      <c r="E93" s="2"/>
      <c r="F93" s="4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9"/>
      <c r="FL93" s="9"/>
      <c r="FM93" s="9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135"/>
      <c r="IK93" s="135"/>
      <c r="IL93" s="135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</row>
    <row r="94" spans="1:386" s="19" customFormat="1" ht="20.100000000000001" customHeight="1" x14ac:dyDescent="0.35">
      <c r="A94" s="1"/>
      <c r="B94" s="2"/>
      <c r="C94" s="3"/>
      <c r="D94" s="2"/>
      <c r="E94" s="2"/>
      <c r="F94" s="4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9"/>
      <c r="FL94" s="9"/>
      <c r="FM94" s="9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135"/>
      <c r="IK94" s="135"/>
      <c r="IL94" s="135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  <c r="NP94" s="6"/>
      <c r="NQ94" s="6"/>
      <c r="NR94" s="6"/>
      <c r="NS94" s="6"/>
      <c r="NT94" s="6"/>
      <c r="NU94" s="6"/>
      <c r="NV94" s="6"/>
    </row>
    <row r="95" spans="1:386" s="19" customFormat="1" ht="20.100000000000001" customHeight="1" x14ac:dyDescent="0.35">
      <c r="A95" s="1"/>
      <c r="B95" s="2"/>
      <c r="C95" s="3"/>
      <c r="D95" s="2"/>
      <c r="E95" s="2"/>
      <c r="F95" s="4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9"/>
      <c r="FL95" s="9"/>
      <c r="FM95" s="9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135"/>
      <c r="IK95" s="135"/>
      <c r="IL95" s="135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</row>
    <row r="96" spans="1:386" s="19" customFormat="1" ht="20.100000000000001" customHeight="1" x14ac:dyDescent="0.35">
      <c r="A96" s="1"/>
      <c r="B96" s="2"/>
      <c r="C96" s="3"/>
      <c r="D96" s="2"/>
      <c r="E96" s="2"/>
      <c r="F96" s="4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9"/>
      <c r="FL96" s="9"/>
      <c r="FM96" s="9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135"/>
      <c r="IK96" s="135"/>
      <c r="IL96" s="135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  <c r="NP96" s="6"/>
      <c r="NQ96" s="6"/>
      <c r="NR96" s="6"/>
      <c r="NS96" s="6"/>
      <c r="NT96" s="6"/>
      <c r="NU96" s="6"/>
      <c r="NV96" s="6"/>
    </row>
    <row r="97" spans="1:386" s="19" customFormat="1" ht="20.100000000000001" customHeight="1" x14ac:dyDescent="0.35">
      <c r="A97" s="1"/>
      <c r="B97" s="2"/>
      <c r="C97" s="3"/>
      <c r="D97" s="2"/>
      <c r="E97" s="2"/>
      <c r="F97" s="4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9"/>
      <c r="FL97" s="9"/>
      <c r="FM97" s="9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135"/>
      <c r="IK97" s="135"/>
      <c r="IL97" s="135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/>
      <c r="NV97" s="6"/>
    </row>
    <row r="98" spans="1:386" s="19" customFormat="1" ht="20.100000000000001" customHeight="1" x14ac:dyDescent="0.35">
      <c r="A98" s="1"/>
      <c r="B98" s="2"/>
      <c r="C98" s="3"/>
      <c r="D98" s="2"/>
      <c r="E98" s="2"/>
      <c r="F98" s="4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9"/>
      <c r="FL98" s="9"/>
      <c r="FM98" s="9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135"/>
      <c r="IK98" s="135"/>
      <c r="IL98" s="135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</row>
    <row r="99" spans="1:386" s="19" customFormat="1" ht="20.100000000000001" customHeight="1" x14ac:dyDescent="0.35">
      <c r="A99" s="1"/>
      <c r="B99" s="2"/>
      <c r="C99" s="3"/>
      <c r="D99" s="2"/>
      <c r="E99" s="2"/>
      <c r="F99" s="4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9"/>
      <c r="FL99" s="9"/>
      <c r="FM99" s="9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135"/>
      <c r="IK99" s="135"/>
      <c r="IL99" s="135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</row>
    <row r="100" spans="1:386" s="19" customFormat="1" ht="20.100000000000001" customHeight="1" x14ac:dyDescent="0.35">
      <c r="A100" s="1"/>
      <c r="B100" s="2"/>
      <c r="C100" s="3"/>
      <c r="D100" s="2"/>
      <c r="E100" s="2"/>
      <c r="F100" s="4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9"/>
      <c r="FL100" s="9"/>
      <c r="FM100" s="9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135"/>
      <c r="IK100" s="135"/>
      <c r="IL100" s="135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</row>
    <row r="101" spans="1:386" s="19" customFormat="1" ht="20.100000000000001" customHeight="1" x14ac:dyDescent="0.35">
      <c r="A101" s="1"/>
      <c r="B101" s="2"/>
      <c r="C101" s="3"/>
      <c r="D101" s="2"/>
      <c r="E101" s="2"/>
      <c r="F101" s="4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9"/>
      <c r="FL101" s="9"/>
      <c r="FM101" s="9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135"/>
      <c r="IK101" s="135"/>
      <c r="IL101" s="135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</row>
    <row r="102" spans="1:386" s="19" customFormat="1" ht="20.100000000000001" customHeight="1" x14ac:dyDescent="0.35">
      <c r="A102" s="1"/>
      <c r="B102" s="2"/>
      <c r="C102" s="3"/>
      <c r="D102" s="2"/>
      <c r="E102" s="2"/>
      <c r="F102" s="4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9"/>
      <c r="FL102" s="9"/>
      <c r="FM102" s="9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135"/>
      <c r="IK102" s="135"/>
      <c r="IL102" s="135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  <c r="NP102" s="6"/>
      <c r="NQ102" s="6"/>
      <c r="NR102" s="6"/>
      <c r="NS102" s="6"/>
      <c r="NT102" s="6"/>
      <c r="NU102" s="6"/>
      <c r="NV102" s="6"/>
    </row>
    <row r="103" spans="1:386" s="19" customFormat="1" ht="20.100000000000001" customHeight="1" x14ac:dyDescent="0.35">
      <c r="A103" s="1"/>
      <c r="B103" s="2"/>
      <c r="C103" s="3"/>
      <c r="D103" s="2"/>
      <c r="E103" s="2"/>
      <c r="F103" s="4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9"/>
      <c r="FL103" s="9"/>
      <c r="FM103" s="9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135"/>
      <c r="IK103" s="135"/>
      <c r="IL103" s="135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</row>
    <row r="104" spans="1:386" s="19" customFormat="1" ht="20.100000000000001" customHeight="1" x14ac:dyDescent="0.35">
      <c r="A104" s="1"/>
      <c r="B104" s="2"/>
      <c r="C104" s="3"/>
      <c r="D104" s="2"/>
      <c r="E104" s="2"/>
      <c r="F104" s="4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9"/>
      <c r="FL104" s="9"/>
      <c r="FM104" s="9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135"/>
      <c r="IK104" s="135"/>
      <c r="IL104" s="135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</row>
    <row r="105" spans="1:386" s="19" customFormat="1" ht="20.100000000000001" customHeight="1" x14ac:dyDescent="0.35">
      <c r="A105" s="1"/>
      <c r="B105" s="2"/>
      <c r="C105" s="3"/>
      <c r="D105" s="2"/>
      <c r="E105" s="2"/>
      <c r="F105" s="4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9"/>
      <c r="FL105" s="9"/>
      <c r="FM105" s="9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135"/>
      <c r="IK105" s="135"/>
      <c r="IL105" s="135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</row>
    <row r="106" spans="1:386" s="19" customFormat="1" ht="20.100000000000001" customHeight="1" x14ac:dyDescent="0.35">
      <c r="A106" s="1"/>
      <c r="B106" s="2"/>
      <c r="C106" s="3"/>
      <c r="D106" s="2"/>
      <c r="E106" s="2"/>
      <c r="F106" s="4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9"/>
      <c r="FL106" s="9"/>
      <c r="FM106" s="9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135"/>
      <c r="IK106" s="135"/>
      <c r="IL106" s="135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</row>
    <row r="107" spans="1:386" s="19" customFormat="1" ht="20.100000000000001" customHeight="1" x14ac:dyDescent="0.35">
      <c r="A107" s="1"/>
      <c r="B107" s="2"/>
      <c r="C107" s="3"/>
      <c r="D107" s="2"/>
      <c r="E107" s="2"/>
      <c r="F107" s="4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9"/>
      <c r="FL107" s="9"/>
      <c r="FM107" s="9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135"/>
      <c r="IK107" s="135"/>
      <c r="IL107" s="135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</row>
    <row r="108" spans="1:386" s="19" customFormat="1" ht="20.100000000000001" customHeight="1" x14ac:dyDescent="0.35">
      <c r="A108" s="1"/>
      <c r="B108" s="2"/>
      <c r="C108" s="3"/>
      <c r="D108" s="2"/>
      <c r="E108" s="2"/>
      <c r="F108" s="4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9"/>
      <c r="FL108" s="9"/>
      <c r="FM108" s="9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135"/>
      <c r="IK108" s="135"/>
      <c r="IL108" s="135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</row>
    <row r="109" spans="1:386" s="19" customFormat="1" ht="20.100000000000001" customHeight="1" x14ac:dyDescent="0.35">
      <c r="A109" s="1"/>
      <c r="B109" s="2"/>
      <c r="C109" s="3"/>
      <c r="D109" s="2"/>
      <c r="E109" s="2"/>
      <c r="F109" s="4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9"/>
      <c r="FL109" s="9"/>
      <c r="FM109" s="9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135"/>
      <c r="IK109" s="135"/>
      <c r="IL109" s="135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</row>
    <row r="110" spans="1:386" s="19" customFormat="1" ht="20.100000000000001" customHeight="1" x14ac:dyDescent="0.35">
      <c r="A110" s="1"/>
      <c r="B110" s="2"/>
      <c r="C110" s="3"/>
      <c r="D110" s="2"/>
      <c r="E110" s="2"/>
      <c r="F110" s="4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9"/>
      <c r="FL110" s="9"/>
      <c r="FM110" s="9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135"/>
      <c r="IK110" s="135"/>
      <c r="IL110" s="135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6"/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</row>
    <row r="111" spans="1:386" s="19" customFormat="1" ht="20.100000000000001" customHeight="1" x14ac:dyDescent="0.35">
      <c r="A111" s="1"/>
      <c r="B111" s="2"/>
      <c r="C111" s="3"/>
      <c r="D111" s="2"/>
      <c r="E111" s="2"/>
      <c r="F111" s="4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9"/>
      <c r="FL111" s="9"/>
      <c r="FM111" s="9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135"/>
      <c r="IK111" s="135"/>
      <c r="IL111" s="135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</row>
    <row r="112" spans="1:386" s="19" customFormat="1" ht="20.100000000000001" customHeight="1" x14ac:dyDescent="0.35">
      <c r="A112" s="1"/>
      <c r="B112" s="2"/>
      <c r="C112" s="3"/>
      <c r="D112" s="2"/>
      <c r="E112" s="2"/>
      <c r="F112" s="4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9"/>
      <c r="FL112" s="9"/>
      <c r="FM112" s="9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135"/>
      <c r="IK112" s="135"/>
      <c r="IL112" s="135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</row>
    <row r="113" spans="1:386" s="19" customFormat="1" ht="20.100000000000001" customHeight="1" x14ac:dyDescent="0.35">
      <c r="A113" s="1"/>
      <c r="B113" s="2"/>
      <c r="C113" s="3"/>
      <c r="D113" s="2"/>
      <c r="E113" s="2"/>
      <c r="F113" s="4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9"/>
      <c r="FL113" s="9"/>
      <c r="FM113" s="9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135"/>
      <c r="IK113" s="135"/>
      <c r="IL113" s="135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</row>
    <row r="114" spans="1:386" s="19" customFormat="1" ht="20.100000000000001" customHeight="1" x14ac:dyDescent="0.35">
      <c r="A114" s="1"/>
      <c r="B114" s="2"/>
      <c r="C114" s="3"/>
      <c r="D114" s="2"/>
      <c r="E114" s="2"/>
      <c r="F114" s="4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9"/>
      <c r="FL114" s="9"/>
      <c r="FM114" s="9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135"/>
      <c r="IK114" s="135"/>
      <c r="IL114" s="135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</row>
    <row r="115" spans="1:386" s="19" customFormat="1" ht="20.100000000000001" customHeight="1" x14ac:dyDescent="0.35">
      <c r="A115" s="1"/>
      <c r="B115" s="2"/>
      <c r="C115" s="3"/>
      <c r="D115" s="2"/>
      <c r="E115" s="2"/>
      <c r="F115" s="4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9"/>
      <c r="FL115" s="9"/>
      <c r="FM115" s="9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135"/>
      <c r="IK115" s="135"/>
      <c r="IL115" s="135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</row>
    <row r="116" spans="1:386" s="19" customFormat="1" ht="20.100000000000001" customHeight="1" x14ac:dyDescent="0.35">
      <c r="A116" s="1"/>
      <c r="B116" s="2"/>
      <c r="C116" s="3"/>
      <c r="D116" s="2"/>
      <c r="E116" s="2"/>
      <c r="F116" s="4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9"/>
      <c r="FL116" s="9"/>
      <c r="FM116" s="9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135"/>
      <c r="IK116" s="135"/>
      <c r="IL116" s="135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</row>
    <row r="117" spans="1:386" s="19" customFormat="1" ht="20.100000000000001" customHeight="1" x14ac:dyDescent="0.35">
      <c r="A117" s="1"/>
      <c r="B117" s="2"/>
      <c r="C117" s="3"/>
      <c r="D117" s="2"/>
      <c r="E117" s="2"/>
      <c r="F117" s="4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9"/>
      <c r="FL117" s="9"/>
      <c r="FM117" s="9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135"/>
      <c r="IK117" s="135"/>
      <c r="IL117" s="135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</row>
    <row r="118" spans="1:386" s="19" customFormat="1" ht="20.100000000000001" customHeight="1" x14ac:dyDescent="0.35">
      <c r="A118" s="1"/>
      <c r="B118" s="2"/>
      <c r="C118" s="3"/>
      <c r="D118" s="2"/>
      <c r="E118" s="2"/>
      <c r="F118" s="4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9"/>
      <c r="FL118" s="9"/>
      <c r="FM118" s="9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135"/>
      <c r="IK118" s="135"/>
      <c r="IL118" s="135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</row>
    <row r="119" spans="1:386" s="19" customFormat="1" ht="20.100000000000001" customHeight="1" x14ac:dyDescent="0.35">
      <c r="A119" s="1"/>
      <c r="B119" s="2"/>
      <c r="C119" s="3"/>
      <c r="D119" s="2"/>
      <c r="E119" s="2"/>
      <c r="F119" s="4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9"/>
      <c r="FL119" s="9"/>
      <c r="FM119" s="9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135"/>
      <c r="IK119" s="135"/>
      <c r="IL119" s="135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</row>
    <row r="120" spans="1:386" s="19" customFormat="1" ht="20.100000000000001" customHeight="1" x14ac:dyDescent="0.35">
      <c r="A120" s="1"/>
      <c r="B120" s="2"/>
      <c r="C120" s="3"/>
      <c r="D120" s="2"/>
      <c r="E120" s="2"/>
      <c r="F120" s="4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9"/>
      <c r="FL120" s="9"/>
      <c r="FM120" s="9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135"/>
      <c r="IK120" s="135"/>
      <c r="IL120" s="135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</row>
    <row r="121" spans="1:386" s="19" customFormat="1" ht="20.100000000000001" customHeight="1" x14ac:dyDescent="0.35">
      <c r="A121" s="1"/>
      <c r="B121" s="2"/>
      <c r="C121" s="3"/>
      <c r="D121" s="2"/>
      <c r="E121" s="2"/>
      <c r="F121" s="4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9"/>
      <c r="FL121" s="9"/>
      <c r="FM121" s="9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135"/>
      <c r="IK121" s="135"/>
      <c r="IL121" s="135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</row>
    <row r="122" spans="1:386" s="19" customFormat="1" ht="20.100000000000001" customHeight="1" x14ac:dyDescent="0.35">
      <c r="A122" s="1"/>
      <c r="B122" s="2"/>
      <c r="C122" s="3"/>
      <c r="D122" s="2"/>
      <c r="E122" s="2"/>
      <c r="F122" s="4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9"/>
      <c r="FL122" s="9"/>
      <c r="FM122" s="9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135"/>
      <c r="IK122" s="135"/>
      <c r="IL122" s="135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</row>
    <row r="123" spans="1:386" s="19" customFormat="1" ht="20.100000000000001" customHeight="1" x14ac:dyDescent="0.35">
      <c r="A123" s="1"/>
      <c r="B123" s="2"/>
      <c r="C123" s="3"/>
      <c r="D123" s="2"/>
      <c r="E123" s="2"/>
      <c r="F123" s="4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9"/>
      <c r="FL123" s="9"/>
      <c r="FM123" s="9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135"/>
      <c r="IK123" s="135"/>
      <c r="IL123" s="135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6"/>
      <c r="NK123" s="6"/>
      <c r="NL123" s="6"/>
      <c r="NM123" s="6"/>
      <c r="NN123" s="6"/>
      <c r="NO123" s="6"/>
      <c r="NP123" s="6"/>
      <c r="NQ123" s="6"/>
      <c r="NR123" s="6"/>
      <c r="NS123" s="6"/>
      <c r="NT123" s="6"/>
      <c r="NU123" s="6"/>
      <c r="NV123" s="6"/>
    </row>
    <row r="124" spans="1:386" s="19" customFormat="1" ht="20.100000000000001" customHeight="1" x14ac:dyDescent="0.35">
      <c r="A124" s="1"/>
      <c r="B124" s="2"/>
      <c r="C124" s="3"/>
      <c r="D124" s="2"/>
      <c r="E124" s="2"/>
      <c r="F124" s="4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9"/>
      <c r="FL124" s="9"/>
      <c r="FM124" s="9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135"/>
      <c r="IK124" s="135"/>
      <c r="IL124" s="135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</row>
    <row r="125" spans="1:386" s="19" customFormat="1" ht="20.100000000000001" customHeight="1" x14ac:dyDescent="0.35">
      <c r="A125" s="1"/>
      <c r="B125" s="2"/>
      <c r="C125" s="3"/>
      <c r="D125" s="2"/>
      <c r="E125" s="2"/>
      <c r="F125" s="4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9"/>
      <c r="FL125" s="9"/>
      <c r="FM125" s="9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135"/>
      <c r="IK125" s="135"/>
      <c r="IL125" s="135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</row>
    <row r="126" spans="1:386" s="19" customFormat="1" ht="20.100000000000001" customHeight="1" x14ac:dyDescent="0.35">
      <c r="A126" s="1"/>
      <c r="B126" s="2"/>
      <c r="C126" s="3"/>
      <c r="D126" s="2"/>
      <c r="E126" s="2"/>
      <c r="F126" s="4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9"/>
      <c r="FL126" s="9"/>
      <c r="FM126" s="9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135"/>
      <c r="IK126" s="135"/>
      <c r="IL126" s="135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</row>
    <row r="127" spans="1:386" s="19" customFormat="1" ht="20.100000000000001" customHeight="1" x14ac:dyDescent="0.35">
      <c r="A127" s="1"/>
      <c r="B127" s="2"/>
      <c r="C127" s="3"/>
      <c r="D127" s="2"/>
      <c r="E127" s="2"/>
      <c r="F127" s="4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9"/>
      <c r="FL127" s="9"/>
      <c r="FM127" s="9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135"/>
      <c r="IK127" s="135"/>
      <c r="IL127" s="135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</row>
    <row r="128" spans="1:386" s="19" customFormat="1" ht="20.100000000000001" customHeight="1" x14ac:dyDescent="0.35">
      <c r="A128" s="1"/>
      <c r="B128" s="2"/>
      <c r="C128" s="3"/>
      <c r="D128" s="2"/>
      <c r="E128" s="2"/>
      <c r="F128" s="4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9"/>
      <c r="FL128" s="9"/>
      <c r="FM128" s="9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135"/>
      <c r="IK128" s="135"/>
      <c r="IL128" s="135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</row>
    <row r="129" spans="1:386" s="19" customFormat="1" ht="20.100000000000001" customHeight="1" x14ac:dyDescent="0.35">
      <c r="A129" s="1"/>
      <c r="B129" s="2"/>
      <c r="C129" s="3"/>
      <c r="D129" s="2"/>
      <c r="E129" s="2"/>
      <c r="F129" s="4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9"/>
      <c r="FL129" s="9"/>
      <c r="FM129" s="9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135"/>
      <c r="IK129" s="135"/>
      <c r="IL129" s="135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</row>
    <row r="130" spans="1:386" s="19" customFormat="1" ht="20.100000000000001" customHeight="1" x14ac:dyDescent="0.35">
      <c r="A130" s="1"/>
      <c r="B130" s="2"/>
      <c r="C130" s="3"/>
      <c r="D130" s="2"/>
      <c r="E130" s="2"/>
      <c r="F130" s="4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9"/>
      <c r="FL130" s="9"/>
      <c r="FM130" s="9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135"/>
      <c r="IK130" s="135"/>
      <c r="IL130" s="135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</row>
    <row r="131" spans="1:386" s="19" customFormat="1" ht="20.100000000000001" customHeight="1" x14ac:dyDescent="0.35">
      <c r="A131" s="1"/>
      <c r="B131" s="2"/>
      <c r="C131" s="3"/>
      <c r="D131" s="2"/>
      <c r="E131" s="2"/>
      <c r="F131" s="4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9"/>
      <c r="FL131" s="9"/>
      <c r="FM131" s="9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135"/>
      <c r="IK131" s="135"/>
      <c r="IL131" s="135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</row>
    <row r="132" spans="1:386" s="19" customFormat="1" ht="20.100000000000001" customHeight="1" x14ac:dyDescent="0.35">
      <c r="A132" s="1"/>
      <c r="B132" s="2"/>
      <c r="C132" s="3"/>
      <c r="D132" s="2"/>
      <c r="E132" s="2"/>
      <c r="F132" s="4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9"/>
      <c r="FL132" s="9"/>
      <c r="FM132" s="9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135"/>
      <c r="IK132" s="135"/>
      <c r="IL132" s="135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</row>
    <row r="133" spans="1:386" s="19" customFormat="1" ht="20.100000000000001" customHeight="1" x14ac:dyDescent="0.35">
      <c r="A133" s="1"/>
      <c r="B133" s="2"/>
      <c r="C133" s="3"/>
      <c r="D133" s="2"/>
      <c r="E133" s="2"/>
      <c r="F133" s="4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9"/>
      <c r="FL133" s="9"/>
      <c r="FM133" s="9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135"/>
      <c r="IK133" s="135"/>
      <c r="IL133" s="135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</row>
    <row r="134" spans="1:386" s="19" customFormat="1" ht="20.100000000000001" customHeight="1" x14ac:dyDescent="0.35">
      <c r="A134" s="1"/>
      <c r="B134" s="2"/>
      <c r="C134" s="3"/>
      <c r="D134" s="2"/>
      <c r="E134" s="2"/>
      <c r="F134" s="4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9"/>
      <c r="FL134" s="9"/>
      <c r="FM134" s="9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135"/>
      <c r="IK134" s="135"/>
      <c r="IL134" s="135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</row>
    <row r="135" spans="1:386" s="19" customFormat="1" ht="20.100000000000001" customHeight="1" x14ac:dyDescent="0.35">
      <c r="A135" s="1"/>
      <c r="B135" s="2"/>
      <c r="C135" s="3"/>
      <c r="D135" s="2"/>
      <c r="E135" s="2"/>
      <c r="F135" s="4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9"/>
      <c r="FL135" s="9"/>
      <c r="FM135" s="9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135"/>
      <c r="IK135" s="135"/>
      <c r="IL135" s="135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</row>
    <row r="136" spans="1:386" s="19" customFormat="1" ht="20.100000000000001" customHeight="1" x14ac:dyDescent="0.35">
      <c r="A136" s="1"/>
      <c r="B136" s="2"/>
      <c r="C136" s="3"/>
      <c r="D136" s="2"/>
      <c r="E136" s="2"/>
      <c r="F136" s="4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9"/>
      <c r="FL136" s="9"/>
      <c r="FM136" s="9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135"/>
      <c r="IK136" s="135"/>
      <c r="IL136" s="135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</row>
    <row r="137" spans="1:386" s="19" customFormat="1" ht="20.100000000000001" customHeight="1" x14ac:dyDescent="0.35">
      <c r="A137" s="1"/>
      <c r="B137" s="2"/>
      <c r="C137" s="3"/>
      <c r="D137" s="2"/>
      <c r="E137" s="2"/>
      <c r="F137" s="4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9"/>
      <c r="FL137" s="9"/>
      <c r="FM137" s="9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135"/>
      <c r="IK137" s="135"/>
      <c r="IL137" s="135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/>
      <c r="NV137" s="6"/>
    </row>
    <row r="138" spans="1:386" s="19" customFormat="1" ht="20.100000000000001" customHeight="1" x14ac:dyDescent="0.35">
      <c r="A138" s="1"/>
      <c r="B138" s="2"/>
      <c r="C138" s="3"/>
      <c r="D138" s="2"/>
      <c r="E138" s="2"/>
      <c r="F138" s="4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9"/>
      <c r="FL138" s="9"/>
      <c r="FM138" s="9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135"/>
      <c r="IK138" s="135"/>
      <c r="IL138" s="135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6"/>
      <c r="NF138" s="6"/>
      <c r="NG138" s="6"/>
      <c r="NH138" s="6"/>
      <c r="NI138" s="6"/>
      <c r="NJ138" s="6"/>
      <c r="NK138" s="6"/>
      <c r="NL138" s="6"/>
      <c r="NM138" s="6"/>
      <c r="NN138" s="6"/>
      <c r="NO138" s="6"/>
      <c r="NP138" s="6"/>
      <c r="NQ138" s="6"/>
      <c r="NR138" s="6"/>
      <c r="NS138" s="6"/>
      <c r="NT138" s="6"/>
      <c r="NU138" s="6"/>
      <c r="NV138" s="6"/>
    </row>
    <row r="139" spans="1:386" s="19" customFormat="1" ht="20.100000000000001" customHeight="1" x14ac:dyDescent="0.35">
      <c r="A139" s="1"/>
      <c r="B139" s="2"/>
      <c r="C139" s="3"/>
      <c r="D139" s="2"/>
      <c r="E139" s="2"/>
      <c r="F139" s="4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9"/>
      <c r="FL139" s="9"/>
      <c r="FM139" s="9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135"/>
      <c r="IK139" s="135"/>
      <c r="IL139" s="135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6"/>
      <c r="KZ139" s="6"/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</row>
    <row r="140" spans="1:386" s="19" customFormat="1" ht="20.100000000000001" customHeight="1" x14ac:dyDescent="0.35">
      <c r="A140" s="1"/>
      <c r="B140" s="2"/>
      <c r="C140" s="3"/>
      <c r="D140" s="2"/>
      <c r="E140" s="2"/>
      <c r="F140" s="4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9"/>
      <c r="FL140" s="9"/>
      <c r="FM140" s="9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135"/>
      <c r="IK140" s="135"/>
      <c r="IL140" s="135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6"/>
      <c r="NL140" s="6"/>
      <c r="NM140" s="6"/>
      <c r="NN140" s="6"/>
      <c r="NO140" s="6"/>
      <c r="NP140" s="6"/>
      <c r="NQ140" s="6"/>
      <c r="NR140" s="6"/>
      <c r="NS140" s="6"/>
      <c r="NT140" s="6"/>
      <c r="NU140" s="6"/>
      <c r="NV140" s="6"/>
    </row>
    <row r="141" spans="1:386" s="19" customFormat="1" ht="20.100000000000001" customHeight="1" x14ac:dyDescent="0.35">
      <c r="A141" s="1"/>
      <c r="B141" s="2"/>
      <c r="C141" s="3"/>
      <c r="D141" s="2"/>
      <c r="E141" s="2"/>
      <c r="F141" s="4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9"/>
      <c r="FL141" s="9"/>
      <c r="FM141" s="9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135"/>
      <c r="IK141" s="135"/>
      <c r="IL141" s="135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</row>
    <row r="142" spans="1:386" s="19" customFormat="1" ht="20.100000000000001" customHeight="1" x14ac:dyDescent="0.35">
      <c r="A142" s="1"/>
      <c r="B142" s="2"/>
      <c r="C142" s="3"/>
      <c r="D142" s="2"/>
      <c r="E142" s="2"/>
      <c r="F142" s="4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9"/>
      <c r="FL142" s="9"/>
      <c r="FM142" s="9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135"/>
      <c r="IK142" s="135"/>
      <c r="IL142" s="135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</row>
    <row r="143" spans="1:386" s="19" customFormat="1" ht="20.100000000000001" customHeight="1" x14ac:dyDescent="0.35">
      <c r="A143" s="1"/>
      <c r="B143" s="2"/>
      <c r="C143" s="3"/>
      <c r="D143" s="2"/>
      <c r="E143" s="2"/>
      <c r="F143" s="4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9"/>
      <c r="FL143" s="9"/>
      <c r="FM143" s="9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135"/>
      <c r="IK143" s="135"/>
      <c r="IL143" s="135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</row>
    <row r="144" spans="1:386" s="19" customFormat="1" ht="20.100000000000001" customHeight="1" x14ac:dyDescent="0.35">
      <c r="A144" s="1"/>
      <c r="B144" s="2"/>
      <c r="C144" s="3"/>
      <c r="D144" s="2"/>
      <c r="E144" s="2"/>
      <c r="F144" s="4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9"/>
      <c r="FL144" s="9"/>
      <c r="FM144" s="9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135"/>
      <c r="IK144" s="135"/>
      <c r="IL144" s="135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</row>
    <row r="145" spans="1:386" s="19" customFormat="1" ht="20.100000000000001" customHeight="1" x14ac:dyDescent="0.35">
      <c r="A145" s="1"/>
      <c r="B145" s="2"/>
      <c r="C145" s="3"/>
      <c r="D145" s="2"/>
      <c r="E145" s="2"/>
      <c r="F145" s="4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9"/>
      <c r="FL145" s="9"/>
      <c r="FM145" s="9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135"/>
      <c r="IK145" s="135"/>
      <c r="IL145" s="135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</row>
    <row r="146" spans="1:386" s="19" customFormat="1" ht="20.100000000000001" customHeight="1" x14ac:dyDescent="0.35">
      <c r="A146" s="1"/>
      <c r="B146" s="2"/>
      <c r="C146" s="3"/>
      <c r="D146" s="2"/>
      <c r="E146" s="2"/>
      <c r="F146" s="4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9"/>
      <c r="FL146" s="9"/>
      <c r="FM146" s="9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135"/>
      <c r="IK146" s="135"/>
      <c r="IL146" s="135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</row>
    <row r="147" spans="1:386" s="19" customFormat="1" ht="20.100000000000001" customHeight="1" x14ac:dyDescent="0.35">
      <c r="A147" s="1"/>
      <c r="B147" s="2"/>
      <c r="C147" s="3"/>
      <c r="D147" s="2"/>
      <c r="E147" s="2"/>
      <c r="F147" s="4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9"/>
      <c r="FL147" s="9"/>
      <c r="FM147" s="9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135"/>
      <c r="IK147" s="135"/>
      <c r="IL147" s="135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</row>
    <row r="148" spans="1:386" s="19" customFormat="1" ht="20.100000000000001" customHeight="1" x14ac:dyDescent="0.35">
      <c r="A148" s="1"/>
      <c r="B148" s="2"/>
      <c r="C148" s="3"/>
      <c r="D148" s="2"/>
      <c r="E148" s="2"/>
      <c r="F148" s="4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9"/>
      <c r="FL148" s="9"/>
      <c r="FM148" s="9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135"/>
      <c r="IK148" s="135"/>
      <c r="IL148" s="135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</row>
    <row r="149" spans="1:386" s="19" customFormat="1" ht="20.100000000000001" customHeight="1" x14ac:dyDescent="0.35">
      <c r="A149" s="1"/>
      <c r="B149" s="2"/>
      <c r="C149" s="3"/>
      <c r="D149" s="2"/>
      <c r="E149" s="2"/>
      <c r="F149" s="4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9"/>
      <c r="FL149" s="9"/>
      <c r="FM149" s="9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135"/>
      <c r="IK149" s="135"/>
      <c r="IL149" s="135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</row>
    <row r="150" spans="1:386" s="19" customFormat="1" ht="20.100000000000001" customHeight="1" x14ac:dyDescent="0.35">
      <c r="A150" s="1"/>
      <c r="B150" s="2"/>
      <c r="C150" s="3"/>
      <c r="D150" s="2"/>
      <c r="E150" s="2"/>
      <c r="F150" s="4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9"/>
      <c r="FL150" s="9"/>
      <c r="FM150" s="9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135"/>
      <c r="IK150" s="135"/>
      <c r="IL150" s="135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</row>
    <row r="151" spans="1:386" s="19" customFormat="1" ht="20.100000000000001" customHeight="1" x14ac:dyDescent="0.35">
      <c r="A151" s="1"/>
      <c r="B151" s="2"/>
      <c r="C151" s="3"/>
      <c r="D151" s="2"/>
      <c r="E151" s="2"/>
      <c r="F151" s="4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9"/>
      <c r="FL151" s="9"/>
      <c r="FM151" s="9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135"/>
      <c r="IK151" s="135"/>
      <c r="IL151" s="135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</row>
    <row r="152" spans="1:386" s="19" customFormat="1" ht="20.100000000000001" customHeight="1" x14ac:dyDescent="0.35">
      <c r="A152" s="1"/>
      <c r="B152" s="2"/>
      <c r="C152" s="3"/>
      <c r="D152" s="2"/>
      <c r="E152" s="2"/>
      <c r="F152" s="4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9"/>
      <c r="FL152" s="9"/>
      <c r="FM152" s="9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135"/>
      <c r="IK152" s="135"/>
      <c r="IL152" s="135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</row>
    <row r="153" spans="1:386" s="19" customFormat="1" ht="20.100000000000001" customHeight="1" x14ac:dyDescent="0.35">
      <c r="A153" s="1"/>
      <c r="B153" s="2"/>
      <c r="C153" s="3"/>
      <c r="D153" s="2"/>
      <c r="E153" s="2"/>
      <c r="F153" s="4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9"/>
      <c r="FL153" s="9"/>
      <c r="FM153" s="9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135"/>
      <c r="IK153" s="135"/>
      <c r="IL153" s="135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/>
      <c r="NR153" s="6"/>
      <c r="NS153" s="6"/>
      <c r="NT153" s="6"/>
      <c r="NU153" s="6"/>
      <c r="NV153" s="6"/>
    </row>
    <row r="154" spans="1:386" s="19" customFormat="1" ht="20.100000000000001" customHeight="1" x14ac:dyDescent="0.35">
      <c r="A154" s="1"/>
      <c r="B154" s="2"/>
      <c r="C154" s="3"/>
      <c r="D154" s="2"/>
      <c r="E154" s="2"/>
      <c r="F154" s="4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9"/>
      <c r="FL154" s="9"/>
      <c r="FM154" s="9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135"/>
      <c r="IK154" s="135"/>
      <c r="IL154" s="135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</row>
    <row r="155" spans="1:386" s="19" customFormat="1" ht="20.100000000000001" customHeight="1" x14ac:dyDescent="0.35">
      <c r="A155" s="1"/>
      <c r="B155" s="2"/>
      <c r="C155" s="3"/>
      <c r="D155" s="2"/>
      <c r="E155" s="2"/>
      <c r="F155" s="4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9"/>
      <c r="FL155" s="9"/>
      <c r="FM155" s="9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135"/>
      <c r="IK155" s="135"/>
      <c r="IL155" s="135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</row>
    <row r="156" spans="1:386" s="19" customFormat="1" ht="20.100000000000001" customHeight="1" x14ac:dyDescent="0.35">
      <c r="A156" s="1"/>
      <c r="B156" s="2"/>
      <c r="C156" s="3"/>
      <c r="D156" s="2"/>
      <c r="E156" s="2"/>
      <c r="F156" s="4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9"/>
      <c r="FL156" s="9"/>
      <c r="FM156" s="9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135"/>
      <c r="IK156" s="135"/>
      <c r="IL156" s="135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</row>
    <row r="157" spans="1:386" s="19" customFormat="1" ht="20.100000000000001" customHeight="1" x14ac:dyDescent="0.35">
      <c r="A157" s="1"/>
      <c r="B157" s="2"/>
      <c r="C157" s="3"/>
      <c r="D157" s="2"/>
      <c r="E157" s="2"/>
      <c r="F157" s="4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9"/>
      <c r="FL157" s="9"/>
      <c r="FM157" s="9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135"/>
      <c r="IK157" s="135"/>
      <c r="IL157" s="135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</row>
    <row r="158" spans="1:386" s="19" customFormat="1" ht="20.100000000000001" customHeight="1" x14ac:dyDescent="0.35">
      <c r="A158" s="1"/>
      <c r="B158" s="2"/>
      <c r="C158" s="3"/>
      <c r="D158" s="2"/>
      <c r="E158" s="2"/>
      <c r="F158" s="4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9"/>
      <c r="FL158" s="9"/>
      <c r="FM158" s="9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135"/>
      <c r="IK158" s="135"/>
      <c r="IL158" s="135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</row>
    <row r="159" spans="1:386" s="19" customFormat="1" ht="20.100000000000001" customHeight="1" x14ac:dyDescent="0.35">
      <c r="A159" s="1"/>
      <c r="B159" s="2"/>
      <c r="C159" s="3"/>
      <c r="D159" s="2"/>
      <c r="E159" s="2"/>
      <c r="F159" s="4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9"/>
      <c r="FL159" s="9"/>
      <c r="FM159" s="9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135"/>
      <c r="IK159" s="135"/>
      <c r="IL159" s="135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</row>
    <row r="160" spans="1:386" s="19" customFormat="1" ht="20.100000000000001" customHeight="1" x14ac:dyDescent="0.35">
      <c r="A160" s="1"/>
      <c r="B160" s="2"/>
      <c r="C160" s="3"/>
      <c r="D160" s="2"/>
      <c r="E160" s="2"/>
      <c r="F160" s="4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9"/>
      <c r="FL160" s="9"/>
      <c r="FM160" s="9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135"/>
      <c r="IK160" s="135"/>
      <c r="IL160" s="135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</row>
    <row r="161" spans="1:386" s="19" customFormat="1" ht="20.100000000000001" customHeight="1" x14ac:dyDescent="0.35">
      <c r="A161" s="1"/>
      <c r="B161" s="2"/>
      <c r="C161" s="3"/>
      <c r="D161" s="2"/>
      <c r="E161" s="2"/>
      <c r="F161" s="4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9"/>
      <c r="FL161" s="9"/>
      <c r="FM161" s="9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135"/>
      <c r="IK161" s="135"/>
      <c r="IL161" s="135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</row>
    <row r="162" spans="1:386" s="19" customFormat="1" ht="20.100000000000001" customHeight="1" x14ac:dyDescent="0.35">
      <c r="A162" s="1"/>
      <c r="B162" s="2"/>
      <c r="C162" s="3"/>
      <c r="D162" s="2"/>
      <c r="E162" s="2"/>
      <c r="F162" s="4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9"/>
      <c r="FL162" s="9"/>
      <c r="FM162" s="9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135"/>
      <c r="IK162" s="135"/>
      <c r="IL162" s="135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</row>
    <row r="163" spans="1:386" s="19" customFormat="1" ht="20.100000000000001" customHeight="1" x14ac:dyDescent="0.35">
      <c r="A163" s="1"/>
      <c r="B163" s="2"/>
      <c r="C163" s="3"/>
      <c r="D163" s="2"/>
      <c r="E163" s="2"/>
      <c r="F163" s="4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9"/>
      <c r="FL163" s="9"/>
      <c r="FM163" s="9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135"/>
      <c r="IK163" s="135"/>
      <c r="IL163" s="135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</row>
    <row r="164" spans="1:386" s="19" customFormat="1" ht="20.100000000000001" customHeight="1" x14ac:dyDescent="0.35">
      <c r="A164" s="1"/>
      <c r="B164" s="2"/>
      <c r="C164" s="3"/>
      <c r="D164" s="2"/>
      <c r="E164" s="2"/>
      <c r="F164" s="4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9"/>
      <c r="FL164" s="9"/>
      <c r="FM164" s="9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135"/>
      <c r="IK164" s="135"/>
      <c r="IL164" s="135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</row>
    <row r="165" spans="1:386" s="19" customFormat="1" ht="20.100000000000001" customHeight="1" x14ac:dyDescent="0.35">
      <c r="A165" s="1"/>
      <c r="B165" s="2"/>
      <c r="C165" s="3"/>
      <c r="D165" s="2"/>
      <c r="E165" s="2"/>
      <c r="F165" s="4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9"/>
      <c r="FL165" s="9"/>
      <c r="FM165" s="9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135"/>
      <c r="IK165" s="135"/>
      <c r="IL165" s="135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</row>
    <row r="166" spans="1:386" s="19" customFormat="1" ht="20.100000000000001" customHeight="1" x14ac:dyDescent="0.35">
      <c r="A166" s="1"/>
      <c r="B166" s="2"/>
      <c r="C166" s="3"/>
      <c r="D166" s="2"/>
      <c r="E166" s="2"/>
      <c r="F166" s="4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9"/>
      <c r="FL166" s="9"/>
      <c r="FM166" s="9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135"/>
      <c r="IK166" s="135"/>
      <c r="IL166" s="135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6"/>
      <c r="NT166" s="6"/>
      <c r="NU166" s="6"/>
      <c r="NV166" s="6"/>
    </row>
    <row r="167" spans="1:386" s="19" customFormat="1" ht="20.100000000000001" customHeight="1" x14ac:dyDescent="0.35">
      <c r="A167" s="1"/>
      <c r="B167" s="2"/>
      <c r="C167" s="3"/>
      <c r="D167" s="2"/>
      <c r="E167" s="2"/>
      <c r="F167" s="4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9"/>
      <c r="FL167" s="9"/>
      <c r="FM167" s="9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135"/>
      <c r="IK167" s="135"/>
      <c r="IL167" s="135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6"/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6"/>
      <c r="LM167" s="6"/>
      <c r="LN167" s="6"/>
      <c r="LO167" s="6"/>
      <c r="LP167" s="6"/>
      <c r="LQ167" s="6"/>
      <c r="LR167" s="6"/>
      <c r="LS167" s="6"/>
      <c r="LT167" s="6"/>
      <c r="LU167" s="6"/>
      <c r="LV167" s="6"/>
      <c r="LW167" s="6"/>
      <c r="LX167" s="6"/>
      <c r="LY167" s="6"/>
      <c r="LZ167" s="6"/>
      <c r="MA167" s="6"/>
      <c r="MB167" s="6"/>
      <c r="MC167" s="6"/>
      <c r="MD167" s="6"/>
      <c r="ME167" s="6"/>
      <c r="MF167" s="6"/>
      <c r="MG167" s="6"/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6"/>
      <c r="MT167" s="6"/>
      <c r="MU167" s="6"/>
      <c r="MV167" s="6"/>
      <c r="MW167" s="6"/>
      <c r="MX167" s="6"/>
      <c r="MY167" s="6"/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6"/>
      <c r="NT167" s="6"/>
      <c r="NU167" s="6"/>
      <c r="NV167" s="6"/>
    </row>
    <row r="168" spans="1:386" s="19" customFormat="1" ht="20.100000000000001" customHeight="1" x14ac:dyDescent="0.35">
      <c r="A168" s="1"/>
      <c r="B168" s="2"/>
      <c r="C168" s="3"/>
      <c r="D168" s="2"/>
      <c r="E168" s="2"/>
      <c r="F168" s="4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9"/>
      <c r="FL168" s="9"/>
      <c r="FM168" s="9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135"/>
      <c r="IK168" s="135"/>
      <c r="IL168" s="135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  <c r="ML168" s="6"/>
      <c r="MM168" s="6"/>
      <c r="MN168" s="6"/>
      <c r="MO168" s="6"/>
      <c r="MP168" s="6"/>
      <c r="MQ168" s="6"/>
      <c r="MR168" s="6"/>
      <c r="MS168" s="6"/>
      <c r="MT168" s="6"/>
      <c r="MU168" s="6"/>
      <c r="MV168" s="6"/>
      <c r="MW168" s="6"/>
      <c r="MX168" s="6"/>
      <c r="MY168" s="6"/>
      <c r="MZ168" s="6"/>
      <c r="NA168" s="6"/>
      <c r="NB168" s="6"/>
      <c r="NC168" s="6"/>
      <c r="ND168" s="6"/>
      <c r="NE168" s="6"/>
      <c r="NF168" s="6"/>
      <c r="NG168" s="6"/>
      <c r="NH168" s="6"/>
      <c r="NI168" s="6"/>
      <c r="NJ168" s="6"/>
      <c r="NK168" s="6"/>
      <c r="NL168" s="6"/>
      <c r="NM168" s="6"/>
      <c r="NN168" s="6"/>
      <c r="NO168" s="6"/>
      <c r="NP168" s="6"/>
      <c r="NQ168" s="6"/>
      <c r="NR168" s="6"/>
      <c r="NS168" s="6"/>
      <c r="NT168" s="6"/>
      <c r="NU168" s="6"/>
      <c r="NV168" s="6"/>
    </row>
    <row r="169" spans="1:386" s="19" customFormat="1" ht="20.100000000000001" customHeight="1" x14ac:dyDescent="0.35">
      <c r="A169" s="1"/>
      <c r="B169" s="2"/>
      <c r="C169" s="3"/>
      <c r="D169" s="2"/>
      <c r="E169" s="2"/>
      <c r="F169" s="4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9"/>
      <c r="FL169" s="9"/>
      <c r="FM169" s="9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135"/>
      <c r="IK169" s="135"/>
      <c r="IL169" s="135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6"/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6"/>
      <c r="LM169" s="6"/>
      <c r="LN169" s="6"/>
      <c r="LO169" s="6"/>
      <c r="LP169" s="6"/>
      <c r="LQ169" s="6"/>
      <c r="LR169" s="6"/>
      <c r="LS169" s="6"/>
      <c r="LT169" s="6"/>
      <c r="LU169" s="6"/>
      <c r="LV169" s="6"/>
      <c r="LW169" s="6"/>
      <c r="LX169" s="6"/>
      <c r="LY169" s="6"/>
      <c r="LZ169" s="6"/>
      <c r="MA169" s="6"/>
      <c r="MB169" s="6"/>
      <c r="MC169" s="6"/>
      <c r="MD169" s="6"/>
      <c r="ME169" s="6"/>
      <c r="MF169" s="6"/>
      <c r="MG169" s="6"/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6"/>
      <c r="MT169" s="6"/>
      <c r="MU169" s="6"/>
      <c r="MV169" s="6"/>
      <c r="MW169" s="6"/>
      <c r="MX169" s="6"/>
      <c r="MY169" s="6"/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6"/>
      <c r="NT169" s="6"/>
      <c r="NU169" s="6"/>
      <c r="NV169" s="6"/>
    </row>
    <row r="170" spans="1:386" s="19" customFormat="1" ht="20.100000000000001" customHeight="1" x14ac:dyDescent="0.35">
      <c r="A170" s="1"/>
      <c r="B170" s="2"/>
      <c r="C170" s="3"/>
      <c r="D170" s="2"/>
      <c r="E170" s="2"/>
      <c r="F170" s="4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9"/>
      <c r="FL170" s="9"/>
      <c r="FM170" s="9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135"/>
      <c r="IK170" s="135"/>
      <c r="IL170" s="135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</row>
    <row r="171" spans="1:386" s="19" customFormat="1" ht="20.100000000000001" customHeight="1" x14ac:dyDescent="0.35">
      <c r="A171" s="1"/>
      <c r="B171" s="2"/>
      <c r="C171" s="3"/>
      <c r="D171" s="2"/>
      <c r="E171" s="2"/>
      <c r="F171" s="4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9"/>
      <c r="FL171" s="9"/>
      <c r="FM171" s="9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135"/>
      <c r="IK171" s="135"/>
      <c r="IL171" s="135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6"/>
      <c r="NF171" s="6"/>
      <c r="NG171" s="6"/>
      <c r="NH171" s="6"/>
      <c r="NI171" s="6"/>
      <c r="NJ171" s="6"/>
      <c r="NK171" s="6"/>
      <c r="NL171" s="6"/>
      <c r="NM171" s="6"/>
      <c r="NN171" s="6"/>
      <c r="NO171" s="6"/>
      <c r="NP171" s="6"/>
      <c r="NQ171" s="6"/>
      <c r="NR171" s="6"/>
      <c r="NS171" s="6"/>
      <c r="NT171" s="6"/>
      <c r="NU171" s="6"/>
      <c r="NV171" s="6"/>
    </row>
    <row r="172" spans="1:386" s="19" customFormat="1" ht="20.100000000000001" customHeight="1" x14ac:dyDescent="0.35">
      <c r="A172" s="1"/>
      <c r="B172" s="2"/>
      <c r="C172" s="3"/>
      <c r="D172" s="2"/>
      <c r="E172" s="2"/>
      <c r="F172" s="4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9"/>
      <c r="FL172" s="9"/>
      <c r="FM172" s="9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135"/>
      <c r="IK172" s="135"/>
      <c r="IL172" s="135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</row>
    <row r="173" spans="1:386" s="19" customFormat="1" ht="20.100000000000001" customHeight="1" x14ac:dyDescent="0.35">
      <c r="A173" s="1"/>
      <c r="B173" s="2"/>
      <c r="C173" s="3"/>
      <c r="D173" s="2"/>
      <c r="E173" s="2"/>
      <c r="F173" s="4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9"/>
      <c r="FL173" s="9"/>
      <c r="FM173" s="9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135"/>
      <c r="IK173" s="135"/>
      <c r="IL173" s="135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6"/>
      <c r="NN173" s="6"/>
      <c r="NO173" s="6"/>
      <c r="NP173" s="6"/>
      <c r="NQ173" s="6"/>
      <c r="NR173" s="6"/>
      <c r="NS173" s="6"/>
      <c r="NT173" s="6"/>
      <c r="NU173" s="6"/>
      <c r="NV173" s="6"/>
    </row>
    <row r="174" spans="1:386" s="19" customFormat="1" ht="20.100000000000001" customHeight="1" x14ac:dyDescent="0.35">
      <c r="A174" s="1"/>
      <c r="B174" s="2"/>
      <c r="C174" s="3"/>
      <c r="D174" s="2"/>
      <c r="E174" s="2"/>
      <c r="F174" s="4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9"/>
      <c r="FL174" s="9"/>
      <c r="FM174" s="9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135"/>
      <c r="IK174" s="135"/>
      <c r="IL174" s="135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</row>
    <row r="175" spans="1:386" s="19" customFormat="1" ht="20.100000000000001" customHeight="1" x14ac:dyDescent="0.35">
      <c r="A175" s="1"/>
      <c r="B175" s="2"/>
      <c r="C175" s="3"/>
      <c r="D175" s="2"/>
      <c r="E175" s="2"/>
      <c r="F175" s="4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9"/>
      <c r="FL175" s="9"/>
      <c r="FM175" s="9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135"/>
      <c r="IK175" s="135"/>
      <c r="IL175" s="135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6"/>
      <c r="NF175" s="6"/>
      <c r="NG175" s="6"/>
      <c r="NH175" s="6"/>
      <c r="NI175" s="6"/>
      <c r="NJ175" s="6"/>
      <c r="NK175" s="6"/>
      <c r="NL175" s="6"/>
      <c r="NM175" s="6"/>
      <c r="NN175" s="6"/>
      <c r="NO175" s="6"/>
      <c r="NP175" s="6"/>
      <c r="NQ175" s="6"/>
      <c r="NR175" s="6"/>
      <c r="NS175" s="6"/>
      <c r="NT175" s="6"/>
      <c r="NU175" s="6"/>
      <c r="NV175" s="6"/>
    </row>
    <row r="176" spans="1:386" s="19" customFormat="1" ht="20.100000000000001" customHeight="1" x14ac:dyDescent="0.35">
      <c r="A176" s="1"/>
      <c r="B176" s="2"/>
      <c r="C176" s="3"/>
      <c r="D176" s="2"/>
      <c r="E176" s="2"/>
      <c r="F176" s="4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9"/>
      <c r="FL176" s="9"/>
      <c r="FM176" s="9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135"/>
      <c r="IK176" s="135"/>
      <c r="IL176" s="135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6"/>
      <c r="NF176" s="6"/>
      <c r="NG176" s="6"/>
      <c r="NH176" s="6"/>
      <c r="NI176" s="6"/>
      <c r="NJ176" s="6"/>
      <c r="NK176" s="6"/>
      <c r="NL176" s="6"/>
      <c r="NM176" s="6"/>
      <c r="NN176" s="6"/>
      <c r="NO176" s="6"/>
      <c r="NP176" s="6"/>
      <c r="NQ176" s="6"/>
      <c r="NR176" s="6"/>
      <c r="NS176" s="6"/>
      <c r="NT176" s="6"/>
      <c r="NU176" s="6"/>
      <c r="NV176" s="6"/>
    </row>
    <row r="177" spans="1:386" s="19" customFormat="1" ht="20.100000000000001" customHeight="1" x14ac:dyDescent="0.35">
      <c r="A177" s="1"/>
      <c r="B177" s="2"/>
      <c r="C177" s="3"/>
      <c r="D177" s="2"/>
      <c r="E177" s="2"/>
      <c r="F177" s="4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9"/>
      <c r="FL177" s="9"/>
      <c r="FM177" s="9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135"/>
      <c r="IK177" s="135"/>
      <c r="IL177" s="135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</row>
    <row r="178" spans="1:386" s="19" customFormat="1" ht="20.100000000000001" customHeight="1" x14ac:dyDescent="0.35">
      <c r="A178" s="1"/>
      <c r="B178" s="2"/>
      <c r="C178" s="3"/>
      <c r="D178" s="2"/>
      <c r="E178" s="2"/>
      <c r="F178" s="4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9"/>
      <c r="FL178" s="9"/>
      <c r="FM178" s="9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135"/>
      <c r="IK178" s="135"/>
      <c r="IL178" s="135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6"/>
      <c r="NF178" s="6"/>
      <c r="NG178" s="6"/>
      <c r="NH178" s="6"/>
      <c r="NI178" s="6"/>
      <c r="NJ178" s="6"/>
      <c r="NK178" s="6"/>
      <c r="NL178" s="6"/>
      <c r="NM178" s="6"/>
      <c r="NN178" s="6"/>
      <c r="NO178" s="6"/>
      <c r="NP178" s="6"/>
      <c r="NQ178" s="6"/>
      <c r="NR178" s="6"/>
      <c r="NS178" s="6"/>
      <c r="NT178" s="6"/>
      <c r="NU178" s="6"/>
      <c r="NV178" s="6"/>
    </row>
    <row r="179" spans="1:386" s="19" customFormat="1" ht="20.100000000000001" customHeight="1" x14ac:dyDescent="0.35">
      <c r="A179" s="1"/>
      <c r="B179" s="2"/>
      <c r="C179" s="3"/>
      <c r="D179" s="2"/>
      <c r="E179" s="2"/>
      <c r="F179" s="4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9"/>
      <c r="FL179" s="9"/>
      <c r="FM179" s="9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135"/>
      <c r="IK179" s="135"/>
      <c r="IL179" s="135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6"/>
      <c r="NF179" s="6"/>
      <c r="NG179" s="6"/>
      <c r="NH179" s="6"/>
      <c r="NI179" s="6"/>
      <c r="NJ179" s="6"/>
      <c r="NK179" s="6"/>
      <c r="NL179" s="6"/>
      <c r="NM179" s="6"/>
      <c r="NN179" s="6"/>
      <c r="NO179" s="6"/>
      <c r="NP179" s="6"/>
      <c r="NQ179" s="6"/>
      <c r="NR179" s="6"/>
      <c r="NS179" s="6"/>
      <c r="NT179" s="6"/>
      <c r="NU179" s="6"/>
      <c r="NV179" s="6"/>
    </row>
    <row r="180" spans="1:386" s="19" customFormat="1" ht="20.100000000000001" customHeight="1" x14ac:dyDescent="0.35">
      <c r="A180" s="1"/>
      <c r="B180" s="2"/>
      <c r="C180" s="3"/>
      <c r="D180" s="2"/>
      <c r="E180" s="2"/>
      <c r="F180" s="4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9"/>
      <c r="FL180" s="9"/>
      <c r="FM180" s="9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135"/>
      <c r="IK180" s="135"/>
      <c r="IL180" s="135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6"/>
      <c r="NF180" s="6"/>
      <c r="NG180" s="6"/>
      <c r="NH180" s="6"/>
      <c r="NI180" s="6"/>
      <c r="NJ180" s="6"/>
      <c r="NK180" s="6"/>
      <c r="NL180" s="6"/>
      <c r="NM180" s="6"/>
      <c r="NN180" s="6"/>
      <c r="NO180" s="6"/>
      <c r="NP180" s="6"/>
      <c r="NQ180" s="6"/>
      <c r="NR180" s="6"/>
      <c r="NS180" s="6"/>
      <c r="NT180" s="6"/>
      <c r="NU180" s="6"/>
      <c r="NV180" s="6"/>
    </row>
    <row r="181" spans="1:386" s="19" customFormat="1" ht="20.100000000000001" customHeight="1" x14ac:dyDescent="0.35">
      <c r="A181" s="1"/>
      <c r="B181" s="2"/>
      <c r="C181" s="3"/>
      <c r="D181" s="2"/>
      <c r="E181" s="2"/>
      <c r="F181" s="4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9"/>
      <c r="FL181" s="9"/>
      <c r="FM181" s="9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135"/>
      <c r="IK181" s="135"/>
      <c r="IL181" s="135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6"/>
      <c r="NF181" s="6"/>
      <c r="NG181" s="6"/>
      <c r="NH181" s="6"/>
      <c r="NI181" s="6"/>
      <c r="NJ181" s="6"/>
      <c r="NK181" s="6"/>
      <c r="NL181" s="6"/>
      <c r="NM181" s="6"/>
      <c r="NN181" s="6"/>
      <c r="NO181" s="6"/>
      <c r="NP181" s="6"/>
      <c r="NQ181" s="6"/>
      <c r="NR181" s="6"/>
      <c r="NS181" s="6"/>
      <c r="NT181" s="6"/>
      <c r="NU181" s="6"/>
      <c r="NV181" s="6"/>
    </row>
    <row r="182" spans="1:386" s="19" customFormat="1" ht="20.100000000000001" customHeight="1" x14ac:dyDescent="0.35">
      <c r="A182" s="1"/>
      <c r="B182" s="2"/>
      <c r="C182" s="3"/>
      <c r="D182" s="2"/>
      <c r="E182" s="2"/>
      <c r="F182" s="4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9"/>
      <c r="FL182" s="9"/>
      <c r="FM182" s="9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135"/>
      <c r="IK182" s="135"/>
      <c r="IL182" s="135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6"/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6"/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6"/>
      <c r="NS182" s="6"/>
      <c r="NT182" s="6"/>
      <c r="NU182" s="6"/>
      <c r="NV182" s="6"/>
    </row>
    <row r="183" spans="1:386" s="19" customFormat="1" ht="20.100000000000001" customHeight="1" x14ac:dyDescent="0.35">
      <c r="A183" s="1"/>
      <c r="B183" s="2"/>
      <c r="C183" s="3"/>
      <c r="D183" s="2"/>
      <c r="E183" s="2"/>
      <c r="F183" s="4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9"/>
      <c r="FL183" s="9"/>
      <c r="FM183" s="9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135"/>
      <c r="IK183" s="135"/>
      <c r="IL183" s="135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6"/>
      <c r="LL183" s="6"/>
      <c r="LM183" s="6"/>
      <c r="LN183" s="6"/>
      <c r="LO183" s="6"/>
      <c r="LP183" s="6"/>
      <c r="LQ183" s="6"/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6"/>
      <c r="MC183" s="6"/>
      <c r="MD183" s="6"/>
      <c r="ME183" s="6"/>
      <c r="MF183" s="6"/>
      <c r="MG183" s="6"/>
      <c r="MH183" s="6"/>
      <c r="MI183" s="6"/>
      <c r="MJ183" s="6"/>
      <c r="MK183" s="6"/>
      <c r="ML183" s="6"/>
      <c r="MM183" s="6"/>
      <c r="MN183" s="6"/>
      <c r="MO183" s="6"/>
      <c r="MP183" s="6"/>
      <c r="MQ183" s="6"/>
      <c r="MR183" s="6"/>
      <c r="MS183" s="6"/>
      <c r="MT183" s="6"/>
      <c r="MU183" s="6"/>
      <c r="MV183" s="6"/>
      <c r="MW183" s="6"/>
      <c r="MX183" s="6"/>
      <c r="MY183" s="6"/>
      <c r="MZ183" s="6"/>
      <c r="NA183" s="6"/>
      <c r="NB183" s="6"/>
      <c r="NC183" s="6"/>
      <c r="ND183" s="6"/>
      <c r="NE183" s="6"/>
      <c r="NF183" s="6"/>
      <c r="NG183" s="6"/>
      <c r="NH183" s="6"/>
      <c r="NI183" s="6"/>
      <c r="NJ183" s="6"/>
      <c r="NK183" s="6"/>
      <c r="NL183" s="6"/>
      <c r="NM183" s="6"/>
      <c r="NN183" s="6"/>
      <c r="NO183" s="6"/>
      <c r="NP183" s="6"/>
      <c r="NQ183" s="6"/>
      <c r="NR183" s="6"/>
      <c r="NS183" s="6"/>
      <c r="NT183" s="6"/>
      <c r="NU183" s="6"/>
      <c r="NV183" s="6"/>
    </row>
    <row r="184" spans="1:386" s="19" customFormat="1" ht="20.100000000000001" customHeight="1" x14ac:dyDescent="0.35">
      <c r="A184" s="1"/>
      <c r="B184" s="2"/>
      <c r="C184" s="3"/>
      <c r="D184" s="2"/>
      <c r="E184" s="2"/>
      <c r="F184" s="4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9"/>
      <c r="FL184" s="9"/>
      <c r="FM184" s="9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135"/>
      <c r="IK184" s="135"/>
      <c r="IL184" s="135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6"/>
      <c r="KZ184" s="6"/>
      <c r="LA184" s="6"/>
      <c r="LB184" s="6"/>
      <c r="LC184" s="6"/>
      <c r="LD184" s="6"/>
      <c r="LE184" s="6"/>
      <c r="LF184" s="6"/>
      <c r="LG184" s="6"/>
      <c r="LH184" s="6"/>
      <c r="LI184" s="6"/>
      <c r="LJ184" s="6"/>
      <c r="LK184" s="6"/>
      <c r="LL184" s="6"/>
      <c r="LM184" s="6"/>
      <c r="LN184" s="6"/>
      <c r="LO184" s="6"/>
      <c r="LP184" s="6"/>
      <c r="LQ184" s="6"/>
      <c r="LR184" s="6"/>
      <c r="LS184" s="6"/>
      <c r="LT184" s="6"/>
      <c r="LU184" s="6"/>
      <c r="LV184" s="6"/>
      <c r="LW184" s="6"/>
      <c r="LX184" s="6"/>
      <c r="LY184" s="6"/>
      <c r="LZ184" s="6"/>
      <c r="MA184" s="6"/>
      <c r="MB184" s="6"/>
      <c r="MC184" s="6"/>
      <c r="MD184" s="6"/>
      <c r="ME184" s="6"/>
      <c r="MF184" s="6"/>
      <c r="MG184" s="6"/>
      <c r="MH184" s="6"/>
      <c r="MI184" s="6"/>
      <c r="MJ184" s="6"/>
      <c r="MK184" s="6"/>
      <c r="ML184" s="6"/>
      <c r="MM184" s="6"/>
      <c r="MN184" s="6"/>
      <c r="MO184" s="6"/>
      <c r="MP184" s="6"/>
      <c r="MQ184" s="6"/>
      <c r="MR184" s="6"/>
      <c r="MS184" s="6"/>
      <c r="MT184" s="6"/>
      <c r="MU184" s="6"/>
      <c r="MV184" s="6"/>
      <c r="MW184" s="6"/>
      <c r="MX184" s="6"/>
      <c r="MY184" s="6"/>
      <c r="MZ184" s="6"/>
      <c r="NA184" s="6"/>
      <c r="NB184" s="6"/>
      <c r="NC184" s="6"/>
      <c r="ND184" s="6"/>
      <c r="NE184" s="6"/>
      <c r="NF184" s="6"/>
      <c r="NG184" s="6"/>
      <c r="NH184" s="6"/>
      <c r="NI184" s="6"/>
      <c r="NJ184" s="6"/>
      <c r="NK184" s="6"/>
      <c r="NL184" s="6"/>
      <c r="NM184" s="6"/>
      <c r="NN184" s="6"/>
      <c r="NO184" s="6"/>
      <c r="NP184" s="6"/>
      <c r="NQ184" s="6"/>
      <c r="NR184" s="6"/>
      <c r="NS184" s="6"/>
      <c r="NT184" s="6"/>
      <c r="NU184" s="6"/>
      <c r="NV184" s="6"/>
    </row>
    <row r="185" spans="1:386" s="19" customFormat="1" ht="20.100000000000001" customHeight="1" x14ac:dyDescent="0.35">
      <c r="A185" s="1"/>
      <c r="B185" s="2"/>
      <c r="C185" s="3"/>
      <c r="D185" s="2"/>
      <c r="E185" s="2"/>
      <c r="F185" s="4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9"/>
      <c r="FL185" s="9"/>
      <c r="FM185" s="9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135"/>
      <c r="IK185" s="135"/>
      <c r="IL185" s="135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6"/>
      <c r="KZ185" s="6"/>
      <c r="LA185" s="6"/>
      <c r="LB185" s="6"/>
      <c r="LC185" s="6"/>
      <c r="LD185" s="6"/>
      <c r="LE185" s="6"/>
      <c r="LF185" s="6"/>
      <c r="LG185" s="6"/>
      <c r="LH185" s="6"/>
      <c r="LI185" s="6"/>
      <c r="LJ185" s="6"/>
      <c r="LK185" s="6"/>
      <c r="LL185" s="6"/>
      <c r="LM185" s="6"/>
      <c r="LN185" s="6"/>
      <c r="LO185" s="6"/>
      <c r="LP185" s="6"/>
      <c r="LQ185" s="6"/>
      <c r="LR185" s="6"/>
      <c r="LS185" s="6"/>
      <c r="LT185" s="6"/>
      <c r="LU185" s="6"/>
      <c r="LV185" s="6"/>
      <c r="LW185" s="6"/>
      <c r="LX185" s="6"/>
      <c r="LY185" s="6"/>
      <c r="LZ185" s="6"/>
      <c r="MA185" s="6"/>
      <c r="MB185" s="6"/>
      <c r="MC185" s="6"/>
      <c r="MD185" s="6"/>
      <c r="ME185" s="6"/>
      <c r="MF185" s="6"/>
      <c r="MG185" s="6"/>
      <c r="MH185" s="6"/>
      <c r="MI185" s="6"/>
      <c r="MJ185" s="6"/>
      <c r="MK185" s="6"/>
      <c r="ML185" s="6"/>
      <c r="MM185" s="6"/>
      <c r="MN185" s="6"/>
      <c r="MO185" s="6"/>
      <c r="MP185" s="6"/>
      <c r="MQ185" s="6"/>
      <c r="MR185" s="6"/>
      <c r="MS185" s="6"/>
      <c r="MT185" s="6"/>
      <c r="MU185" s="6"/>
      <c r="MV185" s="6"/>
      <c r="MW185" s="6"/>
      <c r="MX185" s="6"/>
      <c r="MY185" s="6"/>
      <c r="MZ185" s="6"/>
      <c r="NA185" s="6"/>
      <c r="NB185" s="6"/>
      <c r="NC185" s="6"/>
      <c r="ND185" s="6"/>
      <c r="NE185" s="6"/>
      <c r="NF185" s="6"/>
      <c r="NG185" s="6"/>
      <c r="NH185" s="6"/>
      <c r="NI185" s="6"/>
      <c r="NJ185" s="6"/>
      <c r="NK185" s="6"/>
      <c r="NL185" s="6"/>
      <c r="NM185" s="6"/>
      <c r="NN185" s="6"/>
      <c r="NO185" s="6"/>
      <c r="NP185" s="6"/>
      <c r="NQ185" s="6"/>
      <c r="NR185" s="6"/>
      <c r="NS185" s="6"/>
      <c r="NT185" s="6"/>
      <c r="NU185" s="6"/>
      <c r="NV185" s="6"/>
    </row>
    <row r="186" spans="1:386" s="19" customFormat="1" ht="20.100000000000001" customHeight="1" x14ac:dyDescent="0.35">
      <c r="A186" s="1"/>
      <c r="B186" s="2"/>
      <c r="C186" s="3"/>
      <c r="D186" s="2"/>
      <c r="E186" s="2"/>
      <c r="F186" s="4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9"/>
      <c r="FL186" s="9"/>
      <c r="FM186" s="9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135"/>
      <c r="IK186" s="135"/>
      <c r="IL186" s="135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6"/>
      <c r="KZ186" s="6"/>
      <c r="LA186" s="6"/>
      <c r="LB186" s="6"/>
      <c r="LC186" s="6"/>
      <c r="LD186" s="6"/>
      <c r="LE186" s="6"/>
      <c r="LF186" s="6"/>
      <c r="LG186" s="6"/>
      <c r="LH186" s="6"/>
      <c r="LI186" s="6"/>
      <c r="LJ186" s="6"/>
      <c r="LK186" s="6"/>
      <c r="LL186" s="6"/>
      <c r="LM186" s="6"/>
      <c r="LN186" s="6"/>
      <c r="LO186" s="6"/>
      <c r="LP186" s="6"/>
      <c r="LQ186" s="6"/>
      <c r="LR186" s="6"/>
      <c r="LS186" s="6"/>
      <c r="LT186" s="6"/>
      <c r="LU186" s="6"/>
      <c r="LV186" s="6"/>
      <c r="LW186" s="6"/>
      <c r="LX186" s="6"/>
      <c r="LY186" s="6"/>
      <c r="LZ186" s="6"/>
      <c r="MA186" s="6"/>
      <c r="MB186" s="6"/>
      <c r="MC186" s="6"/>
      <c r="MD186" s="6"/>
      <c r="ME186" s="6"/>
      <c r="MF186" s="6"/>
      <c r="MG186" s="6"/>
      <c r="MH186" s="6"/>
      <c r="MI186" s="6"/>
      <c r="MJ186" s="6"/>
      <c r="MK186" s="6"/>
      <c r="ML186" s="6"/>
      <c r="MM186" s="6"/>
      <c r="MN186" s="6"/>
      <c r="MO186" s="6"/>
      <c r="MP186" s="6"/>
      <c r="MQ186" s="6"/>
      <c r="MR186" s="6"/>
      <c r="MS186" s="6"/>
      <c r="MT186" s="6"/>
      <c r="MU186" s="6"/>
      <c r="MV186" s="6"/>
      <c r="MW186" s="6"/>
      <c r="MX186" s="6"/>
      <c r="MY186" s="6"/>
      <c r="MZ186" s="6"/>
      <c r="NA186" s="6"/>
      <c r="NB186" s="6"/>
      <c r="NC186" s="6"/>
      <c r="ND186" s="6"/>
      <c r="NE186" s="6"/>
      <c r="NF186" s="6"/>
      <c r="NG186" s="6"/>
      <c r="NH186" s="6"/>
      <c r="NI186" s="6"/>
      <c r="NJ186" s="6"/>
      <c r="NK186" s="6"/>
      <c r="NL186" s="6"/>
      <c r="NM186" s="6"/>
      <c r="NN186" s="6"/>
      <c r="NO186" s="6"/>
      <c r="NP186" s="6"/>
      <c r="NQ186" s="6"/>
      <c r="NR186" s="6"/>
      <c r="NS186" s="6"/>
      <c r="NT186" s="6"/>
      <c r="NU186" s="6"/>
      <c r="NV186" s="6"/>
    </row>
    <row r="187" spans="1:386" s="19" customFormat="1" ht="20.100000000000001" customHeight="1" x14ac:dyDescent="0.35">
      <c r="A187" s="1"/>
      <c r="B187" s="2"/>
      <c r="C187" s="3"/>
      <c r="D187" s="2"/>
      <c r="E187" s="2"/>
      <c r="F187" s="4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9"/>
      <c r="FL187" s="9"/>
      <c r="FM187" s="9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135"/>
      <c r="IK187" s="135"/>
      <c r="IL187" s="135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6"/>
      <c r="LI187" s="6"/>
      <c r="LJ187" s="6"/>
      <c r="LK187" s="6"/>
      <c r="LL187" s="6"/>
      <c r="LM187" s="6"/>
      <c r="LN187" s="6"/>
      <c r="LO187" s="6"/>
      <c r="LP187" s="6"/>
      <c r="LQ187" s="6"/>
      <c r="LR187" s="6"/>
      <c r="LS187" s="6"/>
      <c r="LT187" s="6"/>
      <c r="LU187" s="6"/>
      <c r="LV187" s="6"/>
      <c r="LW187" s="6"/>
      <c r="LX187" s="6"/>
      <c r="LY187" s="6"/>
      <c r="LZ187" s="6"/>
      <c r="MA187" s="6"/>
      <c r="MB187" s="6"/>
      <c r="MC187" s="6"/>
      <c r="MD187" s="6"/>
      <c r="ME187" s="6"/>
      <c r="MF187" s="6"/>
      <c r="MG187" s="6"/>
      <c r="MH187" s="6"/>
      <c r="MI187" s="6"/>
      <c r="MJ187" s="6"/>
      <c r="MK187" s="6"/>
      <c r="ML187" s="6"/>
      <c r="MM187" s="6"/>
      <c r="MN187" s="6"/>
      <c r="MO187" s="6"/>
      <c r="MP187" s="6"/>
      <c r="MQ187" s="6"/>
      <c r="MR187" s="6"/>
      <c r="MS187" s="6"/>
      <c r="MT187" s="6"/>
      <c r="MU187" s="6"/>
      <c r="MV187" s="6"/>
      <c r="MW187" s="6"/>
      <c r="MX187" s="6"/>
      <c r="MY187" s="6"/>
      <c r="MZ187" s="6"/>
      <c r="NA187" s="6"/>
      <c r="NB187" s="6"/>
      <c r="NC187" s="6"/>
      <c r="ND187" s="6"/>
      <c r="NE187" s="6"/>
      <c r="NF187" s="6"/>
      <c r="NG187" s="6"/>
      <c r="NH187" s="6"/>
      <c r="NI187" s="6"/>
      <c r="NJ187" s="6"/>
      <c r="NK187" s="6"/>
      <c r="NL187" s="6"/>
      <c r="NM187" s="6"/>
      <c r="NN187" s="6"/>
      <c r="NO187" s="6"/>
      <c r="NP187" s="6"/>
      <c r="NQ187" s="6"/>
      <c r="NR187" s="6"/>
      <c r="NS187" s="6"/>
      <c r="NT187" s="6"/>
      <c r="NU187" s="6"/>
      <c r="NV187" s="6"/>
    </row>
    <row r="188" spans="1:386" s="19" customFormat="1" ht="20.100000000000001" customHeight="1" x14ac:dyDescent="0.35">
      <c r="A188" s="1"/>
      <c r="B188" s="2"/>
      <c r="C188" s="3"/>
      <c r="D188" s="2"/>
      <c r="E188" s="2"/>
      <c r="F188" s="4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9"/>
      <c r="FL188" s="9"/>
      <c r="FM188" s="9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135"/>
      <c r="IK188" s="135"/>
      <c r="IL188" s="135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6"/>
      <c r="KZ188" s="6"/>
      <c r="LA188" s="6"/>
      <c r="LB188" s="6"/>
      <c r="LC188" s="6"/>
      <c r="LD188" s="6"/>
      <c r="LE188" s="6"/>
      <c r="LF188" s="6"/>
      <c r="LG188" s="6"/>
      <c r="LH188" s="6"/>
      <c r="LI188" s="6"/>
      <c r="LJ188" s="6"/>
      <c r="LK188" s="6"/>
      <c r="LL188" s="6"/>
      <c r="LM188" s="6"/>
      <c r="LN188" s="6"/>
      <c r="LO188" s="6"/>
      <c r="LP188" s="6"/>
      <c r="LQ188" s="6"/>
      <c r="LR188" s="6"/>
      <c r="LS188" s="6"/>
      <c r="LT188" s="6"/>
      <c r="LU188" s="6"/>
      <c r="LV188" s="6"/>
      <c r="LW188" s="6"/>
      <c r="LX188" s="6"/>
      <c r="LY188" s="6"/>
      <c r="LZ188" s="6"/>
      <c r="MA188" s="6"/>
      <c r="MB188" s="6"/>
      <c r="MC188" s="6"/>
      <c r="MD188" s="6"/>
      <c r="ME188" s="6"/>
      <c r="MF188" s="6"/>
      <c r="MG188" s="6"/>
      <c r="MH188" s="6"/>
      <c r="MI188" s="6"/>
      <c r="MJ188" s="6"/>
      <c r="MK188" s="6"/>
      <c r="ML188" s="6"/>
      <c r="MM188" s="6"/>
      <c r="MN188" s="6"/>
      <c r="MO188" s="6"/>
      <c r="MP188" s="6"/>
      <c r="MQ188" s="6"/>
      <c r="MR188" s="6"/>
      <c r="MS188" s="6"/>
      <c r="MT188" s="6"/>
      <c r="MU188" s="6"/>
      <c r="MV188" s="6"/>
      <c r="MW188" s="6"/>
      <c r="MX188" s="6"/>
      <c r="MY188" s="6"/>
      <c r="MZ188" s="6"/>
      <c r="NA188" s="6"/>
      <c r="NB188" s="6"/>
      <c r="NC188" s="6"/>
      <c r="ND188" s="6"/>
      <c r="NE188" s="6"/>
      <c r="NF188" s="6"/>
      <c r="NG188" s="6"/>
      <c r="NH188" s="6"/>
      <c r="NI188" s="6"/>
      <c r="NJ188" s="6"/>
      <c r="NK188" s="6"/>
      <c r="NL188" s="6"/>
      <c r="NM188" s="6"/>
      <c r="NN188" s="6"/>
      <c r="NO188" s="6"/>
      <c r="NP188" s="6"/>
      <c r="NQ188" s="6"/>
      <c r="NR188" s="6"/>
      <c r="NS188" s="6"/>
      <c r="NT188" s="6"/>
      <c r="NU188" s="6"/>
      <c r="NV188" s="6"/>
    </row>
    <row r="189" spans="1:386" s="19" customFormat="1" ht="20.100000000000001" customHeight="1" x14ac:dyDescent="0.35">
      <c r="A189" s="1"/>
      <c r="B189" s="2"/>
      <c r="C189" s="3"/>
      <c r="D189" s="2"/>
      <c r="E189" s="2"/>
      <c r="F189" s="4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9"/>
      <c r="FL189" s="9"/>
      <c r="FM189" s="9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135"/>
      <c r="IK189" s="135"/>
      <c r="IL189" s="135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6"/>
      <c r="KZ189" s="6"/>
      <c r="LA189" s="6"/>
      <c r="LB189" s="6"/>
      <c r="LC189" s="6"/>
      <c r="LD189" s="6"/>
      <c r="LE189" s="6"/>
      <c r="LF189" s="6"/>
      <c r="LG189" s="6"/>
      <c r="LH189" s="6"/>
      <c r="LI189" s="6"/>
      <c r="LJ189" s="6"/>
      <c r="LK189" s="6"/>
      <c r="LL189" s="6"/>
      <c r="LM189" s="6"/>
      <c r="LN189" s="6"/>
      <c r="LO189" s="6"/>
      <c r="LP189" s="6"/>
      <c r="LQ189" s="6"/>
      <c r="LR189" s="6"/>
      <c r="LS189" s="6"/>
      <c r="LT189" s="6"/>
      <c r="LU189" s="6"/>
      <c r="LV189" s="6"/>
      <c r="LW189" s="6"/>
      <c r="LX189" s="6"/>
      <c r="LY189" s="6"/>
      <c r="LZ189" s="6"/>
      <c r="MA189" s="6"/>
      <c r="MB189" s="6"/>
      <c r="MC189" s="6"/>
      <c r="MD189" s="6"/>
      <c r="ME189" s="6"/>
      <c r="MF189" s="6"/>
      <c r="MG189" s="6"/>
      <c r="MH189" s="6"/>
      <c r="MI189" s="6"/>
      <c r="MJ189" s="6"/>
      <c r="MK189" s="6"/>
      <c r="ML189" s="6"/>
      <c r="MM189" s="6"/>
      <c r="MN189" s="6"/>
      <c r="MO189" s="6"/>
      <c r="MP189" s="6"/>
      <c r="MQ189" s="6"/>
      <c r="MR189" s="6"/>
      <c r="MS189" s="6"/>
      <c r="MT189" s="6"/>
      <c r="MU189" s="6"/>
      <c r="MV189" s="6"/>
      <c r="MW189" s="6"/>
      <c r="MX189" s="6"/>
      <c r="MY189" s="6"/>
      <c r="MZ189" s="6"/>
      <c r="NA189" s="6"/>
      <c r="NB189" s="6"/>
      <c r="NC189" s="6"/>
      <c r="ND189" s="6"/>
      <c r="NE189" s="6"/>
      <c r="NF189" s="6"/>
      <c r="NG189" s="6"/>
      <c r="NH189" s="6"/>
      <c r="NI189" s="6"/>
      <c r="NJ189" s="6"/>
      <c r="NK189" s="6"/>
      <c r="NL189" s="6"/>
      <c r="NM189" s="6"/>
      <c r="NN189" s="6"/>
      <c r="NO189" s="6"/>
      <c r="NP189" s="6"/>
      <c r="NQ189" s="6"/>
      <c r="NR189" s="6"/>
      <c r="NS189" s="6"/>
      <c r="NT189" s="6"/>
      <c r="NU189" s="6"/>
      <c r="NV189" s="6"/>
    </row>
    <row r="190" spans="1:386" s="19" customFormat="1" ht="20.100000000000001" customHeight="1" x14ac:dyDescent="0.35">
      <c r="A190" s="1"/>
      <c r="B190" s="2"/>
      <c r="C190" s="3"/>
      <c r="D190" s="2"/>
      <c r="E190" s="2"/>
      <c r="F190" s="4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9"/>
      <c r="FL190" s="9"/>
      <c r="FM190" s="9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135"/>
      <c r="IK190" s="135"/>
      <c r="IL190" s="135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6"/>
      <c r="LL190" s="6"/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6"/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6"/>
      <c r="MT190" s="6"/>
      <c r="MU190" s="6"/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6"/>
      <c r="NL190" s="6"/>
      <c r="NM190" s="6"/>
      <c r="NN190" s="6"/>
      <c r="NO190" s="6"/>
      <c r="NP190" s="6"/>
      <c r="NQ190" s="6"/>
      <c r="NR190" s="6"/>
      <c r="NS190" s="6"/>
      <c r="NT190" s="6"/>
      <c r="NU190" s="6"/>
      <c r="NV190" s="6"/>
    </row>
    <row r="191" spans="1:386" s="19" customFormat="1" ht="20.100000000000001" customHeight="1" x14ac:dyDescent="0.35">
      <c r="A191" s="1"/>
      <c r="B191" s="2"/>
      <c r="C191" s="3"/>
      <c r="D191" s="2"/>
      <c r="E191" s="2"/>
      <c r="F191" s="4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9"/>
      <c r="FL191" s="9"/>
      <c r="FM191" s="9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135"/>
      <c r="IK191" s="135"/>
      <c r="IL191" s="135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</row>
    <row r="192" spans="1:386" s="19" customFormat="1" ht="20.100000000000001" customHeight="1" x14ac:dyDescent="0.35">
      <c r="A192" s="1"/>
      <c r="B192" s="2"/>
      <c r="C192" s="3"/>
      <c r="D192" s="2"/>
      <c r="E192" s="2"/>
      <c r="F192" s="4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9"/>
      <c r="FL192" s="9"/>
      <c r="FM192" s="9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135"/>
      <c r="IK192" s="135"/>
      <c r="IL192" s="135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6"/>
      <c r="KZ192" s="6"/>
      <c r="LA192" s="6"/>
      <c r="LB192" s="6"/>
      <c r="LC192" s="6"/>
      <c r="LD192" s="6"/>
      <c r="LE192" s="6"/>
      <c r="LF192" s="6"/>
      <c r="LG192" s="6"/>
      <c r="LH192" s="6"/>
      <c r="LI192" s="6"/>
      <c r="LJ192" s="6"/>
      <c r="LK192" s="6"/>
      <c r="LL192" s="6"/>
      <c r="LM192" s="6"/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6"/>
      <c r="MC192" s="6"/>
      <c r="MD192" s="6"/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6"/>
      <c r="MT192" s="6"/>
      <c r="MU192" s="6"/>
      <c r="MV192" s="6"/>
      <c r="MW192" s="6"/>
      <c r="MX192" s="6"/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6"/>
      <c r="NL192" s="6"/>
      <c r="NM192" s="6"/>
      <c r="NN192" s="6"/>
      <c r="NO192" s="6"/>
      <c r="NP192" s="6"/>
      <c r="NQ192" s="6"/>
      <c r="NR192" s="6"/>
      <c r="NS192" s="6"/>
      <c r="NT192" s="6"/>
      <c r="NU192" s="6"/>
      <c r="NV192" s="6"/>
    </row>
    <row r="193" spans="1:386" s="19" customFormat="1" ht="20.100000000000001" customHeight="1" x14ac:dyDescent="0.35">
      <c r="A193" s="1"/>
      <c r="B193" s="2"/>
      <c r="C193" s="3"/>
      <c r="D193" s="2"/>
      <c r="E193" s="2"/>
      <c r="F193" s="4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9"/>
      <c r="FL193" s="9"/>
      <c r="FM193" s="9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135"/>
      <c r="IK193" s="135"/>
      <c r="IL193" s="135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6"/>
      <c r="LL193" s="6"/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6"/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6"/>
      <c r="MT193" s="6"/>
      <c r="MU193" s="6"/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6"/>
      <c r="NL193" s="6"/>
      <c r="NM193" s="6"/>
      <c r="NN193" s="6"/>
      <c r="NO193" s="6"/>
      <c r="NP193" s="6"/>
      <c r="NQ193" s="6"/>
      <c r="NR193" s="6"/>
      <c r="NS193" s="6"/>
      <c r="NT193" s="6"/>
      <c r="NU193" s="6"/>
      <c r="NV193" s="6"/>
    </row>
    <row r="194" spans="1:386" s="19" customFormat="1" ht="20.100000000000001" customHeight="1" x14ac:dyDescent="0.35">
      <c r="A194" s="1"/>
      <c r="B194" s="2"/>
      <c r="C194" s="3"/>
      <c r="D194" s="2"/>
      <c r="E194" s="2"/>
      <c r="F194" s="4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9"/>
      <c r="FL194" s="9"/>
      <c r="FM194" s="9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135"/>
      <c r="IK194" s="135"/>
      <c r="IL194" s="135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6"/>
      <c r="KZ194" s="6"/>
      <c r="LA194" s="6"/>
      <c r="LB194" s="6"/>
      <c r="LC194" s="6"/>
      <c r="LD194" s="6"/>
      <c r="LE194" s="6"/>
      <c r="LF194" s="6"/>
      <c r="LG194" s="6"/>
      <c r="LH194" s="6"/>
      <c r="LI194" s="6"/>
      <c r="LJ194" s="6"/>
      <c r="LK194" s="6"/>
      <c r="LL194" s="6"/>
      <c r="LM194" s="6"/>
      <c r="LN194" s="6"/>
      <c r="LO194" s="6"/>
      <c r="LP194" s="6"/>
      <c r="LQ194" s="6"/>
      <c r="LR194" s="6"/>
      <c r="LS194" s="6"/>
      <c r="LT194" s="6"/>
      <c r="LU194" s="6"/>
      <c r="LV194" s="6"/>
      <c r="LW194" s="6"/>
      <c r="LX194" s="6"/>
      <c r="LY194" s="6"/>
      <c r="LZ194" s="6"/>
      <c r="MA194" s="6"/>
      <c r="MB194" s="6"/>
      <c r="MC194" s="6"/>
      <c r="MD194" s="6"/>
      <c r="ME194" s="6"/>
      <c r="MF194" s="6"/>
      <c r="MG194" s="6"/>
      <c r="MH194" s="6"/>
      <c r="MI194" s="6"/>
      <c r="MJ194" s="6"/>
      <c r="MK194" s="6"/>
      <c r="ML194" s="6"/>
      <c r="MM194" s="6"/>
      <c r="MN194" s="6"/>
      <c r="MO194" s="6"/>
      <c r="MP194" s="6"/>
      <c r="MQ194" s="6"/>
      <c r="MR194" s="6"/>
      <c r="MS194" s="6"/>
      <c r="MT194" s="6"/>
      <c r="MU194" s="6"/>
      <c r="MV194" s="6"/>
      <c r="MW194" s="6"/>
      <c r="MX194" s="6"/>
      <c r="MY194" s="6"/>
      <c r="MZ194" s="6"/>
      <c r="NA194" s="6"/>
      <c r="NB194" s="6"/>
      <c r="NC194" s="6"/>
      <c r="ND194" s="6"/>
      <c r="NE194" s="6"/>
      <c r="NF194" s="6"/>
      <c r="NG194" s="6"/>
      <c r="NH194" s="6"/>
      <c r="NI194" s="6"/>
      <c r="NJ194" s="6"/>
      <c r="NK194" s="6"/>
      <c r="NL194" s="6"/>
      <c r="NM194" s="6"/>
      <c r="NN194" s="6"/>
      <c r="NO194" s="6"/>
      <c r="NP194" s="6"/>
      <c r="NQ194" s="6"/>
      <c r="NR194" s="6"/>
      <c r="NS194" s="6"/>
      <c r="NT194" s="6"/>
      <c r="NU194" s="6"/>
      <c r="NV194" s="6"/>
    </row>
    <row r="195" spans="1:386" s="19" customFormat="1" ht="20.100000000000001" customHeight="1" x14ac:dyDescent="0.35">
      <c r="A195" s="1"/>
      <c r="B195" s="2"/>
      <c r="C195" s="3"/>
      <c r="D195" s="2"/>
      <c r="E195" s="2"/>
      <c r="F195" s="4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9"/>
      <c r="FL195" s="9"/>
      <c r="FM195" s="9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135"/>
      <c r="IK195" s="135"/>
      <c r="IL195" s="135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6"/>
      <c r="LL195" s="6"/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6"/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6"/>
      <c r="MT195" s="6"/>
      <c r="MU195" s="6"/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6"/>
      <c r="NL195" s="6"/>
      <c r="NM195" s="6"/>
      <c r="NN195" s="6"/>
      <c r="NO195" s="6"/>
      <c r="NP195" s="6"/>
      <c r="NQ195" s="6"/>
      <c r="NR195" s="6"/>
      <c r="NS195" s="6"/>
      <c r="NT195" s="6"/>
      <c r="NU195" s="6"/>
      <c r="NV195" s="6"/>
    </row>
    <row r="196" spans="1:386" s="19" customFormat="1" ht="20.100000000000001" customHeight="1" x14ac:dyDescent="0.35">
      <c r="A196" s="1"/>
      <c r="B196" s="2"/>
      <c r="C196" s="3"/>
      <c r="D196" s="2"/>
      <c r="E196" s="2"/>
      <c r="F196" s="4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9"/>
      <c r="FL196" s="9"/>
      <c r="FM196" s="9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135"/>
      <c r="IK196" s="135"/>
      <c r="IL196" s="135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6"/>
      <c r="LL196" s="6"/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6"/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6"/>
      <c r="MT196" s="6"/>
      <c r="MU196" s="6"/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6"/>
      <c r="NN196" s="6"/>
      <c r="NO196" s="6"/>
      <c r="NP196" s="6"/>
      <c r="NQ196" s="6"/>
      <c r="NR196" s="6"/>
      <c r="NS196" s="6"/>
      <c r="NT196" s="6"/>
      <c r="NU196" s="6"/>
      <c r="NV196" s="6"/>
    </row>
    <row r="197" spans="1:386" s="19" customFormat="1" ht="20.100000000000001" customHeight="1" x14ac:dyDescent="0.35">
      <c r="A197" s="1"/>
      <c r="B197" s="2"/>
      <c r="C197" s="3"/>
      <c r="D197" s="2"/>
      <c r="E197" s="2"/>
      <c r="F197" s="4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9"/>
      <c r="FL197" s="9"/>
      <c r="FM197" s="9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135"/>
      <c r="IK197" s="135"/>
      <c r="IL197" s="135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6"/>
      <c r="KZ197" s="6"/>
      <c r="LA197" s="6"/>
      <c r="LB197" s="6"/>
      <c r="LC197" s="6"/>
      <c r="LD197" s="6"/>
      <c r="LE197" s="6"/>
      <c r="LF197" s="6"/>
      <c r="LG197" s="6"/>
      <c r="LH197" s="6"/>
      <c r="LI197" s="6"/>
      <c r="LJ197" s="6"/>
      <c r="LK197" s="6"/>
      <c r="LL197" s="6"/>
      <c r="LM197" s="6"/>
      <c r="LN197" s="6"/>
      <c r="LO197" s="6"/>
      <c r="LP197" s="6"/>
      <c r="LQ197" s="6"/>
      <c r="LR197" s="6"/>
      <c r="LS197" s="6"/>
      <c r="LT197" s="6"/>
      <c r="LU197" s="6"/>
      <c r="LV197" s="6"/>
      <c r="LW197" s="6"/>
      <c r="LX197" s="6"/>
      <c r="LY197" s="6"/>
      <c r="LZ197" s="6"/>
      <c r="MA197" s="6"/>
      <c r="MB197" s="6"/>
      <c r="MC197" s="6"/>
      <c r="MD197" s="6"/>
      <c r="ME197" s="6"/>
      <c r="MF197" s="6"/>
      <c r="MG197" s="6"/>
      <c r="MH197" s="6"/>
      <c r="MI197" s="6"/>
      <c r="MJ197" s="6"/>
      <c r="MK197" s="6"/>
      <c r="ML197" s="6"/>
      <c r="MM197" s="6"/>
      <c r="MN197" s="6"/>
      <c r="MO197" s="6"/>
      <c r="MP197" s="6"/>
      <c r="MQ197" s="6"/>
      <c r="MR197" s="6"/>
      <c r="MS197" s="6"/>
      <c r="MT197" s="6"/>
      <c r="MU197" s="6"/>
      <c r="MV197" s="6"/>
      <c r="MW197" s="6"/>
      <c r="MX197" s="6"/>
      <c r="MY197" s="6"/>
      <c r="MZ197" s="6"/>
      <c r="NA197" s="6"/>
      <c r="NB197" s="6"/>
      <c r="NC197" s="6"/>
      <c r="ND197" s="6"/>
      <c r="NE197" s="6"/>
      <c r="NF197" s="6"/>
      <c r="NG197" s="6"/>
      <c r="NH197" s="6"/>
      <c r="NI197" s="6"/>
      <c r="NJ197" s="6"/>
      <c r="NK197" s="6"/>
      <c r="NL197" s="6"/>
      <c r="NM197" s="6"/>
      <c r="NN197" s="6"/>
      <c r="NO197" s="6"/>
      <c r="NP197" s="6"/>
      <c r="NQ197" s="6"/>
      <c r="NR197" s="6"/>
      <c r="NS197" s="6"/>
      <c r="NT197" s="6"/>
      <c r="NU197" s="6"/>
      <c r="NV197" s="6"/>
    </row>
    <row r="198" spans="1:386" s="19" customFormat="1" ht="20.100000000000001" customHeight="1" x14ac:dyDescent="0.35">
      <c r="A198" s="1"/>
      <c r="B198" s="2"/>
      <c r="C198" s="3"/>
      <c r="D198" s="2"/>
      <c r="E198" s="2"/>
      <c r="F198" s="4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9"/>
      <c r="FL198" s="9"/>
      <c r="FM198" s="9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135"/>
      <c r="IK198" s="135"/>
      <c r="IL198" s="135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6"/>
      <c r="LB198" s="6"/>
      <c r="LC198" s="6"/>
      <c r="LD198" s="6"/>
      <c r="LE198" s="6"/>
      <c r="LF198" s="6"/>
      <c r="LG198" s="6"/>
      <c r="LH198" s="6"/>
      <c r="LI198" s="6"/>
      <c r="LJ198" s="6"/>
      <c r="LK198" s="6"/>
      <c r="LL198" s="6"/>
      <c r="LM198" s="6"/>
      <c r="LN198" s="6"/>
      <c r="LO198" s="6"/>
      <c r="LP198" s="6"/>
      <c r="LQ198" s="6"/>
      <c r="LR198" s="6"/>
      <c r="LS198" s="6"/>
      <c r="LT198" s="6"/>
      <c r="LU198" s="6"/>
      <c r="LV198" s="6"/>
      <c r="LW198" s="6"/>
      <c r="LX198" s="6"/>
      <c r="LY198" s="6"/>
      <c r="LZ198" s="6"/>
      <c r="MA198" s="6"/>
      <c r="MB198" s="6"/>
      <c r="MC198" s="6"/>
      <c r="MD198" s="6"/>
      <c r="ME198" s="6"/>
      <c r="MF198" s="6"/>
      <c r="MG198" s="6"/>
      <c r="MH198" s="6"/>
      <c r="MI198" s="6"/>
      <c r="MJ198" s="6"/>
      <c r="MK198" s="6"/>
      <c r="ML198" s="6"/>
      <c r="MM198" s="6"/>
      <c r="MN198" s="6"/>
      <c r="MO198" s="6"/>
      <c r="MP198" s="6"/>
      <c r="MQ198" s="6"/>
      <c r="MR198" s="6"/>
      <c r="MS198" s="6"/>
      <c r="MT198" s="6"/>
      <c r="MU198" s="6"/>
      <c r="MV198" s="6"/>
      <c r="MW198" s="6"/>
      <c r="MX198" s="6"/>
      <c r="MY198" s="6"/>
      <c r="MZ198" s="6"/>
      <c r="NA198" s="6"/>
      <c r="NB198" s="6"/>
      <c r="NC198" s="6"/>
      <c r="ND198" s="6"/>
      <c r="NE198" s="6"/>
      <c r="NF198" s="6"/>
      <c r="NG198" s="6"/>
      <c r="NH198" s="6"/>
      <c r="NI198" s="6"/>
      <c r="NJ198" s="6"/>
      <c r="NK198" s="6"/>
      <c r="NL198" s="6"/>
      <c r="NM198" s="6"/>
      <c r="NN198" s="6"/>
      <c r="NO198" s="6"/>
      <c r="NP198" s="6"/>
      <c r="NQ198" s="6"/>
      <c r="NR198" s="6"/>
      <c r="NS198" s="6"/>
      <c r="NT198" s="6"/>
      <c r="NU198" s="6"/>
      <c r="NV198" s="6"/>
    </row>
    <row r="199" spans="1:386" s="19" customFormat="1" ht="20.100000000000001" customHeight="1" x14ac:dyDescent="0.35">
      <c r="A199" s="1"/>
      <c r="B199" s="2"/>
      <c r="C199" s="3"/>
      <c r="D199" s="2"/>
      <c r="E199" s="2"/>
      <c r="F199" s="4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9"/>
      <c r="FL199" s="9"/>
      <c r="FM199" s="9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135"/>
      <c r="IK199" s="135"/>
      <c r="IL199" s="135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6"/>
      <c r="KZ199" s="6"/>
      <c r="LA199" s="6"/>
      <c r="LB199" s="6"/>
      <c r="LC199" s="6"/>
      <c r="LD199" s="6"/>
      <c r="LE199" s="6"/>
      <c r="LF199" s="6"/>
      <c r="LG199" s="6"/>
      <c r="LH199" s="6"/>
      <c r="LI199" s="6"/>
      <c r="LJ199" s="6"/>
      <c r="LK199" s="6"/>
      <c r="LL199" s="6"/>
      <c r="LM199" s="6"/>
      <c r="LN199" s="6"/>
      <c r="LO199" s="6"/>
      <c r="LP199" s="6"/>
      <c r="LQ199" s="6"/>
      <c r="LR199" s="6"/>
      <c r="LS199" s="6"/>
      <c r="LT199" s="6"/>
      <c r="LU199" s="6"/>
      <c r="LV199" s="6"/>
      <c r="LW199" s="6"/>
      <c r="LX199" s="6"/>
      <c r="LY199" s="6"/>
      <c r="LZ199" s="6"/>
      <c r="MA199" s="6"/>
      <c r="MB199" s="6"/>
      <c r="MC199" s="6"/>
      <c r="MD199" s="6"/>
      <c r="ME199" s="6"/>
      <c r="MF199" s="6"/>
      <c r="MG199" s="6"/>
      <c r="MH199" s="6"/>
      <c r="MI199" s="6"/>
      <c r="MJ199" s="6"/>
      <c r="MK199" s="6"/>
      <c r="ML199" s="6"/>
      <c r="MM199" s="6"/>
      <c r="MN199" s="6"/>
      <c r="MO199" s="6"/>
      <c r="MP199" s="6"/>
      <c r="MQ199" s="6"/>
      <c r="MR199" s="6"/>
      <c r="MS199" s="6"/>
      <c r="MT199" s="6"/>
      <c r="MU199" s="6"/>
      <c r="MV199" s="6"/>
      <c r="MW199" s="6"/>
      <c r="MX199" s="6"/>
      <c r="MY199" s="6"/>
      <c r="MZ199" s="6"/>
      <c r="NA199" s="6"/>
      <c r="NB199" s="6"/>
      <c r="NC199" s="6"/>
      <c r="ND199" s="6"/>
      <c r="NE199" s="6"/>
      <c r="NF199" s="6"/>
      <c r="NG199" s="6"/>
      <c r="NH199" s="6"/>
      <c r="NI199" s="6"/>
      <c r="NJ199" s="6"/>
      <c r="NK199" s="6"/>
      <c r="NL199" s="6"/>
      <c r="NM199" s="6"/>
      <c r="NN199" s="6"/>
      <c r="NO199" s="6"/>
      <c r="NP199" s="6"/>
      <c r="NQ199" s="6"/>
      <c r="NR199" s="6"/>
      <c r="NS199" s="6"/>
      <c r="NT199" s="6"/>
      <c r="NU199" s="6"/>
      <c r="NV199" s="6"/>
    </row>
    <row r="200" spans="1:386" s="19" customFormat="1" ht="20.100000000000001" customHeight="1" x14ac:dyDescent="0.35">
      <c r="A200" s="1"/>
      <c r="B200" s="2"/>
      <c r="C200" s="3"/>
      <c r="D200" s="2"/>
      <c r="E200" s="2"/>
      <c r="F200" s="4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9"/>
      <c r="FL200" s="9"/>
      <c r="FM200" s="9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135"/>
      <c r="IK200" s="135"/>
      <c r="IL200" s="135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6"/>
      <c r="KZ200" s="6"/>
      <c r="LA200" s="6"/>
      <c r="LB200" s="6"/>
      <c r="LC200" s="6"/>
      <c r="LD200" s="6"/>
      <c r="LE200" s="6"/>
      <c r="LF200" s="6"/>
      <c r="LG200" s="6"/>
      <c r="LH200" s="6"/>
      <c r="LI200" s="6"/>
      <c r="LJ200" s="6"/>
      <c r="LK200" s="6"/>
      <c r="LL200" s="6"/>
      <c r="LM200" s="6"/>
      <c r="LN200" s="6"/>
      <c r="LO200" s="6"/>
      <c r="LP200" s="6"/>
      <c r="LQ200" s="6"/>
      <c r="LR200" s="6"/>
      <c r="LS200" s="6"/>
      <c r="LT200" s="6"/>
      <c r="LU200" s="6"/>
      <c r="LV200" s="6"/>
      <c r="LW200" s="6"/>
      <c r="LX200" s="6"/>
      <c r="LY200" s="6"/>
      <c r="LZ200" s="6"/>
      <c r="MA200" s="6"/>
      <c r="MB200" s="6"/>
      <c r="MC200" s="6"/>
      <c r="MD200" s="6"/>
      <c r="ME200" s="6"/>
      <c r="MF200" s="6"/>
      <c r="MG200" s="6"/>
      <c r="MH200" s="6"/>
      <c r="MI200" s="6"/>
      <c r="MJ200" s="6"/>
      <c r="MK200" s="6"/>
      <c r="ML200" s="6"/>
      <c r="MM200" s="6"/>
      <c r="MN200" s="6"/>
      <c r="MO200" s="6"/>
      <c r="MP200" s="6"/>
      <c r="MQ200" s="6"/>
      <c r="MR200" s="6"/>
      <c r="MS200" s="6"/>
      <c r="MT200" s="6"/>
      <c r="MU200" s="6"/>
      <c r="MV200" s="6"/>
      <c r="MW200" s="6"/>
      <c r="MX200" s="6"/>
      <c r="MY200" s="6"/>
      <c r="MZ200" s="6"/>
      <c r="NA200" s="6"/>
      <c r="NB200" s="6"/>
      <c r="NC200" s="6"/>
      <c r="ND200" s="6"/>
      <c r="NE200" s="6"/>
      <c r="NF200" s="6"/>
      <c r="NG200" s="6"/>
      <c r="NH200" s="6"/>
      <c r="NI200" s="6"/>
      <c r="NJ200" s="6"/>
      <c r="NK200" s="6"/>
      <c r="NL200" s="6"/>
      <c r="NM200" s="6"/>
      <c r="NN200" s="6"/>
      <c r="NO200" s="6"/>
      <c r="NP200" s="6"/>
      <c r="NQ200" s="6"/>
      <c r="NR200" s="6"/>
      <c r="NS200" s="6"/>
      <c r="NT200" s="6"/>
      <c r="NU200" s="6"/>
      <c r="NV200" s="6"/>
    </row>
    <row r="201" spans="1:386" s="19" customFormat="1" ht="20.100000000000001" customHeight="1" x14ac:dyDescent="0.35">
      <c r="A201" s="1"/>
      <c r="B201" s="2"/>
      <c r="C201" s="3"/>
      <c r="D201" s="2"/>
      <c r="E201" s="2"/>
      <c r="F201" s="4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9"/>
      <c r="FL201" s="9"/>
      <c r="FM201" s="9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135"/>
      <c r="IK201" s="135"/>
      <c r="IL201" s="135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6"/>
      <c r="LL201" s="6"/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6"/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6"/>
      <c r="MT201" s="6"/>
      <c r="MU201" s="6"/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6"/>
      <c r="NL201" s="6"/>
      <c r="NM201" s="6"/>
      <c r="NN201" s="6"/>
      <c r="NO201" s="6"/>
      <c r="NP201" s="6"/>
      <c r="NQ201" s="6"/>
      <c r="NR201" s="6"/>
      <c r="NS201" s="6"/>
      <c r="NT201" s="6"/>
      <c r="NU201" s="6"/>
      <c r="NV201" s="6"/>
    </row>
    <row r="202" spans="1:386" s="19" customFormat="1" ht="20.100000000000001" customHeight="1" x14ac:dyDescent="0.35">
      <c r="A202" s="1"/>
      <c r="B202" s="2"/>
      <c r="C202" s="3"/>
      <c r="D202" s="2"/>
      <c r="E202" s="2"/>
      <c r="F202" s="4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9"/>
      <c r="FL202" s="9"/>
      <c r="FM202" s="9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135"/>
      <c r="IK202" s="135"/>
      <c r="IL202" s="135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6"/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/>
    </row>
    <row r="203" spans="1:386" s="19" customFormat="1" ht="20.100000000000001" customHeight="1" x14ac:dyDescent="0.35">
      <c r="A203" s="1"/>
      <c r="B203" s="2"/>
      <c r="C203" s="3"/>
      <c r="D203" s="2"/>
      <c r="E203" s="2"/>
      <c r="F203" s="4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9"/>
      <c r="FL203" s="9"/>
      <c r="FM203" s="9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135"/>
      <c r="IK203" s="135"/>
      <c r="IL203" s="135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</row>
    <row r="204" spans="1:386" s="19" customFormat="1" ht="20.100000000000001" customHeight="1" x14ac:dyDescent="0.35">
      <c r="A204" s="1"/>
      <c r="B204" s="2"/>
      <c r="C204" s="3"/>
      <c r="D204" s="2"/>
      <c r="E204" s="2"/>
      <c r="F204" s="4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9"/>
      <c r="FL204" s="9"/>
      <c r="FM204" s="9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135"/>
      <c r="IK204" s="135"/>
      <c r="IL204" s="135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</row>
    <row r="205" spans="1:386" s="19" customFormat="1" ht="20.100000000000001" customHeight="1" x14ac:dyDescent="0.35">
      <c r="A205" s="1"/>
      <c r="B205" s="2"/>
      <c r="C205" s="3"/>
      <c r="D205" s="2"/>
      <c r="E205" s="2"/>
      <c r="F205" s="4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9"/>
      <c r="FL205" s="9"/>
      <c r="FM205" s="9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135"/>
      <c r="IK205" s="135"/>
      <c r="IL205" s="135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6"/>
      <c r="KZ205" s="6"/>
      <c r="LA205" s="6"/>
      <c r="LB205" s="6"/>
      <c r="LC205" s="6"/>
      <c r="LD205" s="6"/>
      <c r="LE205" s="6"/>
      <c r="LF205" s="6"/>
      <c r="LG205" s="6"/>
      <c r="LH205" s="6"/>
      <c r="LI205" s="6"/>
      <c r="LJ205" s="6"/>
      <c r="LK205" s="6"/>
      <c r="LL205" s="6"/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6"/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6"/>
      <c r="MT205" s="6"/>
      <c r="MU205" s="6"/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/>
      <c r="NG205" s="6"/>
      <c r="NH205" s="6"/>
      <c r="NI205" s="6"/>
      <c r="NJ205" s="6"/>
      <c r="NK205" s="6"/>
      <c r="NL205" s="6"/>
      <c r="NM205" s="6"/>
      <c r="NN205" s="6"/>
      <c r="NO205" s="6"/>
      <c r="NP205" s="6"/>
      <c r="NQ205" s="6"/>
      <c r="NR205" s="6"/>
      <c r="NS205" s="6"/>
      <c r="NT205" s="6"/>
      <c r="NU205" s="6"/>
      <c r="NV205" s="6"/>
    </row>
    <row r="206" spans="1:386" s="19" customFormat="1" ht="20.100000000000001" customHeight="1" x14ac:dyDescent="0.35">
      <c r="A206" s="1"/>
      <c r="B206" s="2"/>
      <c r="C206" s="3"/>
      <c r="D206" s="2"/>
      <c r="E206" s="2"/>
      <c r="F206" s="4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9"/>
      <c r="FL206" s="9"/>
      <c r="FM206" s="9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135"/>
      <c r="IK206" s="135"/>
      <c r="IL206" s="135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6"/>
      <c r="KZ206" s="6"/>
      <c r="LA206" s="6"/>
      <c r="LB206" s="6"/>
      <c r="LC206" s="6"/>
      <c r="LD206" s="6"/>
      <c r="LE206" s="6"/>
      <c r="LF206" s="6"/>
      <c r="LG206" s="6"/>
      <c r="LH206" s="6"/>
      <c r="LI206" s="6"/>
      <c r="LJ206" s="6"/>
      <c r="LK206" s="6"/>
      <c r="LL206" s="6"/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6"/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6"/>
      <c r="MT206" s="6"/>
      <c r="MU206" s="6"/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/>
      <c r="NG206" s="6"/>
      <c r="NH206" s="6"/>
      <c r="NI206" s="6"/>
      <c r="NJ206" s="6"/>
      <c r="NK206" s="6"/>
      <c r="NL206" s="6"/>
      <c r="NM206" s="6"/>
      <c r="NN206" s="6"/>
      <c r="NO206" s="6"/>
      <c r="NP206" s="6"/>
      <c r="NQ206" s="6"/>
      <c r="NR206" s="6"/>
      <c r="NS206" s="6"/>
      <c r="NT206" s="6"/>
      <c r="NU206" s="6"/>
      <c r="NV206" s="6"/>
    </row>
    <row r="207" spans="1:386" s="19" customFormat="1" ht="20.100000000000001" customHeight="1" x14ac:dyDescent="0.35">
      <c r="A207" s="1"/>
      <c r="B207" s="2"/>
      <c r="C207" s="3"/>
      <c r="D207" s="2"/>
      <c r="E207" s="2"/>
      <c r="F207" s="4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9"/>
      <c r="FL207" s="9"/>
      <c r="FM207" s="9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135"/>
      <c r="IK207" s="135"/>
      <c r="IL207" s="135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6"/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/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6"/>
      <c r="NL207" s="6"/>
      <c r="NM207" s="6"/>
      <c r="NN207" s="6"/>
      <c r="NO207" s="6"/>
      <c r="NP207" s="6"/>
      <c r="NQ207" s="6"/>
      <c r="NR207" s="6"/>
      <c r="NS207" s="6"/>
      <c r="NT207" s="6"/>
      <c r="NU207" s="6"/>
      <c r="NV207" s="6"/>
    </row>
    <row r="208" spans="1:386" s="19" customFormat="1" ht="20.100000000000001" customHeight="1" x14ac:dyDescent="0.35">
      <c r="A208" s="1"/>
      <c r="B208" s="2"/>
      <c r="C208" s="3"/>
      <c r="D208" s="2"/>
      <c r="E208" s="2"/>
      <c r="F208" s="4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9"/>
      <c r="FL208" s="9"/>
      <c r="FM208" s="9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135"/>
      <c r="IK208" s="135"/>
      <c r="IL208" s="135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6"/>
      <c r="LL208" s="6"/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6"/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6"/>
      <c r="MT208" s="6"/>
      <c r="MU208" s="6"/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6"/>
      <c r="NN208" s="6"/>
      <c r="NO208" s="6"/>
      <c r="NP208" s="6"/>
      <c r="NQ208" s="6"/>
      <c r="NR208" s="6"/>
      <c r="NS208" s="6"/>
      <c r="NT208" s="6"/>
      <c r="NU208" s="6"/>
      <c r="NV208" s="6"/>
    </row>
    <row r="209" spans="1:386" s="19" customFormat="1" ht="20.100000000000001" customHeight="1" x14ac:dyDescent="0.35">
      <c r="A209" s="1"/>
      <c r="B209" s="2"/>
      <c r="C209" s="3"/>
      <c r="D209" s="2"/>
      <c r="E209" s="2"/>
      <c r="F209" s="4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9"/>
      <c r="FL209" s="9"/>
      <c r="FM209" s="9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135"/>
      <c r="IK209" s="135"/>
      <c r="IL209" s="135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6"/>
      <c r="LL209" s="6"/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6"/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6"/>
      <c r="MT209" s="6"/>
      <c r="MU209" s="6"/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6"/>
      <c r="NL209" s="6"/>
      <c r="NM209" s="6"/>
      <c r="NN209" s="6"/>
      <c r="NO209" s="6"/>
      <c r="NP209" s="6"/>
      <c r="NQ209" s="6"/>
      <c r="NR209" s="6"/>
      <c r="NS209" s="6"/>
      <c r="NT209" s="6"/>
      <c r="NU209" s="6"/>
      <c r="NV209" s="6"/>
    </row>
    <row r="210" spans="1:386" s="19" customFormat="1" ht="20.100000000000001" customHeight="1" x14ac:dyDescent="0.35">
      <c r="A210" s="1"/>
      <c r="B210" s="2"/>
      <c r="C210" s="3"/>
      <c r="D210" s="2"/>
      <c r="E210" s="2"/>
      <c r="F210" s="4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9"/>
      <c r="FL210" s="9"/>
      <c r="FM210" s="9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135"/>
      <c r="IK210" s="135"/>
      <c r="IL210" s="135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6"/>
      <c r="KZ210" s="6"/>
      <c r="LA210" s="6"/>
      <c r="LB210" s="6"/>
      <c r="LC210" s="6"/>
      <c r="LD210" s="6"/>
      <c r="LE210" s="6"/>
      <c r="LF210" s="6"/>
      <c r="LG210" s="6"/>
      <c r="LH210" s="6"/>
      <c r="LI210" s="6"/>
      <c r="LJ210" s="6"/>
      <c r="LK210" s="6"/>
      <c r="LL210" s="6"/>
      <c r="LM210" s="6"/>
      <c r="LN210" s="6"/>
      <c r="LO210" s="6"/>
      <c r="LP210" s="6"/>
      <c r="LQ210" s="6"/>
      <c r="LR210" s="6"/>
      <c r="LS210" s="6"/>
      <c r="LT210" s="6"/>
      <c r="LU210" s="6"/>
      <c r="LV210" s="6"/>
      <c r="LW210" s="6"/>
      <c r="LX210" s="6"/>
      <c r="LY210" s="6"/>
      <c r="LZ210" s="6"/>
      <c r="MA210" s="6"/>
      <c r="MB210" s="6"/>
      <c r="MC210" s="6"/>
      <c r="MD210" s="6"/>
      <c r="ME210" s="6"/>
      <c r="MF210" s="6"/>
      <c r="MG210" s="6"/>
      <c r="MH210" s="6"/>
      <c r="MI210" s="6"/>
      <c r="MJ210" s="6"/>
      <c r="MK210" s="6"/>
      <c r="ML210" s="6"/>
      <c r="MM210" s="6"/>
      <c r="MN210" s="6"/>
      <c r="MO210" s="6"/>
      <c r="MP210" s="6"/>
      <c r="MQ210" s="6"/>
      <c r="MR210" s="6"/>
      <c r="MS210" s="6"/>
      <c r="MT210" s="6"/>
      <c r="MU210" s="6"/>
      <c r="MV210" s="6"/>
      <c r="MW210" s="6"/>
      <c r="MX210" s="6"/>
      <c r="MY210" s="6"/>
      <c r="MZ210" s="6"/>
      <c r="NA210" s="6"/>
      <c r="NB210" s="6"/>
      <c r="NC210" s="6"/>
      <c r="ND210" s="6"/>
      <c r="NE210" s="6"/>
      <c r="NF210" s="6"/>
      <c r="NG210" s="6"/>
      <c r="NH210" s="6"/>
      <c r="NI210" s="6"/>
      <c r="NJ210" s="6"/>
      <c r="NK210" s="6"/>
      <c r="NL210" s="6"/>
      <c r="NM210" s="6"/>
      <c r="NN210" s="6"/>
      <c r="NO210" s="6"/>
      <c r="NP210" s="6"/>
      <c r="NQ210" s="6"/>
      <c r="NR210" s="6"/>
      <c r="NS210" s="6"/>
      <c r="NT210" s="6"/>
      <c r="NU210" s="6"/>
      <c r="NV210" s="6"/>
    </row>
    <row r="211" spans="1:386" s="19" customFormat="1" ht="20.100000000000001" customHeight="1" x14ac:dyDescent="0.35">
      <c r="A211" s="1"/>
      <c r="B211" s="2"/>
      <c r="C211" s="3"/>
      <c r="D211" s="2"/>
      <c r="E211" s="2"/>
      <c r="F211" s="4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9"/>
      <c r="FL211" s="9"/>
      <c r="FM211" s="9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135"/>
      <c r="IK211" s="135"/>
      <c r="IL211" s="135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6"/>
      <c r="KZ211" s="6"/>
      <c r="LA211" s="6"/>
      <c r="LB211" s="6"/>
      <c r="LC211" s="6"/>
      <c r="LD211" s="6"/>
      <c r="LE211" s="6"/>
      <c r="LF211" s="6"/>
      <c r="LG211" s="6"/>
      <c r="LH211" s="6"/>
      <c r="LI211" s="6"/>
      <c r="LJ211" s="6"/>
      <c r="LK211" s="6"/>
      <c r="LL211" s="6"/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6"/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6"/>
      <c r="MN211" s="6"/>
      <c r="MO211" s="6"/>
      <c r="MP211" s="6"/>
      <c r="MQ211" s="6"/>
      <c r="MR211" s="6"/>
      <c r="MS211" s="6"/>
      <c r="MT211" s="6"/>
      <c r="MU211" s="6"/>
      <c r="MV211" s="6"/>
      <c r="MW211" s="6"/>
      <c r="MX211" s="6"/>
      <c r="MY211" s="6"/>
      <c r="MZ211" s="6"/>
      <c r="NA211" s="6"/>
      <c r="NB211" s="6"/>
      <c r="NC211" s="6"/>
      <c r="ND211" s="6"/>
      <c r="NE211" s="6"/>
      <c r="NF211" s="6"/>
      <c r="NG211" s="6"/>
      <c r="NH211" s="6"/>
      <c r="NI211" s="6"/>
      <c r="NJ211" s="6"/>
      <c r="NK211" s="6"/>
      <c r="NL211" s="6"/>
      <c r="NM211" s="6"/>
      <c r="NN211" s="6"/>
      <c r="NO211" s="6"/>
      <c r="NP211" s="6"/>
      <c r="NQ211" s="6"/>
      <c r="NR211" s="6"/>
      <c r="NS211" s="6"/>
      <c r="NT211" s="6"/>
      <c r="NU211" s="6"/>
      <c r="NV211" s="6"/>
    </row>
    <row r="212" spans="1:386" s="19" customFormat="1" ht="20.100000000000001" customHeight="1" x14ac:dyDescent="0.35">
      <c r="A212" s="1"/>
      <c r="B212" s="2"/>
      <c r="C212" s="3"/>
      <c r="D212" s="2"/>
      <c r="E212" s="2"/>
      <c r="F212" s="4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9"/>
      <c r="FL212" s="9"/>
      <c r="FM212" s="9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135"/>
      <c r="IK212" s="135"/>
      <c r="IL212" s="135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6"/>
      <c r="KZ212" s="6"/>
      <c r="LA212" s="6"/>
      <c r="LB212" s="6"/>
      <c r="LC212" s="6"/>
      <c r="LD212" s="6"/>
      <c r="LE212" s="6"/>
      <c r="LF212" s="6"/>
      <c r="LG212" s="6"/>
      <c r="LH212" s="6"/>
      <c r="LI212" s="6"/>
      <c r="LJ212" s="6"/>
      <c r="LK212" s="6"/>
      <c r="LL212" s="6"/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6"/>
      <c r="LY212" s="6"/>
      <c r="LZ212" s="6"/>
      <c r="MA212" s="6"/>
      <c r="MB212" s="6"/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6"/>
      <c r="MN212" s="6"/>
      <c r="MO212" s="6"/>
      <c r="MP212" s="6"/>
      <c r="MQ212" s="6"/>
      <c r="MR212" s="6"/>
      <c r="MS212" s="6"/>
      <c r="MT212" s="6"/>
      <c r="MU212" s="6"/>
      <c r="MV212" s="6"/>
      <c r="MW212" s="6"/>
      <c r="MX212" s="6"/>
      <c r="MY212" s="6"/>
      <c r="MZ212" s="6"/>
      <c r="NA212" s="6"/>
      <c r="NB212" s="6"/>
      <c r="NC212" s="6"/>
      <c r="ND212" s="6"/>
      <c r="NE212" s="6"/>
      <c r="NF212" s="6"/>
      <c r="NG212" s="6"/>
      <c r="NH212" s="6"/>
      <c r="NI212" s="6"/>
      <c r="NJ212" s="6"/>
      <c r="NK212" s="6"/>
      <c r="NL212" s="6"/>
      <c r="NM212" s="6"/>
      <c r="NN212" s="6"/>
      <c r="NO212" s="6"/>
      <c r="NP212" s="6"/>
      <c r="NQ212" s="6"/>
      <c r="NR212" s="6"/>
      <c r="NS212" s="6"/>
      <c r="NT212" s="6"/>
      <c r="NU212" s="6"/>
      <c r="NV212" s="6"/>
    </row>
    <row r="213" spans="1:386" s="19" customFormat="1" ht="20.100000000000001" customHeight="1" x14ac:dyDescent="0.35">
      <c r="A213" s="1"/>
      <c r="B213" s="2"/>
      <c r="C213" s="3"/>
      <c r="D213" s="2"/>
      <c r="E213" s="2"/>
      <c r="F213" s="4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9"/>
      <c r="FL213" s="9"/>
      <c r="FM213" s="9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135"/>
      <c r="IK213" s="135"/>
      <c r="IL213" s="135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6"/>
      <c r="KZ213" s="6"/>
      <c r="LA213" s="6"/>
      <c r="LB213" s="6"/>
      <c r="LC213" s="6"/>
      <c r="LD213" s="6"/>
      <c r="LE213" s="6"/>
      <c r="LF213" s="6"/>
      <c r="LG213" s="6"/>
      <c r="LH213" s="6"/>
      <c r="LI213" s="6"/>
      <c r="LJ213" s="6"/>
      <c r="LK213" s="6"/>
      <c r="LL213" s="6"/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6"/>
      <c r="LY213" s="6"/>
      <c r="LZ213" s="6"/>
      <c r="MA213" s="6"/>
      <c r="MB213" s="6"/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6"/>
      <c r="MN213" s="6"/>
      <c r="MO213" s="6"/>
      <c r="MP213" s="6"/>
      <c r="MQ213" s="6"/>
      <c r="MR213" s="6"/>
      <c r="MS213" s="6"/>
      <c r="MT213" s="6"/>
      <c r="MU213" s="6"/>
      <c r="MV213" s="6"/>
      <c r="MW213" s="6"/>
      <c r="MX213" s="6"/>
      <c r="MY213" s="6"/>
      <c r="MZ213" s="6"/>
      <c r="NA213" s="6"/>
      <c r="NB213" s="6"/>
      <c r="NC213" s="6"/>
      <c r="ND213" s="6"/>
      <c r="NE213" s="6"/>
      <c r="NF213" s="6"/>
      <c r="NG213" s="6"/>
      <c r="NH213" s="6"/>
      <c r="NI213" s="6"/>
      <c r="NJ213" s="6"/>
      <c r="NK213" s="6"/>
      <c r="NL213" s="6"/>
      <c r="NM213" s="6"/>
      <c r="NN213" s="6"/>
      <c r="NO213" s="6"/>
      <c r="NP213" s="6"/>
      <c r="NQ213" s="6"/>
      <c r="NR213" s="6"/>
      <c r="NS213" s="6"/>
      <c r="NT213" s="6"/>
      <c r="NU213" s="6"/>
      <c r="NV213" s="6"/>
    </row>
    <row r="214" spans="1:386" s="19" customFormat="1" ht="20.100000000000001" customHeight="1" x14ac:dyDescent="0.35">
      <c r="A214" s="1"/>
      <c r="B214" s="2"/>
      <c r="C214" s="3"/>
      <c r="D214" s="2"/>
      <c r="E214" s="2"/>
      <c r="F214" s="4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9"/>
      <c r="FL214" s="9"/>
      <c r="FM214" s="9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135"/>
      <c r="IK214" s="135"/>
      <c r="IL214" s="135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/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</row>
    <row r="215" spans="1:386" s="19" customFormat="1" ht="20.100000000000001" customHeight="1" x14ac:dyDescent="0.35">
      <c r="A215" s="1"/>
      <c r="B215" s="2"/>
      <c r="C215" s="3"/>
      <c r="D215" s="2"/>
      <c r="E215" s="2"/>
      <c r="F215" s="4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9"/>
      <c r="FL215" s="9"/>
      <c r="FM215" s="9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135"/>
      <c r="IK215" s="135"/>
      <c r="IL215" s="135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/>
      <c r="LB215" s="6"/>
      <c r="LC215" s="6"/>
      <c r="LD215" s="6"/>
      <c r="LE215" s="6"/>
      <c r="LF215" s="6"/>
      <c r="LG215" s="6"/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6"/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6"/>
      <c r="MN215" s="6"/>
      <c r="MO215" s="6"/>
      <c r="MP215" s="6"/>
      <c r="MQ215" s="6"/>
      <c r="MR215" s="6"/>
      <c r="MS215" s="6"/>
      <c r="MT215" s="6"/>
      <c r="MU215" s="6"/>
      <c r="MV215" s="6"/>
      <c r="MW215" s="6"/>
      <c r="MX215" s="6"/>
      <c r="MY215" s="6"/>
      <c r="MZ215" s="6"/>
      <c r="NA215" s="6"/>
      <c r="NB215" s="6"/>
      <c r="NC215" s="6"/>
      <c r="ND215" s="6"/>
      <c r="NE215" s="6"/>
      <c r="NF215" s="6"/>
      <c r="NG215" s="6"/>
      <c r="NH215" s="6"/>
      <c r="NI215" s="6"/>
      <c r="NJ215" s="6"/>
      <c r="NK215" s="6"/>
      <c r="NL215" s="6"/>
      <c r="NM215" s="6"/>
      <c r="NN215" s="6"/>
      <c r="NO215" s="6"/>
      <c r="NP215" s="6"/>
      <c r="NQ215" s="6"/>
      <c r="NR215" s="6"/>
      <c r="NS215" s="6"/>
      <c r="NT215" s="6"/>
      <c r="NU215" s="6"/>
      <c r="NV215" s="6"/>
    </row>
    <row r="216" spans="1:386" s="19" customFormat="1" ht="20.100000000000001" customHeight="1" x14ac:dyDescent="0.35">
      <c r="A216" s="1"/>
      <c r="B216" s="2"/>
      <c r="C216" s="3"/>
      <c r="D216" s="2"/>
      <c r="E216" s="2"/>
      <c r="F216" s="4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9"/>
      <c r="FL216" s="9"/>
      <c r="FM216" s="9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135"/>
      <c r="IK216" s="135"/>
      <c r="IL216" s="135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/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</row>
    <row r="217" spans="1:386" s="19" customFormat="1" ht="20.100000000000001" customHeight="1" x14ac:dyDescent="0.35">
      <c r="A217" s="1"/>
      <c r="B217" s="2"/>
      <c r="C217" s="3"/>
      <c r="D217" s="2"/>
      <c r="E217" s="2"/>
      <c r="F217" s="4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9"/>
      <c r="FL217" s="9"/>
      <c r="FM217" s="9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135"/>
      <c r="IK217" s="135"/>
      <c r="IL217" s="135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</row>
    <row r="218" spans="1:386" s="19" customFormat="1" ht="20.100000000000001" customHeight="1" x14ac:dyDescent="0.35">
      <c r="A218" s="1"/>
      <c r="B218" s="2"/>
      <c r="C218" s="3"/>
      <c r="D218" s="2"/>
      <c r="E218" s="2"/>
      <c r="F218" s="4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9"/>
      <c r="FL218" s="9"/>
      <c r="FM218" s="9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135"/>
      <c r="IK218" s="135"/>
      <c r="IL218" s="135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</row>
    <row r="219" spans="1:386" s="19" customFormat="1" ht="20.100000000000001" customHeight="1" x14ac:dyDescent="0.35">
      <c r="A219" s="1"/>
      <c r="B219" s="2"/>
      <c r="C219" s="3"/>
      <c r="D219" s="2"/>
      <c r="E219" s="2"/>
      <c r="F219" s="4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9"/>
      <c r="FL219" s="9"/>
      <c r="FM219" s="9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135"/>
      <c r="IK219" s="135"/>
      <c r="IL219" s="135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</row>
    <row r="220" spans="1:386" s="19" customFormat="1" ht="20.100000000000001" customHeight="1" x14ac:dyDescent="0.35">
      <c r="A220" s="1"/>
      <c r="B220" s="2"/>
      <c r="C220" s="3"/>
      <c r="D220" s="2"/>
      <c r="E220" s="2"/>
      <c r="F220" s="4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9"/>
      <c r="FL220" s="9"/>
      <c r="FM220" s="9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135"/>
      <c r="IK220" s="135"/>
      <c r="IL220" s="135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/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/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</row>
    <row r="221" spans="1:386" s="19" customFormat="1" ht="20.100000000000001" customHeight="1" x14ac:dyDescent="0.35">
      <c r="A221" s="1"/>
      <c r="B221" s="2"/>
      <c r="C221" s="3"/>
      <c r="D221" s="2"/>
      <c r="E221" s="2"/>
      <c r="F221" s="4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9"/>
      <c r="FL221" s="9"/>
      <c r="FM221" s="9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135"/>
      <c r="IK221" s="135"/>
      <c r="IL221" s="135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6"/>
      <c r="KZ221" s="6"/>
      <c r="LA221" s="6"/>
      <c r="LB221" s="6"/>
      <c r="LC221" s="6"/>
      <c r="LD221" s="6"/>
      <c r="LE221" s="6"/>
      <c r="LF221" s="6"/>
      <c r="LG221" s="6"/>
      <c r="LH221" s="6"/>
      <c r="LI221" s="6"/>
      <c r="LJ221" s="6"/>
      <c r="LK221" s="6"/>
      <c r="LL221" s="6"/>
      <c r="LM221" s="6"/>
      <c r="LN221" s="6"/>
      <c r="LO221" s="6"/>
      <c r="LP221" s="6"/>
      <c r="LQ221" s="6"/>
      <c r="LR221" s="6"/>
      <c r="LS221" s="6"/>
      <c r="LT221" s="6"/>
      <c r="LU221" s="6"/>
      <c r="LV221" s="6"/>
      <c r="LW221" s="6"/>
      <c r="LX221" s="6"/>
      <c r="LY221" s="6"/>
      <c r="LZ221" s="6"/>
      <c r="MA221" s="6"/>
      <c r="MB221" s="6"/>
      <c r="MC221" s="6"/>
      <c r="MD221" s="6"/>
      <c r="ME221" s="6"/>
      <c r="MF221" s="6"/>
      <c r="MG221" s="6"/>
      <c r="MH221" s="6"/>
      <c r="MI221" s="6"/>
      <c r="MJ221" s="6"/>
      <c r="MK221" s="6"/>
      <c r="ML221" s="6"/>
      <c r="MM221" s="6"/>
      <c r="MN221" s="6"/>
      <c r="MO221" s="6"/>
      <c r="MP221" s="6"/>
      <c r="MQ221" s="6"/>
      <c r="MR221" s="6"/>
      <c r="MS221" s="6"/>
      <c r="MT221" s="6"/>
      <c r="MU221" s="6"/>
      <c r="MV221" s="6"/>
      <c r="MW221" s="6"/>
      <c r="MX221" s="6"/>
      <c r="MY221" s="6"/>
      <c r="MZ221" s="6"/>
      <c r="NA221" s="6"/>
      <c r="NB221" s="6"/>
      <c r="NC221" s="6"/>
      <c r="ND221" s="6"/>
      <c r="NE221" s="6"/>
      <c r="NF221" s="6"/>
      <c r="NG221" s="6"/>
      <c r="NH221" s="6"/>
      <c r="NI221" s="6"/>
      <c r="NJ221" s="6"/>
      <c r="NK221" s="6"/>
      <c r="NL221" s="6"/>
      <c r="NM221" s="6"/>
      <c r="NN221" s="6"/>
      <c r="NO221" s="6"/>
      <c r="NP221" s="6"/>
      <c r="NQ221" s="6"/>
      <c r="NR221" s="6"/>
      <c r="NS221" s="6"/>
      <c r="NT221" s="6"/>
      <c r="NU221" s="6"/>
      <c r="NV221" s="6"/>
    </row>
    <row r="222" spans="1:386" s="19" customFormat="1" ht="20.100000000000001" customHeight="1" x14ac:dyDescent="0.35">
      <c r="A222" s="1"/>
      <c r="B222" s="2"/>
      <c r="C222" s="3"/>
      <c r="D222" s="2"/>
      <c r="E222" s="2"/>
      <c r="F222" s="4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9"/>
      <c r="FL222" s="9"/>
      <c r="FM222" s="9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135"/>
      <c r="IK222" s="135"/>
      <c r="IL222" s="135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/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/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</row>
    <row r="223" spans="1:386" s="19" customFormat="1" ht="20.100000000000001" customHeight="1" x14ac:dyDescent="0.35">
      <c r="A223" s="1"/>
      <c r="B223" s="2"/>
      <c r="C223" s="3"/>
      <c r="D223" s="2"/>
      <c r="E223" s="2"/>
      <c r="F223" s="4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9"/>
      <c r="FL223" s="9"/>
      <c r="FM223" s="9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135"/>
      <c r="IK223" s="135"/>
      <c r="IL223" s="135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6"/>
      <c r="KZ223" s="6"/>
      <c r="LA223" s="6"/>
      <c r="LB223" s="6"/>
      <c r="LC223" s="6"/>
      <c r="LD223" s="6"/>
      <c r="LE223" s="6"/>
      <c r="LF223" s="6"/>
      <c r="LG223" s="6"/>
      <c r="LH223" s="6"/>
      <c r="LI223" s="6"/>
      <c r="LJ223" s="6"/>
      <c r="LK223" s="6"/>
      <c r="LL223" s="6"/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6"/>
      <c r="LY223" s="6"/>
      <c r="LZ223" s="6"/>
      <c r="MA223" s="6"/>
      <c r="MB223" s="6"/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6"/>
      <c r="MN223" s="6"/>
      <c r="MO223" s="6"/>
      <c r="MP223" s="6"/>
      <c r="MQ223" s="6"/>
      <c r="MR223" s="6"/>
      <c r="MS223" s="6"/>
      <c r="MT223" s="6"/>
      <c r="MU223" s="6"/>
      <c r="MV223" s="6"/>
      <c r="MW223" s="6"/>
      <c r="MX223" s="6"/>
      <c r="MY223" s="6"/>
      <c r="MZ223" s="6"/>
      <c r="NA223" s="6"/>
      <c r="NB223" s="6"/>
      <c r="NC223" s="6"/>
      <c r="ND223" s="6"/>
      <c r="NE223" s="6"/>
      <c r="NF223" s="6"/>
      <c r="NG223" s="6"/>
      <c r="NH223" s="6"/>
      <c r="NI223" s="6"/>
      <c r="NJ223" s="6"/>
      <c r="NK223" s="6"/>
      <c r="NL223" s="6"/>
      <c r="NM223" s="6"/>
      <c r="NN223" s="6"/>
      <c r="NO223" s="6"/>
      <c r="NP223" s="6"/>
      <c r="NQ223" s="6"/>
      <c r="NR223" s="6"/>
      <c r="NS223" s="6"/>
      <c r="NT223" s="6"/>
      <c r="NU223" s="6"/>
      <c r="NV223" s="6"/>
    </row>
    <row r="224" spans="1:386" s="19" customFormat="1" ht="20.100000000000001" customHeight="1" x14ac:dyDescent="0.35">
      <c r="A224" s="1"/>
      <c r="B224" s="2"/>
      <c r="C224" s="3"/>
      <c r="D224" s="2"/>
      <c r="E224" s="2"/>
      <c r="F224" s="4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9"/>
      <c r="FL224" s="9"/>
      <c r="FM224" s="9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135"/>
      <c r="IK224" s="135"/>
      <c r="IL224" s="135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6"/>
      <c r="KZ224" s="6"/>
      <c r="LA224" s="6"/>
      <c r="LB224" s="6"/>
      <c r="LC224" s="6"/>
      <c r="LD224" s="6"/>
      <c r="LE224" s="6"/>
      <c r="LF224" s="6"/>
      <c r="LG224" s="6"/>
      <c r="LH224" s="6"/>
      <c r="LI224" s="6"/>
      <c r="LJ224" s="6"/>
      <c r="LK224" s="6"/>
      <c r="LL224" s="6"/>
      <c r="LM224" s="6"/>
      <c r="LN224" s="6"/>
      <c r="LO224" s="6"/>
      <c r="LP224" s="6"/>
      <c r="LQ224" s="6"/>
      <c r="LR224" s="6"/>
      <c r="LS224" s="6"/>
      <c r="LT224" s="6"/>
      <c r="LU224" s="6"/>
      <c r="LV224" s="6"/>
      <c r="LW224" s="6"/>
      <c r="LX224" s="6"/>
      <c r="LY224" s="6"/>
      <c r="LZ224" s="6"/>
      <c r="MA224" s="6"/>
      <c r="MB224" s="6"/>
      <c r="MC224" s="6"/>
      <c r="MD224" s="6"/>
      <c r="ME224" s="6"/>
      <c r="MF224" s="6"/>
      <c r="MG224" s="6"/>
      <c r="MH224" s="6"/>
      <c r="MI224" s="6"/>
      <c r="MJ224" s="6"/>
      <c r="MK224" s="6"/>
      <c r="ML224" s="6"/>
      <c r="MM224" s="6"/>
      <c r="MN224" s="6"/>
      <c r="MO224" s="6"/>
      <c r="MP224" s="6"/>
      <c r="MQ224" s="6"/>
      <c r="MR224" s="6"/>
      <c r="MS224" s="6"/>
      <c r="MT224" s="6"/>
      <c r="MU224" s="6"/>
      <c r="MV224" s="6"/>
      <c r="MW224" s="6"/>
      <c r="MX224" s="6"/>
      <c r="MY224" s="6"/>
      <c r="MZ224" s="6"/>
      <c r="NA224" s="6"/>
      <c r="NB224" s="6"/>
      <c r="NC224" s="6"/>
      <c r="ND224" s="6"/>
      <c r="NE224" s="6"/>
      <c r="NF224" s="6"/>
      <c r="NG224" s="6"/>
      <c r="NH224" s="6"/>
      <c r="NI224" s="6"/>
      <c r="NJ224" s="6"/>
      <c r="NK224" s="6"/>
      <c r="NL224" s="6"/>
      <c r="NM224" s="6"/>
      <c r="NN224" s="6"/>
      <c r="NO224" s="6"/>
      <c r="NP224" s="6"/>
      <c r="NQ224" s="6"/>
      <c r="NR224" s="6"/>
      <c r="NS224" s="6"/>
      <c r="NT224" s="6"/>
      <c r="NU224" s="6"/>
      <c r="NV224" s="6"/>
    </row>
    <row r="225" spans="1:386" s="19" customFormat="1" ht="20.100000000000001" customHeight="1" x14ac:dyDescent="0.35">
      <c r="A225" s="1"/>
      <c r="B225" s="2"/>
      <c r="C225" s="3"/>
      <c r="D225" s="2"/>
      <c r="E225" s="2"/>
      <c r="F225" s="4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9"/>
      <c r="FL225" s="9"/>
      <c r="FM225" s="9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135"/>
      <c r="IK225" s="135"/>
      <c r="IL225" s="135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6"/>
      <c r="KZ225" s="6"/>
      <c r="LA225" s="6"/>
      <c r="LB225" s="6"/>
      <c r="LC225" s="6"/>
      <c r="LD225" s="6"/>
      <c r="LE225" s="6"/>
      <c r="LF225" s="6"/>
      <c r="LG225" s="6"/>
      <c r="LH225" s="6"/>
      <c r="LI225" s="6"/>
      <c r="LJ225" s="6"/>
      <c r="LK225" s="6"/>
      <c r="LL225" s="6"/>
      <c r="LM225" s="6"/>
      <c r="LN225" s="6"/>
      <c r="LO225" s="6"/>
      <c r="LP225" s="6"/>
      <c r="LQ225" s="6"/>
      <c r="LR225" s="6"/>
      <c r="LS225" s="6"/>
      <c r="LT225" s="6"/>
      <c r="LU225" s="6"/>
      <c r="LV225" s="6"/>
      <c r="LW225" s="6"/>
      <c r="LX225" s="6"/>
      <c r="LY225" s="6"/>
      <c r="LZ225" s="6"/>
      <c r="MA225" s="6"/>
      <c r="MB225" s="6"/>
      <c r="MC225" s="6"/>
      <c r="MD225" s="6"/>
      <c r="ME225" s="6"/>
      <c r="MF225" s="6"/>
      <c r="MG225" s="6"/>
      <c r="MH225" s="6"/>
      <c r="MI225" s="6"/>
      <c r="MJ225" s="6"/>
      <c r="MK225" s="6"/>
      <c r="ML225" s="6"/>
      <c r="MM225" s="6"/>
      <c r="MN225" s="6"/>
      <c r="MO225" s="6"/>
      <c r="MP225" s="6"/>
      <c r="MQ225" s="6"/>
      <c r="MR225" s="6"/>
      <c r="MS225" s="6"/>
      <c r="MT225" s="6"/>
      <c r="MU225" s="6"/>
      <c r="MV225" s="6"/>
      <c r="MW225" s="6"/>
      <c r="MX225" s="6"/>
      <c r="MY225" s="6"/>
      <c r="MZ225" s="6"/>
      <c r="NA225" s="6"/>
      <c r="NB225" s="6"/>
      <c r="NC225" s="6"/>
      <c r="ND225" s="6"/>
      <c r="NE225" s="6"/>
      <c r="NF225" s="6"/>
      <c r="NG225" s="6"/>
      <c r="NH225" s="6"/>
      <c r="NI225" s="6"/>
      <c r="NJ225" s="6"/>
      <c r="NK225" s="6"/>
      <c r="NL225" s="6"/>
      <c r="NM225" s="6"/>
      <c r="NN225" s="6"/>
      <c r="NO225" s="6"/>
      <c r="NP225" s="6"/>
      <c r="NQ225" s="6"/>
      <c r="NR225" s="6"/>
      <c r="NS225" s="6"/>
      <c r="NT225" s="6"/>
      <c r="NU225" s="6"/>
      <c r="NV225" s="6"/>
    </row>
    <row r="226" spans="1:386" s="19" customFormat="1" ht="20.100000000000001" customHeight="1" x14ac:dyDescent="0.35">
      <c r="A226" s="1"/>
      <c r="B226" s="2"/>
      <c r="C226" s="3"/>
      <c r="D226" s="2"/>
      <c r="E226" s="2"/>
      <c r="F226" s="4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9"/>
      <c r="FL226" s="9"/>
      <c r="FM226" s="9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135"/>
      <c r="IK226" s="135"/>
      <c r="IL226" s="135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6"/>
      <c r="KZ226" s="6"/>
      <c r="LA226" s="6"/>
      <c r="LB226" s="6"/>
      <c r="LC226" s="6"/>
      <c r="LD226" s="6"/>
      <c r="LE226" s="6"/>
      <c r="LF226" s="6"/>
      <c r="LG226" s="6"/>
      <c r="LH226" s="6"/>
      <c r="LI226" s="6"/>
      <c r="LJ226" s="6"/>
      <c r="LK226" s="6"/>
      <c r="LL226" s="6"/>
      <c r="LM226" s="6"/>
      <c r="LN226" s="6"/>
      <c r="LO226" s="6"/>
      <c r="LP226" s="6"/>
      <c r="LQ226" s="6"/>
      <c r="LR226" s="6"/>
      <c r="LS226" s="6"/>
      <c r="LT226" s="6"/>
      <c r="LU226" s="6"/>
      <c r="LV226" s="6"/>
      <c r="LW226" s="6"/>
      <c r="LX226" s="6"/>
      <c r="LY226" s="6"/>
      <c r="LZ226" s="6"/>
      <c r="MA226" s="6"/>
      <c r="MB226" s="6"/>
      <c r="MC226" s="6"/>
      <c r="MD226" s="6"/>
      <c r="ME226" s="6"/>
      <c r="MF226" s="6"/>
      <c r="MG226" s="6"/>
      <c r="MH226" s="6"/>
      <c r="MI226" s="6"/>
      <c r="MJ226" s="6"/>
      <c r="MK226" s="6"/>
      <c r="ML226" s="6"/>
      <c r="MM226" s="6"/>
      <c r="MN226" s="6"/>
      <c r="MO226" s="6"/>
      <c r="MP226" s="6"/>
      <c r="MQ226" s="6"/>
      <c r="MR226" s="6"/>
      <c r="MS226" s="6"/>
      <c r="MT226" s="6"/>
      <c r="MU226" s="6"/>
      <c r="MV226" s="6"/>
      <c r="MW226" s="6"/>
      <c r="MX226" s="6"/>
      <c r="MY226" s="6"/>
      <c r="MZ226" s="6"/>
      <c r="NA226" s="6"/>
      <c r="NB226" s="6"/>
      <c r="NC226" s="6"/>
      <c r="ND226" s="6"/>
      <c r="NE226" s="6"/>
      <c r="NF226" s="6"/>
      <c r="NG226" s="6"/>
      <c r="NH226" s="6"/>
      <c r="NI226" s="6"/>
      <c r="NJ226" s="6"/>
      <c r="NK226" s="6"/>
      <c r="NL226" s="6"/>
      <c r="NM226" s="6"/>
      <c r="NN226" s="6"/>
      <c r="NO226" s="6"/>
      <c r="NP226" s="6"/>
      <c r="NQ226" s="6"/>
      <c r="NR226" s="6"/>
      <c r="NS226" s="6"/>
      <c r="NT226" s="6"/>
      <c r="NU226" s="6"/>
      <c r="NV226" s="6"/>
    </row>
    <row r="227" spans="1:386" s="19" customFormat="1" ht="20.100000000000001" customHeight="1" x14ac:dyDescent="0.35">
      <c r="A227" s="1"/>
      <c r="B227" s="2"/>
      <c r="C227" s="3"/>
      <c r="D227" s="2"/>
      <c r="E227" s="2"/>
      <c r="F227" s="4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9"/>
      <c r="FL227" s="9"/>
      <c r="FM227" s="9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135"/>
      <c r="IK227" s="135"/>
      <c r="IL227" s="135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6"/>
      <c r="LL227" s="6"/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6"/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6"/>
      <c r="MT227" s="6"/>
      <c r="MU227" s="6"/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6"/>
      <c r="NL227" s="6"/>
      <c r="NM227" s="6"/>
      <c r="NN227" s="6"/>
      <c r="NO227" s="6"/>
      <c r="NP227" s="6"/>
      <c r="NQ227" s="6"/>
      <c r="NR227" s="6"/>
      <c r="NS227" s="6"/>
      <c r="NT227" s="6"/>
      <c r="NU227" s="6"/>
      <c r="NV227" s="6"/>
    </row>
    <row r="228" spans="1:386" s="19" customFormat="1" ht="20.100000000000001" customHeight="1" x14ac:dyDescent="0.35">
      <c r="A228" s="1"/>
      <c r="B228" s="2"/>
      <c r="C228" s="3"/>
      <c r="D228" s="2"/>
      <c r="E228" s="2"/>
      <c r="F228" s="4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9"/>
      <c r="FL228" s="9"/>
      <c r="FM228" s="9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135"/>
      <c r="IK228" s="135"/>
      <c r="IL228" s="135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6"/>
      <c r="LX228" s="6"/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6"/>
      <c r="NC228" s="6"/>
      <c r="ND228" s="6"/>
      <c r="NE228" s="6"/>
      <c r="NF228" s="6"/>
      <c r="NG228" s="6"/>
      <c r="NH228" s="6"/>
      <c r="NI228" s="6"/>
      <c r="NJ228" s="6"/>
      <c r="NK228" s="6"/>
      <c r="NL228" s="6"/>
      <c r="NM228" s="6"/>
      <c r="NN228" s="6"/>
      <c r="NO228" s="6"/>
      <c r="NP228" s="6"/>
      <c r="NQ228" s="6"/>
      <c r="NR228" s="6"/>
      <c r="NS228" s="6"/>
      <c r="NT228" s="6"/>
      <c r="NU228" s="6"/>
      <c r="NV228" s="6"/>
    </row>
    <row r="229" spans="1:386" s="19" customFormat="1" ht="20.100000000000001" customHeight="1" x14ac:dyDescent="0.35">
      <c r="A229" s="1"/>
      <c r="B229" s="2"/>
      <c r="C229" s="3"/>
      <c r="D229" s="2"/>
      <c r="E229" s="2"/>
      <c r="F229" s="4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9"/>
      <c r="FL229" s="9"/>
      <c r="FM229" s="9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135"/>
      <c r="IK229" s="135"/>
      <c r="IL229" s="135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  <c r="LG229" s="6"/>
      <c r="LH229" s="6"/>
      <c r="LI229" s="6"/>
      <c r="LJ229" s="6"/>
      <c r="LK229" s="6"/>
      <c r="LL229" s="6"/>
      <c r="LM229" s="6"/>
      <c r="LN229" s="6"/>
      <c r="LO229" s="6"/>
      <c r="LP229" s="6"/>
      <c r="LQ229" s="6"/>
      <c r="LR229" s="6"/>
      <c r="LS229" s="6"/>
      <c r="LT229" s="6"/>
      <c r="LU229" s="6"/>
      <c r="LV229" s="6"/>
      <c r="LW229" s="6"/>
      <c r="LX229" s="6"/>
      <c r="LY229" s="6"/>
      <c r="LZ229" s="6"/>
      <c r="MA229" s="6"/>
      <c r="MB229" s="6"/>
      <c r="MC229" s="6"/>
      <c r="MD229" s="6"/>
      <c r="ME229" s="6"/>
      <c r="MF229" s="6"/>
      <c r="MG229" s="6"/>
      <c r="MH229" s="6"/>
      <c r="MI229" s="6"/>
      <c r="MJ229" s="6"/>
      <c r="MK229" s="6"/>
      <c r="ML229" s="6"/>
      <c r="MM229" s="6"/>
      <c r="MN229" s="6"/>
      <c r="MO229" s="6"/>
      <c r="MP229" s="6"/>
      <c r="MQ229" s="6"/>
      <c r="MR229" s="6"/>
      <c r="MS229" s="6"/>
      <c r="MT229" s="6"/>
      <c r="MU229" s="6"/>
      <c r="MV229" s="6"/>
      <c r="MW229" s="6"/>
      <c r="MX229" s="6"/>
      <c r="MY229" s="6"/>
      <c r="MZ229" s="6"/>
      <c r="NA229" s="6"/>
      <c r="NB229" s="6"/>
      <c r="NC229" s="6"/>
      <c r="ND229" s="6"/>
      <c r="NE229" s="6"/>
      <c r="NF229" s="6"/>
      <c r="NG229" s="6"/>
      <c r="NH229" s="6"/>
      <c r="NI229" s="6"/>
      <c r="NJ229" s="6"/>
      <c r="NK229" s="6"/>
      <c r="NL229" s="6"/>
      <c r="NM229" s="6"/>
      <c r="NN229" s="6"/>
      <c r="NO229" s="6"/>
      <c r="NP229" s="6"/>
      <c r="NQ229" s="6"/>
      <c r="NR229" s="6"/>
      <c r="NS229" s="6"/>
      <c r="NT229" s="6"/>
      <c r="NU229" s="6"/>
      <c r="NV229" s="6"/>
    </row>
    <row r="230" spans="1:386" s="19" customFormat="1" ht="20.100000000000001" customHeight="1" x14ac:dyDescent="0.35">
      <c r="A230" s="1"/>
      <c r="B230" s="2"/>
      <c r="C230" s="3"/>
      <c r="D230" s="2"/>
      <c r="E230" s="2"/>
      <c r="F230" s="4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9"/>
      <c r="FL230" s="9"/>
      <c r="FM230" s="9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135"/>
      <c r="IK230" s="135"/>
      <c r="IL230" s="135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  <c r="LG230" s="6"/>
      <c r="LH230" s="6"/>
      <c r="LI230" s="6"/>
      <c r="LJ230" s="6"/>
      <c r="LK230" s="6"/>
      <c r="LL230" s="6"/>
      <c r="LM230" s="6"/>
      <c r="LN230" s="6"/>
      <c r="LO230" s="6"/>
      <c r="LP230" s="6"/>
      <c r="LQ230" s="6"/>
      <c r="LR230" s="6"/>
      <c r="LS230" s="6"/>
      <c r="LT230" s="6"/>
      <c r="LU230" s="6"/>
      <c r="LV230" s="6"/>
      <c r="LW230" s="6"/>
      <c r="LX230" s="6"/>
      <c r="LY230" s="6"/>
      <c r="LZ230" s="6"/>
      <c r="MA230" s="6"/>
      <c r="MB230" s="6"/>
      <c r="MC230" s="6"/>
      <c r="MD230" s="6"/>
      <c r="ME230" s="6"/>
      <c r="MF230" s="6"/>
      <c r="MG230" s="6"/>
      <c r="MH230" s="6"/>
      <c r="MI230" s="6"/>
      <c r="MJ230" s="6"/>
      <c r="MK230" s="6"/>
      <c r="ML230" s="6"/>
      <c r="MM230" s="6"/>
      <c r="MN230" s="6"/>
      <c r="MO230" s="6"/>
      <c r="MP230" s="6"/>
      <c r="MQ230" s="6"/>
      <c r="MR230" s="6"/>
      <c r="MS230" s="6"/>
      <c r="MT230" s="6"/>
      <c r="MU230" s="6"/>
      <c r="MV230" s="6"/>
      <c r="MW230" s="6"/>
      <c r="MX230" s="6"/>
      <c r="MY230" s="6"/>
      <c r="MZ230" s="6"/>
      <c r="NA230" s="6"/>
      <c r="NB230" s="6"/>
      <c r="NC230" s="6"/>
      <c r="ND230" s="6"/>
      <c r="NE230" s="6"/>
      <c r="NF230" s="6"/>
      <c r="NG230" s="6"/>
      <c r="NH230" s="6"/>
      <c r="NI230" s="6"/>
      <c r="NJ230" s="6"/>
      <c r="NK230" s="6"/>
      <c r="NL230" s="6"/>
      <c r="NM230" s="6"/>
      <c r="NN230" s="6"/>
      <c r="NO230" s="6"/>
      <c r="NP230" s="6"/>
      <c r="NQ230" s="6"/>
      <c r="NR230" s="6"/>
      <c r="NS230" s="6"/>
      <c r="NT230" s="6"/>
      <c r="NU230" s="6"/>
      <c r="NV230" s="6"/>
    </row>
    <row r="231" spans="1:386" s="19" customFormat="1" ht="20.100000000000001" customHeight="1" x14ac:dyDescent="0.35">
      <c r="A231" s="1"/>
      <c r="B231" s="2"/>
      <c r="C231" s="3"/>
      <c r="D231" s="2"/>
      <c r="E231" s="2"/>
      <c r="F231" s="4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9"/>
      <c r="FL231" s="9"/>
      <c r="FM231" s="9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135"/>
      <c r="IK231" s="135"/>
      <c r="IL231" s="135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6"/>
      <c r="KZ231" s="6"/>
      <c r="LA231" s="6"/>
      <c r="LB231" s="6"/>
      <c r="LC231" s="6"/>
      <c r="LD231" s="6"/>
      <c r="LE231" s="6"/>
      <c r="LF231" s="6"/>
      <c r="LG231" s="6"/>
      <c r="LH231" s="6"/>
      <c r="LI231" s="6"/>
      <c r="LJ231" s="6"/>
      <c r="LK231" s="6"/>
      <c r="LL231" s="6"/>
      <c r="LM231" s="6"/>
      <c r="LN231" s="6"/>
      <c r="LO231" s="6"/>
      <c r="LP231" s="6"/>
      <c r="LQ231" s="6"/>
      <c r="LR231" s="6"/>
      <c r="LS231" s="6"/>
      <c r="LT231" s="6"/>
      <c r="LU231" s="6"/>
      <c r="LV231" s="6"/>
      <c r="LW231" s="6"/>
      <c r="LX231" s="6"/>
      <c r="LY231" s="6"/>
      <c r="LZ231" s="6"/>
      <c r="MA231" s="6"/>
      <c r="MB231" s="6"/>
      <c r="MC231" s="6"/>
      <c r="MD231" s="6"/>
      <c r="ME231" s="6"/>
      <c r="MF231" s="6"/>
      <c r="MG231" s="6"/>
      <c r="MH231" s="6"/>
      <c r="MI231" s="6"/>
      <c r="MJ231" s="6"/>
      <c r="MK231" s="6"/>
      <c r="ML231" s="6"/>
      <c r="MM231" s="6"/>
      <c r="MN231" s="6"/>
      <c r="MO231" s="6"/>
      <c r="MP231" s="6"/>
      <c r="MQ231" s="6"/>
      <c r="MR231" s="6"/>
      <c r="MS231" s="6"/>
      <c r="MT231" s="6"/>
      <c r="MU231" s="6"/>
      <c r="MV231" s="6"/>
      <c r="MW231" s="6"/>
      <c r="MX231" s="6"/>
      <c r="MY231" s="6"/>
      <c r="MZ231" s="6"/>
      <c r="NA231" s="6"/>
      <c r="NB231" s="6"/>
      <c r="NC231" s="6"/>
      <c r="ND231" s="6"/>
      <c r="NE231" s="6"/>
      <c r="NF231" s="6"/>
      <c r="NG231" s="6"/>
      <c r="NH231" s="6"/>
      <c r="NI231" s="6"/>
      <c r="NJ231" s="6"/>
      <c r="NK231" s="6"/>
      <c r="NL231" s="6"/>
      <c r="NM231" s="6"/>
      <c r="NN231" s="6"/>
      <c r="NO231" s="6"/>
      <c r="NP231" s="6"/>
      <c r="NQ231" s="6"/>
      <c r="NR231" s="6"/>
      <c r="NS231" s="6"/>
      <c r="NT231" s="6"/>
      <c r="NU231" s="6"/>
      <c r="NV231" s="6"/>
    </row>
    <row r="232" spans="1:386" s="19" customFormat="1" ht="20.100000000000001" customHeight="1" x14ac:dyDescent="0.35">
      <c r="A232" s="1"/>
      <c r="B232" s="2"/>
      <c r="C232" s="3"/>
      <c r="D232" s="2"/>
      <c r="E232" s="2"/>
      <c r="F232" s="4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9"/>
      <c r="FL232" s="9"/>
      <c r="FM232" s="9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135"/>
      <c r="IK232" s="135"/>
      <c r="IL232" s="135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6"/>
      <c r="KZ232" s="6"/>
      <c r="LA232" s="6"/>
      <c r="LB232" s="6"/>
      <c r="LC232" s="6"/>
      <c r="LD232" s="6"/>
      <c r="LE232" s="6"/>
      <c r="LF232" s="6"/>
      <c r="LG232" s="6"/>
      <c r="LH232" s="6"/>
      <c r="LI232" s="6"/>
      <c r="LJ232" s="6"/>
      <c r="LK232" s="6"/>
      <c r="LL232" s="6"/>
      <c r="LM232" s="6"/>
      <c r="LN232" s="6"/>
      <c r="LO232" s="6"/>
      <c r="LP232" s="6"/>
      <c r="LQ232" s="6"/>
      <c r="LR232" s="6"/>
      <c r="LS232" s="6"/>
      <c r="LT232" s="6"/>
      <c r="LU232" s="6"/>
      <c r="LV232" s="6"/>
      <c r="LW232" s="6"/>
      <c r="LX232" s="6"/>
      <c r="LY232" s="6"/>
      <c r="LZ232" s="6"/>
      <c r="MA232" s="6"/>
      <c r="MB232" s="6"/>
      <c r="MC232" s="6"/>
      <c r="MD232" s="6"/>
      <c r="ME232" s="6"/>
      <c r="MF232" s="6"/>
      <c r="MG232" s="6"/>
      <c r="MH232" s="6"/>
      <c r="MI232" s="6"/>
      <c r="MJ232" s="6"/>
      <c r="MK232" s="6"/>
      <c r="ML232" s="6"/>
      <c r="MM232" s="6"/>
      <c r="MN232" s="6"/>
      <c r="MO232" s="6"/>
      <c r="MP232" s="6"/>
      <c r="MQ232" s="6"/>
      <c r="MR232" s="6"/>
      <c r="MS232" s="6"/>
      <c r="MT232" s="6"/>
      <c r="MU232" s="6"/>
      <c r="MV232" s="6"/>
      <c r="MW232" s="6"/>
      <c r="MX232" s="6"/>
      <c r="MY232" s="6"/>
      <c r="MZ232" s="6"/>
      <c r="NA232" s="6"/>
      <c r="NB232" s="6"/>
      <c r="NC232" s="6"/>
      <c r="ND232" s="6"/>
      <c r="NE232" s="6"/>
      <c r="NF232" s="6"/>
      <c r="NG232" s="6"/>
      <c r="NH232" s="6"/>
      <c r="NI232" s="6"/>
      <c r="NJ232" s="6"/>
      <c r="NK232" s="6"/>
      <c r="NL232" s="6"/>
      <c r="NM232" s="6"/>
      <c r="NN232" s="6"/>
      <c r="NO232" s="6"/>
      <c r="NP232" s="6"/>
      <c r="NQ232" s="6"/>
      <c r="NR232" s="6"/>
      <c r="NS232" s="6"/>
      <c r="NT232" s="6"/>
      <c r="NU232" s="6"/>
      <c r="NV232" s="6"/>
    </row>
    <row r="233" spans="1:386" s="19" customFormat="1" ht="20.100000000000001" customHeight="1" x14ac:dyDescent="0.35">
      <c r="A233" s="1"/>
      <c r="B233" s="2"/>
      <c r="C233" s="3"/>
      <c r="D233" s="2"/>
      <c r="E233" s="2"/>
      <c r="F233" s="4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9"/>
      <c r="FL233" s="9"/>
      <c r="FM233" s="9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135"/>
      <c r="IK233" s="135"/>
      <c r="IL233" s="135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  <c r="LG233" s="6"/>
      <c r="LH233" s="6"/>
      <c r="LI233" s="6"/>
      <c r="LJ233" s="6"/>
      <c r="LK233" s="6"/>
      <c r="LL233" s="6"/>
      <c r="LM233" s="6"/>
      <c r="LN233" s="6"/>
      <c r="LO233" s="6"/>
      <c r="LP233" s="6"/>
      <c r="LQ233" s="6"/>
      <c r="LR233" s="6"/>
      <c r="LS233" s="6"/>
      <c r="LT233" s="6"/>
      <c r="LU233" s="6"/>
      <c r="LV233" s="6"/>
      <c r="LW233" s="6"/>
      <c r="LX233" s="6"/>
      <c r="LY233" s="6"/>
      <c r="LZ233" s="6"/>
      <c r="MA233" s="6"/>
      <c r="MB233" s="6"/>
      <c r="MC233" s="6"/>
      <c r="MD233" s="6"/>
      <c r="ME233" s="6"/>
      <c r="MF233" s="6"/>
      <c r="MG233" s="6"/>
      <c r="MH233" s="6"/>
      <c r="MI233" s="6"/>
      <c r="MJ233" s="6"/>
      <c r="MK233" s="6"/>
      <c r="ML233" s="6"/>
      <c r="MM233" s="6"/>
      <c r="MN233" s="6"/>
      <c r="MO233" s="6"/>
      <c r="MP233" s="6"/>
      <c r="MQ233" s="6"/>
      <c r="MR233" s="6"/>
      <c r="MS233" s="6"/>
      <c r="MT233" s="6"/>
      <c r="MU233" s="6"/>
      <c r="MV233" s="6"/>
      <c r="MW233" s="6"/>
      <c r="MX233" s="6"/>
      <c r="MY233" s="6"/>
      <c r="MZ233" s="6"/>
      <c r="NA233" s="6"/>
      <c r="NB233" s="6"/>
      <c r="NC233" s="6"/>
      <c r="ND233" s="6"/>
      <c r="NE233" s="6"/>
      <c r="NF233" s="6"/>
      <c r="NG233" s="6"/>
      <c r="NH233" s="6"/>
      <c r="NI233" s="6"/>
      <c r="NJ233" s="6"/>
      <c r="NK233" s="6"/>
      <c r="NL233" s="6"/>
      <c r="NM233" s="6"/>
      <c r="NN233" s="6"/>
      <c r="NO233" s="6"/>
      <c r="NP233" s="6"/>
      <c r="NQ233" s="6"/>
      <c r="NR233" s="6"/>
      <c r="NS233" s="6"/>
      <c r="NT233" s="6"/>
      <c r="NU233" s="6"/>
      <c r="NV233" s="6"/>
    </row>
    <row r="234" spans="1:386" s="19" customFormat="1" ht="20.100000000000001" customHeight="1" x14ac:dyDescent="0.35">
      <c r="A234" s="1"/>
      <c r="B234" s="2"/>
      <c r="C234" s="3"/>
      <c r="D234" s="2"/>
      <c r="E234" s="2"/>
      <c r="F234" s="4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9"/>
      <c r="FL234" s="9"/>
      <c r="FM234" s="9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135"/>
      <c r="IK234" s="135"/>
      <c r="IL234" s="135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6"/>
      <c r="LL234" s="6"/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6"/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6"/>
      <c r="MT234" s="6"/>
      <c r="MU234" s="6"/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6"/>
      <c r="NL234" s="6"/>
      <c r="NM234" s="6"/>
      <c r="NN234" s="6"/>
      <c r="NO234" s="6"/>
      <c r="NP234" s="6"/>
      <c r="NQ234" s="6"/>
      <c r="NR234" s="6"/>
      <c r="NS234" s="6"/>
      <c r="NT234" s="6"/>
      <c r="NU234" s="6"/>
      <c r="NV234" s="6"/>
    </row>
    <row r="235" spans="1:386" s="19" customFormat="1" ht="20.100000000000001" customHeight="1" x14ac:dyDescent="0.35">
      <c r="A235" s="1"/>
      <c r="B235" s="2"/>
      <c r="C235" s="3"/>
      <c r="D235" s="2"/>
      <c r="E235" s="2"/>
      <c r="F235" s="4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9"/>
      <c r="FL235" s="9"/>
      <c r="FM235" s="9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135"/>
      <c r="IK235" s="135"/>
      <c r="IL235" s="135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6"/>
      <c r="KZ235" s="6"/>
      <c r="LA235" s="6"/>
      <c r="LB235" s="6"/>
      <c r="LC235" s="6"/>
      <c r="LD235" s="6"/>
      <c r="LE235" s="6"/>
      <c r="LF235" s="6"/>
      <c r="LG235" s="6"/>
      <c r="LH235" s="6"/>
      <c r="LI235" s="6"/>
      <c r="LJ235" s="6"/>
      <c r="LK235" s="6"/>
      <c r="LL235" s="6"/>
      <c r="LM235" s="6"/>
      <c r="LN235" s="6"/>
      <c r="LO235" s="6"/>
      <c r="LP235" s="6"/>
      <c r="LQ235" s="6"/>
      <c r="LR235" s="6"/>
      <c r="LS235" s="6"/>
      <c r="LT235" s="6"/>
      <c r="LU235" s="6"/>
      <c r="LV235" s="6"/>
      <c r="LW235" s="6"/>
      <c r="LX235" s="6"/>
      <c r="LY235" s="6"/>
      <c r="LZ235" s="6"/>
      <c r="MA235" s="6"/>
      <c r="MB235" s="6"/>
      <c r="MC235" s="6"/>
      <c r="MD235" s="6"/>
      <c r="ME235" s="6"/>
      <c r="MF235" s="6"/>
      <c r="MG235" s="6"/>
      <c r="MH235" s="6"/>
      <c r="MI235" s="6"/>
      <c r="MJ235" s="6"/>
      <c r="MK235" s="6"/>
      <c r="ML235" s="6"/>
      <c r="MM235" s="6"/>
      <c r="MN235" s="6"/>
      <c r="MO235" s="6"/>
      <c r="MP235" s="6"/>
      <c r="MQ235" s="6"/>
      <c r="MR235" s="6"/>
      <c r="MS235" s="6"/>
      <c r="MT235" s="6"/>
      <c r="MU235" s="6"/>
      <c r="MV235" s="6"/>
      <c r="MW235" s="6"/>
      <c r="MX235" s="6"/>
      <c r="MY235" s="6"/>
      <c r="MZ235" s="6"/>
      <c r="NA235" s="6"/>
      <c r="NB235" s="6"/>
      <c r="NC235" s="6"/>
      <c r="ND235" s="6"/>
      <c r="NE235" s="6"/>
      <c r="NF235" s="6"/>
      <c r="NG235" s="6"/>
      <c r="NH235" s="6"/>
      <c r="NI235" s="6"/>
      <c r="NJ235" s="6"/>
      <c r="NK235" s="6"/>
      <c r="NL235" s="6"/>
      <c r="NM235" s="6"/>
      <c r="NN235" s="6"/>
      <c r="NO235" s="6"/>
      <c r="NP235" s="6"/>
      <c r="NQ235" s="6"/>
      <c r="NR235" s="6"/>
      <c r="NS235" s="6"/>
      <c r="NT235" s="6"/>
      <c r="NU235" s="6"/>
      <c r="NV235" s="6"/>
    </row>
    <row r="236" spans="1:386" s="19" customFormat="1" ht="20.100000000000001" customHeight="1" x14ac:dyDescent="0.35">
      <c r="A236" s="1"/>
      <c r="B236" s="2"/>
      <c r="C236" s="3"/>
      <c r="D236" s="2"/>
      <c r="E236" s="2"/>
      <c r="F236" s="4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9"/>
      <c r="FL236" s="9"/>
      <c r="FM236" s="9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135"/>
      <c r="IK236" s="135"/>
      <c r="IL236" s="135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6"/>
      <c r="KZ236" s="6"/>
      <c r="LA236" s="6"/>
      <c r="LB236" s="6"/>
      <c r="LC236" s="6"/>
      <c r="LD236" s="6"/>
      <c r="LE236" s="6"/>
      <c r="LF236" s="6"/>
      <c r="LG236" s="6"/>
      <c r="LH236" s="6"/>
      <c r="LI236" s="6"/>
      <c r="LJ236" s="6"/>
      <c r="LK236" s="6"/>
      <c r="LL236" s="6"/>
      <c r="LM236" s="6"/>
      <c r="LN236" s="6"/>
      <c r="LO236" s="6"/>
      <c r="LP236" s="6"/>
      <c r="LQ236" s="6"/>
      <c r="LR236" s="6"/>
      <c r="LS236" s="6"/>
      <c r="LT236" s="6"/>
      <c r="LU236" s="6"/>
      <c r="LV236" s="6"/>
      <c r="LW236" s="6"/>
      <c r="LX236" s="6"/>
      <c r="LY236" s="6"/>
      <c r="LZ236" s="6"/>
      <c r="MA236" s="6"/>
      <c r="MB236" s="6"/>
      <c r="MC236" s="6"/>
      <c r="MD236" s="6"/>
      <c r="ME236" s="6"/>
      <c r="MF236" s="6"/>
      <c r="MG236" s="6"/>
      <c r="MH236" s="6"/>
      <c r="MI236" s="6"/>
      <c r="MJ236" s="6"/>
      <c r="MK236" s="6"/>
      <c r="ML236" s="6"/>
      <c r="MM236" s="6"/>
      <c r="MN236" s="6"/>
      <c r="MO236" s="6"/>
      <c r="MP236" s="6"/>
      <c r="MQ236" s="6"/>
      <c r="MR236" s="6"/>
      <c r="MS236" s="6"/>
      <c r="MT236" s="6"/>
      <c r="MU236" s="6"/>
      <c r="MV236" s="6"/>
      <c r="MW236" s="6"/>
      <c r="MX236" s="6"/>
      <c r="MY236" s="6"/>
      <c r="MZ236" s="6"/>
      <c r="NA236" s="6"/>
      <c r="NB236" s="6"/>
      <c r="NC236" s="6"/>
      <c r="ND236" s="6"/>
      <c r="NE236" s="6"/>
      <c r="NF236" s="6"/>
      <c r="NG236" s="6"/>
      <c r="NH236" s="6"/>
      <c r="NI236" s="6"/>
      <c r="NJ236" s="6"/>
      <c r="NK236" s="6"/>
      <c r="NL236" s="6"/>
      <c r="NM236" s="6"/>
      <c r="NN236" s="6"/>
      <c r="NO236" s="6"/>
      <c r="NP236" s="6"/>
      <c r="NQ236" s="6"/>
      <c r="NR236" s="6"/>
      <c r="NS236" s="6"/>
      <c r="NT236" s="6"/>
      <c r="NU236" s="6"/>
      <c r="NV236" s="6"/>
    </row>
    <row r="237" spans="1:386" s="19" customFormat="1" ht="20.100000000000001" customHeight="1" x14ac:dyDescent="0.35">
      <c r="A237" s="1"/>
      <c r="B237" s="2"/>
      <c r="C237" s="3"/>
      <c r="D237" s="2"/>
      <c r="E237" s="2"/>
      <c r="F237" s="4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9"/>
      <c r="FL237" s="9"/>
      <c r="FM237" s="9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135"/>
      <c r="IK237" s="135"/>
      <c r="IL237" s="135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6"/>
      <c r="KZ237" s="6"/>
      <c r="LA237" s="6"/>
      <c r="LB237" s="6"/>
      <c r="LC237" s="6"/>
      <c r="LD237" s="6"/>
      <c r="LE237" s="6"/>
      <c r="LF237" s="6"/>
      <c r="LG237" s="6"/>
      <c r="LH237" s="6"/>
      <c r="LI237" s="6"/>
      <c r="LJ237" s="6"/>
      <c r="LK237" s="6"/>
      <c r="LL237" s="6"/>
      <c r="LM237" s="6"/>
      <c r="LN237" s="6"/>
      <c r="LO237" s="6"/>
      <c r="LP237" s="6"/>
      <c r="LQ237" s="6"/>
      <c r="LR237" s="6"/>
      <c r="LS237" s="6"/>
      <c r="LT237" s="6"/>
      <c r="LU237" s="6"/>
      <c r="LV237" s="6"/>
      <c r="LW237" s="6"/>
      <c r="LX237" s="6"/>
      <c r="LY237" s="6"/>
      <c r="LZ237" s="6"/>
      <c r="MA237" s="6"/>
      <c r="MB237" s="6"/>
      <c r="MC237" s="6"/>
      <c r="MD237" s="6"/>
      <c r="ME237" s="6"/>
      <c r="MF237" s="6"/>
      <c r="MG237" s="6"/>
      <c r="MH237" s="6"/>
      <c r="MI237" s="6"/>
      <c r="MJ237" s="6"/>
      <c r="MK237" s="6"/>
      <c r="ML237" s="6"/>
      <c r="MM237" s="6"/>
      <c r="MN237" s="6"/>
      <c r="MO237" s="6"/>
      <c r="MP237" s="6"/>
      <c r="MQ237" s="6"/>
      <c r="MR237" s="6"/>
      <c r="MS237" s="6"/>
      <c r="MT237" s="6"/>
      <c r="MU237" s="6"/>
      <c r="MV237" s="6"/>
      <c r="MW237" s="6"/>
      <c r="MX237" s="6"/>
      <c r="MY237" s="6"/>
      <c r="MZ237" s="6"/>
      <c r="NA237" s="6"/>
      <c r="NB237" s="6"/>
      <c r="NC237" s="6"/>
      <c r="ND237" s="6"/>
      <c r="NE237" s="6"/>
      <c r="NF237" s="6"/>
      <c r="NG237" s="6"/>
      <c r="NH237" s="6"/>
      <c r="NI237" s="6"/>
      <c r="NJ237" s="6"/>
      <c r="NK237" s="6"/>
      <c r="NL237" s="6"/>
      <c r="NM237" s="6"/>
      <c r="NN237" s="6"/>
      <c r="NO237" s="6"/>
      <c r="NP237" s="6"/>
      <c r="NQ237" s="6"/>
      <c r="NR237" s="6"/>
      <c r="NS237" s="6"/>
      <c r="NT237" s="6"/>
      <c r="NU237" s="6"/>
      <c r="NV237" s="6"/>
    </row>
    <row r="238" spans="1:386" s="19" customFormat="1" ht="20.100000000000001" customHeight="1" x14ac:dyDescent="0.35">
      <c r="A238" s="1"/>
      <c r="B238" s="2"/>
      <c r="C238" s="3"/>
      <c r="D238" s="2"/>
      <c r="E238" s="2"/>
      <c r="F238" s="4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9"/>
      <c r="FL238" s="9"/>
      <c r="FM238" s="9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135"/>
      <c r="IK238" s="135"/>
      <c r="IL238" s="135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6"/>
      <c r="KZ238" s="6"/>
      <c r="LA238" s="6"/>
      <c r="LB238" s="6"/>
      <c r="LC238" s="6"/>
      <c r="LD238" s="6"/>
      <c r="LE238" s="6"/>
      <c r="LF238" s="6"/>
      <c r="LG238" s="6"/>
      <c r="LH238" s="6"/>
      <c r="LI238" s="6"/>
      <c r="LJ238" s="6"/>
      <c r="LK238" s="6"/>
      <c r="LL238" s="6"/>
      <c r="LM238" s="6"/>
      <c r="LN238" s="6"/>
      <c r="LO238" s="6"/>
      <c r="LP238" s="6"/>
      <c r="LQ238" s="6"/>
      <c r="LR238" s="6"/>
      <c r="LS238" s="6"/>
      <c r="LT238" s="6"/>
      <c r="LU238" s="6"/>
      <c r="LV238" s="6"/>
      <c r="LW238" s="6"/>
      <c r="LX238" s="6"/>
      <c r="LY238" s="6"/>
      <c r="LZ238" s="6"/>
      <c r="MA238" s="6"/>
      <c r="MB238" s="6"/>
      <c r="MC238" s="6"/>
      <c r="MD238" s="6"/>
      <c r="ME238" s="6"/>
      <c r="MF238" s="6"/>
      <c r="MG238" s="6"/>
      <c r="MH238" s="6"/>
      <c r="MI238" s="6"/>
      <c r="MJ238" s="6"/>
      <c r="MK238" s="6"/>
      <c r="ML238" s="6"/>
      <c r="MM238" s="6"/>
      <c r="MN238" s="6"/>
      <c r="MO238" s="6"/>
      <c r="MP238" s="6"/>
      <c r="MQ238" s="6"/>
      <c r="MR238" s="6"/>
      <c r="MS238" s="6"/>
      <c r="MT238" s="6"/>
      <c r="MU238" s="6"/>
      <c r="MV238" s="6"/>
      <c r="MW238" s="6"/>
      <c r="MX238" s="6"/>
      <c r="MY238" s="6"/>
      <c r="MZ238" s="6"/>
      <c r="NA238" s="6"/>
      <c r="NB238" s="6"/>
      <c r="NC238" s="6"/>
      <c r="ND238" s="6"/>
      <c r="NE238" s="6"/>
      <c r="NF238" s="6"/>
      <c r="NG238" s="6"/>
      <c r="NH238" s="6"/>
      <c r="NI238" s="6"/>
      <c r="NJ238" s="6"/>
      <c r="NK238" s="6"/>
      <c r="NL238" s="6"/>
      <c r="NM238" s="6"/>
      <c r="NN238" s="6"/>
      <c r="NO238" s="6"/>
      <c r="NP238" s="6"/>
      <c r="NQ238" s="6"/>
      <c r="NR238" s="6"/>
      <c r="NS238" s="6"/>
      <c r="NT238" s="6"/>
      <c r="NU238" s="6"/>
      <c r="NV238" s="6"/>
    </row>
    <row r="239" spans="1:386" s="19" customFormat="1" ht="20.100000000000001" customHeight="1" x14ac:dyDescent="0.35">
      <c r="A239" s="1"/>
      <c r="B239" s="2"/>
      <c r="C239" s="3"/>
      <c r="D239" s="2"/>
      <c r="E239" s="2"/>
      <c r="F239" s="4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9"/>
      <c r="FL239" s="9"/>
      <c r="FM239" s="9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135"/>
      <c r="IK239" s="135"/>
      <c r="IL239" s="135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6"/>
      <c r="KZ239" s="6"/>
      <c r="LA239" s="6"/>
      <c r="LB239" s="6"/>
      <c r="LC239" s="6"/>
      <c r="LD239" s="6"/>
      <c r="LE239" s="6"/>
      <c r="LF239" s="6"/>
      <c r="LG239" s="6"/>
      <c r="LH239" s="6"/>
      <c r="LI239" s="6"/>
      <c r="LJ239" s="6"/>
      <c r="LK239" s="6"/>
      <c r="LL239" s="6"/>
      <c r="LM239" s="6"/>
      <c r="LN239" s="6"/>
      <c r="LO239" s="6"/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6"/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6"/>
      <c r="MT239" s="6"/>
      <c r="MU239" s="6"/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6"/>
      <c r="NL239" s="6"/>
      <c r="NM239" s="6"/>
      <c r="NN239" s="6"/>
      <c r="NO239" s="6"/>
      <c r="NP239" s="6"/>
      <c r="NQ239" s="6"/>
      <c r="NR239" s="6"/>
      <c r="NS239" s="6"/>
      <c r="NT239" s="6"/>
      <c r="NU239" s="6"/>
      <c r="NV239" s="6"/>
    </row>
    <row r="240" spans="1:386" s="19" customFormat="1" ht="20.100000000000001" customHeight="1" x14ac:dyDescent="0.35">
      <c r="A240" s="1"/>
      <c r="B240" s="2"/>
      <c r="C240" s="3"/>
      <c r="D240" s="2"/>
      <c r="E240" s="2"/>
      <c r="F240" s="4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9"/>
      <c r="FL240" s="9"/>
      <c r="FM240" s="9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135"/>
      <c r="IK240" s="135"/>
      <c r="IL240" s="135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6"/>
      <c r="KZ240" s="6"/>
      <c r="LA240" s="6"/>
      <c r="LB240" s="6"/>
      <c r="LC240" s="6"/>
      <c r="LD240" s="6"/>
      <c r="LE240" s="6"/>
      <c r="LF240" s="6"/>
      <c r="LG240" s="6"/>
      <c r="LH240" s="6"/>
      <c r="LI240" s="6"/>
      <c r="LJ240" s="6"/>
      <c r="LK240" s="6"/>
      <c r="LL240" s="6"/>
      <c r="LM240" s="6"/>
      <c r="LN240" s="6"/>
      <c r="LO240" s="6"/>
      <c r="LP240" s="6"/>
      <c r="LQ240" s="6"/>
      <c r="LR240" s="6"/>
      <c r="LS240" s="6"/>
      <c r="LT240" s="6"/>
      <c r="LU240" s="6"/>
      <c r="LV240" s="6"/>
      <c r="LW240" s="6"/>
      <c r="LX240" s="6"/>
      <c r="LY240" s="6"/>
      <c r="LZ240" s="6"/>
      <c r="MA240" s="6"/>
      <c r="MB240" s="6"/>
      <c r="MC240" s="6"/>
      <c r="MD240" s="6"/>
      <c r="ME240" s="6"/>
      <c r="MF240" s="6"/>
      <c r="MG240" s="6"/>
      <c r="MH240" s="6"/>
      <c r="MI240" s="6"/>
      <c r="MJ240" s="6"/>
      <c r="MK240" s="6"/>
      <c r="ML240" s="6"/>
      <c r="MM240" s="6"/>
      <c r="MN240" s="6"/>
      <c r="MO240" s="6"/>
      <c r="MP240" s="6"/>
      <c r="MQ240" s="6"/>
      <c r="MR240" s="6"/>
      <c r="MS240" s="6"/>
      <c r="MT240" s="6"/>
      <c r="MU240" s="6"/>
      <c r="MV240" s="6"/>
      <c r="MW240" s="6"/>
      <c r="MX240" s="6"/>
      <c r="MY240" s="6"/>
      <c r="MZ240" s="6"/>
      <c r="NA240" s="6"/>
      <c r="NB240" s="6"/>
      <c r="NC240" s="6"/>
      <c r="ND240" s="6"/>
      <c r="NE240" s="6"/>
      <c r="NF240" s="6"/>
      <c r="NG240" s="6"/>
      <c r="NH240" s="6"/>
      <c r="NI240" s="6"/>
      <c r="NJ240" s="6"/>
      <c r="NK240" s="6"/>
      <c r="NL240" s="6"/>
      <c r="NM240" s="6"/>
      <c r="NN240" s="6"/>
      <c r="NO240" s="6"/>
      <c r="NP240" s="6"/>
      <c r="NQ240" s="6"/>
      <c r="NR240" s="6"/>
      <c r="NS240" s="6"/>
      <c r="NT240" s="6"/>
      <c r="NU240" s="6"/>
      <c r="NV240" s="6"/>
    </row>
    <row r="241" spans="1:386" s="19" customFormat="1" ht="20.100000000000001" customHeight="1" x14ac:dyDescent="0.35">
      <c r="A241" s="1"/>
      <c r="B241" s="2"/>
      <c r="C241" s="3"/>
      <c r="D241" s="2"/>
      <c r="E241" s="2"/>
      <c r="F241" s="4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9"/>
      <c r="FL241" s="9"/>
      <c r="FM241" s="9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135"/>
      <c r="IK241" s="135"/>
      <c r="IL241" s="135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6"/>
      <c r="LB241" s="6"/>
      <c r="LC241" s="6"/>
      <c r="LD241" s="6"/>
      <c r="LE241" s="6"/>
      <c r="LF241" s="6"/>
      <c r="LG241" s="6"/>
      <c r="LH241" s="6"/>
      <c r="LI241" s="6"/>
      <c r="LJ241" s="6"/>
      <c r="LK241" s="6"/>
      <c r="LL241" s="6"/>
      <c r="LM241" s="6"/>
      <c r="LN241" s="6"/>
      <c r="LO241" s="6"/>
      <c r="LP241" s="6"/>
      <c r="LQ241" s="6"/>
      <c r="LR241" s="6"/>
      <c r="LS241" s="6"/>
      <c r="LT241" s="6"/>
      <c r="LU241" s="6"/>
      <c r="LV241" s="6"/>
      <c r="LW241" s="6"/>
      <c r="LX241" s="6"/>
      <c r="LY241" s="6"/>
      <c r="LZ241" s="6"/>
      <c r="MA241" s="6"/>
      <c r="MB241" s="6"/>
      <c r="MC241" s="6"/>
      <c r="MD241" s="6"/>
      <c r="ME241" s="6"/>
      <c r="MF241" s="6"/>
      <c r="MG241" s="6"/>
      <c r="MH241" s="6"/>
      <c r="MI241" s="6"/>
      <c r="MJ241" s="6"/>
      <c r="MK241" s="6"/>
      <c r="ML241" s="6"/>
      <c r="MM241" s="6"/>
      <c r="MN241" s="6"/>
      <c r="MO241" s="6"/>
      <c r="MP241" s="6"/>
      <c r="MQ241" s="6"/>
      <c r="MR241" s="6"/>
      <c r="MS241" s="6"/>
      <c r="MT241" s="6"/>
      <c r="MU241" s="6"/>
      <c r="MV241" s="6"/>
      <c r="MW241" s="6"/>
      <c r="MX241" s="6"/>
      <c r="MY241" s="6"/>
      <c r="MZ241" s="6"/>
      <c r="NA241" s="6"/>
      <c r="NB241" s="6"/>
      <c r="NC241" s="6"/>
      <c r="ND241" s="6"/>
      <c r="NE241" s="6"/>
      <c r="NF241" s="6"/>
      <c r="NG241" s="6"/>
      <c r="NH241" s="6"/>
      <c r="NI241" s="6"/>
      <c r="NJ241" s="6"/>
      <c r="NK241" s="6"/>
      <c r="NL241" s="6"/>
      <c r="NM241" s="6"/>
      <c r="NN241" s="6"/>
      <c r="NO241" s="6"/>
      <c r="NP241" s="6"/>
      <c r="NQ241" s="6"/>
      <c r="NR241" s="6"/>
      <c r="NS241" s="6"/>
      <c r="NT241" s="6"/>
      <c r="NU241" s="6"/>
      <c r="NV241" s="6"/>
    </row>
    <row r="242" spans="1:386" s="19" customFormat="1" ht="20.100000000000001" customHeight="1" x14ac:dyDescent="0.35">
      <c r="A242" s="1"/>
      <c r="B242" s="2"/>
      <c r="C242" s="3"/>
      <c r="D242" s="2"/>
      <c r="E242" s="2"/>
      <c r="F242" s="4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9"/>
      <c r="FL242" s="9"/>
      <c r="FM242" s="9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135"/>
      <c r="IK242" s="135"/>
      <c r="IL242" s="135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6"/>
      <c r="KZ242" s="6"/>
      <c r="LA242" s="6"/>
      <c r="LB242" s="6"/>
      <c r="LC242" s="6"/>
      <c r="LD242" s="6"/>
      <c r="LE242" s="6"/>
      <c r="LF242" s="6"/>
      <c r="LG242" s="6"/>
      <c r="LH242" s="6"/>
      <c r="LI242" s="6"/>
      <c r="LJ242" s="6"/>
      <c r="LK242" s="6"/>
      <c r="LL242" s="6"/>
      <c r="LM242" s="6"/>
      <c r="LN242" s="6"/>
      <c r="LO242" s="6"/>
      <c r="LP242" s="6"/>
      <c r="LQ242" s="6"/>
      <c r="LR242" s="6"/>
      <c r="LS242" s="6"/>
      <c r="LT242" s="6"/>
      <c r="LU242" s="6"/>
      <c r="LV242" s="6"/>
      <c r="LW242" s="6"/>
      <c r="LX242" s="6"/>
      <c r="LY242" s="6"/>
      <c r="LZ242" s="6"/>
      <c r="MA242" s="6"/>
      <c r="MB242" s="6"/>
      <c r="MC242" s="6"/>
      <c r="MD242" s="6"/>
      <c r="ME242" s="6"/>
      <c r="MF242" s="6"/>
      <c r="MG242" s="6"/>
      <c r="MH242" s="6"/>
      <c r="MI242" s="6"/>
      <c r="MJ242" s="6"/>
      <c r="MK242" s="6"/>
      <c r="ML242" s="6"/>
      <c r="MM242" s="6"/>
      <c r="MN242" s="6"/>
      <c r="MO242" s="6"/>
      <c r="MP242" s="6"/>
      <c r="MQ242" s="6"/>
      <c r="MR242" s="6"/>
      <c r="MS242" s="6"/>
      <c r="MT242" s="6"/>
      <c r="MU242" s="6"/>
      <c r="MV242" s="6"/>
      <c r="MW242" s="6"/>
      <c r="MX242" s="6"/>
      <c r="MY242" s="6"/>
      <c r="MZ242" s="6"/>
      <c r="NA242" s="6"/>
      <c r="NB242" s="6"/>
      <c r="NC242" s="6"/>
      <c r="ND242" s="6"/>
      <c r="NE242" s="6"/>
      <c r="NF242" s="6"/>
      <c r="NG242" s="6"/>
      <c r="NH242" s="6"/>
      <c r="NI242" s="6"/>
      <c r="NJ242" s="6"/>
      <c r="NK242" s="6"/>
      <c r="NL242" s="6"/>
      <c r="NM242" s="6"/>
      <c r="NN242" s="6"/>
      <c r="NO242" s="6"/>
      <c r="NP242" s="6"/>
      <c r="NQ242" s="6"/>
      <c r="NR242" s="6"/>
      <c r="NS242" s="6"/>
      <c r="NT242" s="6"/>
      <c r="NU242" s="6"/>
      <c r="NV242" s="6"/>
    </row>
    <row r="243" spans="1:386" s="19" customFormat="1" ht="20.100000000000001" customHeight="1" x14ac:dyDescent="0.35">
      <c r="A243" s="1"/>
      <c r="B243" s="2"/>
      <c r="C243" s="3"/>
      <c r="D243" s="2"/>
      <c r="E243" s="2"/>
      <c r="F243" s="4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9"/>
      <c r="FL243" s="9"/>
      <c r="FM243" s="9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135"/>
      <c r="IK243" s="135"/>
      <c r="IL243" s="135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6"/>
      <c r="KZ243" s="6"/>
      <c r="LA243" s="6"/>
      <c r="LB243" s="6"/>
      <c r="LC243" s="6"/>
      <c r="LD243" s="6"/>
      <c r="LE243" s="6"/>
      <c r="LF243" s="6"/>
      <c r="LG243" s="6"/>
      <c r="LH243" s="6"/>
      <c r="LI243" s="6"/>
      <c r="LJ243" s="6"/>
      <c r="LK243" s="6"/>
      <c r="LL243" s="6"/>
      <c r="LM243" s="6"/>
      <c r="LN243" s="6"/>
      <c r="LO243" s="6"/>
      <c r="LP243" s="6"/>
      <c r="LQ243" s="6"/>
      <c r="LR243" s="6"/>
      <c r="LS243" s="6"/>
      <c r="LT243" s="6"/>
      <c r="LU243" s="6"/>
      <c r="LV243" s="6"/>
      <c r="LW243" s="6"/>
      <c r="LX243" s="6"/>
      <c r="LY243" s="6"/>
      <c r="LZ243" s="6"/>
      <c r="MA243" s="6"/>
      <c r="MB243" s="6"/>
      <c r="MC243" s="6"/>
      <c r="MD243" s="6"/>
      <c r="ME243" s="6"/>
      <c r="MF243" s="6"/>
      <c r="MG243" s="6"/>
      <c r="MH243" s="6"/>
      <c r="MI243" s="6"/>
      <c r="MJ243" s="6"/>
      <c r="MK243" s="6"/>
      <c r="ML243" s="6"/>
      <c r="MM243" s="6"/>
      <c r="MN243" s="6"/>
      <c r="MO243" s="6"/>
      <c r="MP243" s="6"/>
      <c r="MQ243" s="6"/>
      <c r="MR243" s="6"/>
      <c r="MS243" s="6"/>
      <c r="MT243" s="6"/>
      <c r="MU243" s="6"/>
      <c r="MV243" s="6"/>
      <c r="MW243" s="6"/>
      <c r="MX243" s="6"/>
      <c r="MY243" s="6"/>
      <c r="MZ243" s="6"/>
      <c r="NA243" s="6"/>
      <c r="NB243" s="6"/>
      <c r="NC243" s="6"/>
      <c r="ND243" s="6"/>
      <c r="NE243" s="6"/>
      <c r="NF243" s="6"/>
      <c r="NG243" s="6"/>
      <c r="NH243" s="6"/>
      <c r="NI243" s="6"/>
      <c r="NJ243" s="6"/>
      <c r="NK243" s="6"/>
      <c r="NL243" s="6"/>
      <c r="NM243" s="6"/>
      <c r="NN243" s="6"/>
      <c r="NO243" s="6"/>
      <c r="NP243" s="6"/>
      <c r="NQ243" s="6"/>
      <c r="NR243" s="6"/>
      <c r="NS243" s="6"/>
      <c r="NT243" s="6"/>
      <c r="NU243" s="6"/>
      <c r="NV243" s="6"/>
    </row>
    <row r="244" spans="1:386" s="19" customFormat="1" ht="20.100000000000001" customHeight="1" x14ac:dyDescent="0.35">
      <c r="A244" s="1"/>
      <c r="B244" s="2"/>
      <c r="C244" s="3"/>
      <c r="D244" s="2"/>
      <c r="E244" s="2"/>
      <c r="F244" s="4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9"/>
      <c r="FL244" s="9"/>
      <c r="FM244" s="9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135"/>
      <c r="IK244" s="135"/>
      <c r="IL244" s="135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6"/>
      <c r="KZ244" s="6"/>
      <c r="LA244" s="6"/>
      <c r="LB244" s="6"/>
      <c r="LC244" s="6"/>
      <c r="LD244" s="6"/>
      <c r="LE244" s="6"/>
      <c r="LF244" s="6"/>
      <c r="LG244" s="6"/>
      <c r="LH244" s="6"/>
      <c r="LI244" s="6"/>
      <c r="LJ244" s="6"/>
      <c r="LK244" s="6"/>
      <c r="LL244" s="6"/>
      <c r="LM244" s="6"/>
      <c r="LN244" s="6"/>
      <c r="LO244" s="6"/>
      <c r="LP244" s="6"/>
      <c r="LQ244" s="6"/>
      <c r="LR244" s="6"/>
      <c r="LS244" s="6"/>
      <c r="LT244" s="6"/>
      <c r="LU244" s="6"/>
      <c r="LV244" s="6"/>
      <c r="LW244" s="6"/>
      <c r="LX244" s="6"/>
      <c r="LY244" s="6"/>
      <c r="LZ244" s="6"/>
      <c r="MA244" s="6"/>
      <c r="MB244" s="6"/>
      <c r="MC244" s="6"/>
      <c r="MD244" s="6"/>
      <c r="ME244" s="6"/>
      <c r="MF244" s="6"/>
      <c r="MG244" s="6"/>
      <c r="MH244" s="6"/>
      <c r="MI244" s="6"/>
      <c r="MJ244" s="6"/>
      <c r="MK244" s="6"/>
      <c r="ML244" s="6"/>
      <c r="MM244" s="6"/>
      <c r="MN244" s="6"/>
      <c r="MO244" s="6"/>
      <c r="MP244" s="6"/>
      <c r="MQ244" s="6"/>
      <c r="MR244" s="6"/>
      <c r="MS244" s="6"/>
      <c r="MT244" s="6"/>
      <c r="MU244" s="6"/>
      <c r="MV244" s="6"/>
      <c r="MW244" s="6"/>
      <c r="MX244" s="6"/>
      <c r="MY244" s="6"/>
      <c r="MZ244" s="6"/>
      <c r="NA244" s="6"/>
      <c r="NB244" s="6"/>
      <c r="NC244" s="6"/>
      <c r="ND244" s="6"/>
      <c r="NE244" s="6"/>
      <c r="NF244" s="6"/>
      <c r="NG244" s="6"/>
      <c r="NH244" s="6"/>
      <c r="NI244" s="6"/>
      <c r="NJ244" s="6"/>
      <c r="NK244" s="6"/>
      <c r="NL244" s="6"/>
      <c r="NM244" s="6"/>
      <c r="NN244" s="6"/>
      <c r="NO244" s="6"/>
      <c r="NP244" s="6"/>
      <c r="NQ244" s="6"/>
      <c r="NR244" s="6"/>
      <c r="NS244" s="6"/>
      <c r="NT244" s="6"/>
      <c r="NU244" s="6"/>
      <c r="NV244" s="6"/>
    </row>
    <row r="245" spans="1:386" s="19" customFormat="1" ht="20.100000000000001" customHeight="1" x14ac:dyDescent="0.35">
      <c r="A245" s="1"/>
      <c r="B245" s="2"/>
      <c r="C245" s="3"/>
      <c r="D245" s="2"/>
      <c r="E245" s="2"/>
      <c r="F245" s="4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9"/>
      <c r="FL245" s="9"/>
      <c r="FM245" s="9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135"/>
      <c r="IK245" s="135"/>
      <c r="IL245" s="135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6"/>
      <c r="KZ245" s="6"/>
      <c r="LA245" s="6"/>
      <c r="LB245" s="6"/>
      <c r="LC245" s="6"/>
      <c r="LD245" s="6"/>
      <c r="LE245" s="6"/>
      <c r="LF245" s="6"/>
      <c r="LG245" s="6"/>
      <c r="LH245" s="6"/>
      <c r="LI245" s="6"/>
      <c r="LJ245" s="6"/>
      <c r="LK245" s="6"/>
      <c r="LL245" s="6"/>
      <c r="LM245" s="6"/>
      <c r="LN245" s="6"/>
      <c r="LO245" s="6"/>
      <c r="LP245" s="6"/>
      <c r="LQ245" s="6"/>
      <c r="LR245" s="6"/>
      <c r="LS245" s="6"/>
      <c r="LT245" s="6"/>
      <c r="LU245" s="6"/>
      <c r="LV245" s="6"/>
      <c r="LW245" s="6"/>
      <c r="LX245" s="6"/>
      <c r="LY245" s="6"/>
      <c r="LZ245" s="6"/>
      <c r="MA245" s="6"/>
      <c r="MB245" s="6"/>
      <c r="MC245" s="6"/>
      <c r="MD245" s="6"/>
      <c r="ME245" s="6"/>
      <c r="MF245" s="6"/>
      <c r="MG245" s="6"/>
      <c r="MH245" s="6"/>
      <c r="MI245" s="6"/>
      <c r="MJ245" s="6"/>
      <c r="MK245" s="6"/>
      <c r="ML245" s="6"/>
      <c r="MM245" s="6"/>
      <c r="MN245" s="6"/>
      <c r="MO245" s="6"/>
      <c r="MP245" s="6"/>
      <c r="MQ245" s="6"/>
      <c r="MR245" s="6"/>
      <c r="MS245" s="6"/>
      <c r="MT245" s="6"/>
      <c r="MU245" s="6"/>
      <c r="MV245" s="6"/>
      <c r="MW245" s="6"/>
      <c r="MX245" s="6"/>
      <c r="MY245" s="6"/>
      <c r="MZ245" s="6"/>
      <c r="NA245" s="6"/>
      <c r="NB245" s="6"/>
      <c r="NC245" s="6"/>
      <c r="ND245" s="6"/>
      <c r="NE245" s="6"/>
      <c r="NF245" s="6"/>
      <c r="NG245" s="6"/>
      <c r="NH245" s="6"/>
      <c r="NI245" s="6"/>
      <c r="NJ245" s="6"/>
      <c r="NK245" s="6"/>
      <c r="NL245" s="6"/>
      <c r="NM245" s="6"/>
      <c r="NN245" s="6"/>
      <c r="NO245" s="6"/>
      <c r="NP245" s="6"/>
      <c r="NQ245" s="6"/>
      <c r="NR245" s="6"/>
      <c r="NS245" s="6"/>
      <c r="NT245" s="6"/>
      <c r="NU245" s="6"/>
      <c r="NV245" s="6"/>
    </row>
    <row r="246" spans="1:386" s="19" customFormat="1" ht="20.100000000000001" customHeight="1" x14ac:dyDescent="0.35">
      <c r="A246" s="1"/>
      <c r="B246" s="2"/>
      <c r="C246" s="3"/>
      <c r="D246" s="2"/>
      <c r="E246" s="2"/>
      <c r="F246" s="4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9"/>
      <c r="FL246" s="9"/>
      <c r="FM246" s="9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135"/>
      <c r="IK246" s="135"/>
      <c r="IL246" s="135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6"/>
      <c r="KZ246" s="6"/>
      <c r="LA246" s="6"/>
      <c r="LB246" s="6"/>
      <c r="LC246" s="6"/>
      <c r="LD246" s="6"/>
      <c r="LE246" s="6"/>
      <c r="LF246" s="6"/>
      <c r="LG246" s="6"/>
      <c r="LH246" s="6"/>
      <c r="LI246" s="6"/>
      <c r="LJ246" s="6"/>
      <c r="LK246" s="6"/>
      <c r="LL246" s="6"/>
      <c r="LM246" s="6"/>
      <c r="LN246" s="6"/>
      <c r="LO246" s="6"/>
      <c r="LP246" s="6"/>
      <c r="LQ246" s="6"/>
      <c r="LR246" s="6"/>
      <c r="LS246" s="6"/>
      <c r="LT246" s="6"/>
      <c r="LU246" s="6"/>
      <c r="LV246" s="6"/>
      <c r="LW246" s="6"/>
      <c r="LX246" s="6"/>
      <c r="LY246" s="6"/>
      <c r="LZ246" s="6"/>
      <c r="MA246" s="6"/>
      <c r="MB246" s="6"/>
      <c r="MC246" s="6"/>
      <c r="MD246" s="6"/>
      <c r="ME246" s="6"/>
      <c r="MF246" s="6"/>
      <c r="MG246" s="6"/>
      <c r="MH246" s="6"/>
      <c r="MI246" s="6"/>
      <c r="MJ246" s="6"/>
      <c r="MK246" s="6"/>
      <c r="ML246" s="6"/>
      <c r="MM246" s="6"/>
      <c r="MN246" s="6"/>
      <c r="MO246" s="6"/>
      <c r="MP246" s="6"/>
      <c r="MQ246" s="6"/>
      <c r="MR246" s="6"/>
      <c r="MS246" s="6"/>
      <c r="MT246" s="6"/>
      <c r="MU246" s="6"/>
      <c r="MV246" s="6"/>
      <c r="MW246" s="6"/>
      <c r="MX246" s="6"/>
      <c r="MY246" s="6"/>
      <c r="MZ246" s="6"/>
      <c r="NA246" s="6"/>
      <c r="NB246" s="6"/>
      <c r="NC246" s="6"/>
      <c r="ND246" s="6"/>
      <c r="NE246" s="6"/>
      <c r="NF246" s="6"/>
      <c r="NG246" s="6"/>
      <c r="NH246" s="6"/>
      <c r="NI246" s="6"/>
      <c r="NJ246" s="6"/>
      <c r="NK246" s="6"/>
      <c r="NL246" s="6"/>
      <c r="NM246" s="6"/>
      <c r="NN246" s="6"/>
      <c r="NO246" s="6"/>
      <c r="NP246" s="6"/>
      <c r="NQ246" s="6"/>
      <c r="NR246" s="6"/>
      <c r="NS246" s="6"/>
      <c r="NT246" s="6"/>
      <c r="NU246" s="6"/>
      <c r="NV246" s="6"/>
    </row>
    <row r="247" spans="1:386" s="19" customFormat="1" ht="20.100000000000001" customHeight="1" x14ac:dyDescent="0.35">
      <c r="A247" s="1"/>
      <c r="B247" s="2"/>
      <c r="C247" s="3"/>
      <c r="D247" s="2"/>
      <c r="E247" s="2"/>
      <c r="F247" s="4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9"/>
      <c r="FL247" s="9"/>
      <c r="FM247" s="9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135"/>
      <c r="IK247" s="135"/>
      <c r="IL247" s="135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6"/>
      <c r="KZ247" s="6"/>
      <c r="LA247" s="6"/>
      <c r="LB247" s="6"/>
      <c r="LC247" s="6"/>
      <c r="LD247" s="6"/>
      <c r="LE247" s="6"/>
      <c r="LF247" s="6"/>
      <c r="LG247" s="6"/>
      <c r="LH247" s="6"/>
      <c r="LI247" s="6"/>
      <c r="LJ247" s="6"/>
      <c r="LK247" s="6"/>
      <c r="LL247" s="6"/>
      <c r="LM247" s="6"/>
      <c r="LN247" s="6"/>
      <c r="LO247" s="6"/>
      <c r="LP247" s="6"/>
      <c r="LQ247" s="6"/>
      <c r="LR247" s="6"/>
      <c r="LS247" s="6"/>
      <c r="LT247" s="6"/>
      <c r="LU247" s="6"/>
      <c r="LV247" s="6"/>
      <c r="LW247" s="6"/>
      <c r="LX247" s="6"/>
      <c r="LY247" s="6"/>
      <c r="LZ247" s="6"/>
      <c r="MA247" s="6"/>
      <c r="MB247" s="6"/>
      <c r="MC247" s="6"/>
      <c r="MD247" s="6"/>
      <c r="ME247" s="6"/>
      <c r="MF247" s="6"/>
      <c r="MG247" s="6"/>
      <c r="MH247" s="6"/>
      <c r="MI247" s="6"/>
      <c r="MJ247" s="6"/>
      <c r="MK247" s="6"/>
      <c r="ML247" s="6"/>
      <c r="MM247" s="6"/>
      <c r="MN247" s="6"/>
      <c r="MO247" s="6"/>
      <c r="MP247" s="6"/>
      <c r="MQ247" s="6"/>
      <c r="MR247" s="6"/>
      <c r="MS247" s="6"/>
      <c r="MT247" s="6"/>
      <c r="MU247" s="6"/>
      <c r="MV247" s="6"/>
      <c r="MW247" s="6"/>
      <c r="MX247" s="6"/>
      <c r="MY247" s="6"/>
      <c r="MZ247" s="6"/>
      <c r="NA247" s="6"/>
      <c r="NB247" s="6"/>
      <c r="NC247" s="6"/>
      <c r="ND247" s="6"/>
      <c r="NE247" s="6"/>
      <c r="NF247" s="6"/>
      <c r="NG247" s="6"/>
      <c r="NH247" s="6"/>
      <c r="NI247" s="6"/>
      <c r="NJ247" s="6"/>
      <c r="NK247" s="6"/>
      <c r="NL247" s="6"/>
      <c r="NM247" s="6"/>
      <c r="NN247" s="6"/>
      <c r="NO247" s="6"/>
      <c r="NP247" s="6"/>
      <c r="NQ247" s="6"/>
      <c r="NR247" s="6"/>
      <c r="NS247" s="6"/>
      <c r="NT247" s="6"/>
      <c r="NU247" s="6"/>
      <c r="NV247" s="6"/>
    </row>
    <row r="248" spans="1:386" s="19" customFormat="1" ht="20.100000000000001" customHeight="1" x14ac:dyDescent="0.35">
      <c r="A248" s="1"/>
      <c r="B248" s="2"/>
      <c r="C248" s="3"/>
      <c r="D248" s="2"/>
      <c r="E248" s="2"/>
      <c r="F248" s="4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9"/>
      <c r="FL248" s="9"/>
      <c r="FM248" s="9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135"/>
      <c r="IK248" s="135"/>
      <c r="IL248" s="135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6"/>
      <c r="KZ248" s="6"/>
      <c r="LA248" s="6"/>
      <c r="LB248" s="6"/>
      <c r="LC248" s="6"/>
      <c r="LD248" s="6"/>
      <c r="LE248" s="6"/>
      <c r="LF248" s="6"/>
      <c r="LG248" s="6"/>
      <c r="LH248" s="6"/>
      <c r="LI248" s="6"/>
      <c r="LJ248" s="6"/>
      <c r="LK248" s="6"/>
      <c r="LL248" s="6"/>
      <c r="LM248" s="6"/>
      <c r="LN248" s="6"/>
      <c r="LO248" s="6"/>
      <c r="LP248" s="6"/>
      <c r="LQ248" s="6"/>
      <c r="LR248" s="6"/>
      <c r="LS248" s="6"/>
      <c r="LT248" s="6"/>
      <c r="LU248" s="6"/>
      <c r="LV248" s="6"/>
      <c r="LW248" s="6"/>
      <c r="LX248" s="6"/>
      <c r="LY248" s="6"/>
      <c r="LZ248" s="6"/>
      <c r="MA248" s="6"/>
      <c r="MB248" s="6"/>
      <c r="MC248" s="6"/>
      <c r="MD248" s="6"/>
      <c r="ME248" s="6"/>
      <c r="MF248" s="6"/>
      <c r="MG248" s="6"/>
      <c r="MH248" s="6"/>
      <c r="MI248" s="6"/>
      <c r="MJ248" s="6"/>
      <c r="MK248" s="6"/>
      <c r="ML248" s="6"/>
      <c r="MM248" s="6"/>
      <c r="MN248" s="6"/>
      <c r="MO248" s="6"/>
      <c r="MP248" s="6"/>
      <c r="MQ248" s="6"/>
      <c r="MR248" s="6"/>
      <c r="MS248" s="6"/>
      <c r="MT248" s="6"/>
      <c r="MU248" s="6"/>
      <c r="MV248" s="6"/>
      <c r="MW248" s="6"/>
      <c r="MX248" s="6"/>
      <c r="MY248" s="6"/>
      <c r="MZ248" s="6"/>
      <c r="NA248" s="6"/>
      <c r="NB248" s="6"/>
      <c r="NC248" s="6"/>
      <c r="ND248" s="6"/>
      <c r="NE248" s="6"/>
      <c r="NF248" s="6"/>
      <c r="NG248" s="6"/>
      <c r="NH248" s="6"/>
      <c r="NI248" s="6"/>
      <c r="NJ248" s="6"/>
      <c r="NK248" s="6"/>
      <c r="NL248" s="6"/>
      <c r="NM248" s="6"/>
      <c r="NN248" s="6"/>
      <c r="NO248" s="6"/>
      <c r="NP248" s="6"/>
      <c r="NQ248" s="6"/>
      <c r="NR248" s="6"/>
      <c r="NS248" s="6"/>
      <c r="NT248" s="6"/>
      <c r="NU248" s="6"/>
      <c r="NV248" s="6"/>
    </row>
    <row r="249" spans="1:386" s="19" customFormat="1" ht="20.100000000000001" customHeight="1" x14ac:dyDescent="0.35">
      <c r="A249" s="1"/>
      <c r="B249" s="2"/>
      <c r="C249" s="3"/>
      <c r="D249" s="2"/>
      <c r="E249" s="2"/>
      <c r="F249" s="4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9"/>
      <c r="FL249" s="9"/>
      <c r="FM249" s="9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135"/>
      <c r="IK249" s="135"/>
      <c r="IL249" s="135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6"/>
      <c r="KZ249" s="6"/>
      <c r="LA249" s="6"/>
      <c r="LB249" s="6"/>
      <c r="LC249" s="6"/>
      <c r="LD249" s="6"/>
      <c r="LE249" s="6"/>
      <c r="LF249" s="6"/>
      <c r="LG249" s="6"/>
      <c r="LH249" s="6"/>
      <c r="LI249" s="6"/>
      <c r="LJ249" s="6"/>
      <c r="LK249" s="6"/>
      <c r="LL249" s="6"/>
      <c r="LM249" s="6"/>
      <c r="LN249" s="6"/>
      <c r="LO249" s="6"/>
      <c r="LP249" s="6"/>
      <c r="LQ249" s="6"/>
      <c r="LR249" s="6"/>
      <c r="LS249" s="6"/>
      <c r="LT249" s="6"/>
      <c r="LU249" s="6"/>
      <c r="LV249" s="6"/>
      <c r="LW249" s="6"/>
      <c r="LX249" s="6"/>
      <c r="LY249" s="6"/>
      <c r="LZ249" s="6"/>
      <c r="MA249" s="6"/>
      <c r="MB249" s="6"/>
      <c r="MC249" s="6"/>
      <c r="MD249" s="6"/>
      <c r="ME249" s="6"/>
      <c r="MF249" s="6"/>
      <c r="MG249" s="6"/>
      <c r="MH249" s="6"/>
      <c r="MI249" s="6"/>
      <c r="MJ249" s="6"/>
      <c r="MK249" s="6"/>
      <c r="ML249" s="6"/>
      <c r="MM249" s="6"/>
      <c r="MN249" s="6"/>
      <c r="MO249" s="6"/>
      <c r="MP249" s="6"/>
      <c r="MQ249" s="6"/>
      <c r="MR249" s="6"/>
      <c r="MS249" s="6"/>
      <c r="MT249" s="6"/>
      <c r="MU249" s="6"/>
      <c r="MV249" s="6"/>
      <c r="MW249" s="6"/>
      <c r="MX249" s="6"/>
      <c r="MY249" s="6"/>
      <c r="MZ249" s="6"/>
      <c r="NA249" s="6"/>
      <c r="NB249" s="6"/>
      <c r="NC249" s="6"/>
      <c r="ND249" s="6"/>
      <c r="NE249" s="6"/>
      <c r="NF249" s="6"/>
      <c r="NG249" s="6"/>
      <c r="NH249" s="6"/>
      <c r="NI249" s="6"/>
      <c r="NJ249" s="6"/>
      <c r="NK249" s="6"/>
      <c r="NL249" s="6"/>
      <c r="NM249" s="6"/>
      <c r="NN249" s="6"/>
      <c r="NO249" s="6"/>
      <c r="NP249" s="6"/>
      <c r="NQ249" s="6"/>
      <c r="NR249" s="6"/>
      <c r="NS249" s="6"/>
      <c r="NT249" s="6"/>
      <c r="NU249" s="6"/>
      <c r="NV249" s="6"/>
    </row>
    <row r="250" spans="1:386" s="19" customFormat="1" ht="20.100000000000001" customHeight="1" x14ac:dyDescent="0.35">
      <c r="A250" s="1"/>
      <c r="B250" s="2"/>
      <c r="C250" s="3"/>
      <c r="D250" s="2"/>
      <c r="E250" s="2"/>
      <c r="F250" s="4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9"/>
      <c r="FL250" s="9"/>
      <c r="FM250" s="9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135"/>
      <c r="IK250" s="135"/>
      <c r="IL250" s="135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6"/>
      <c r="KZ250" s="6"/>
      <c r="LA250" s="6"/>
      <c r="LB250" s="6"/>
      <c r="LC250" s="6"/>
      <c r="LD250" s="6"/>
      <c r="LE250" s="6"/>
      <c r="LF250" s="6"/>
      <c r="LG250" s="6"/>
      <c r="LH250" s="6"/>
      <c r="LI250" s="6"/>
      <c r="LJ250" s="6"/>
      <c r="LK250" s="6"/>
      <c r="LL250" s="6"/>
      <c r="LM250" s="6"/>
      <c r="LN250" s="6"/>
      <c r="LO250" s="6"/>
      <c r="LP250" s="6"/>
      <c r="LQ250" s="6"/>
      <c r="LR250" s="6"/>
      <c r="LS250" s="6"/>
      <c r="LT250" s="6"/>
      <c r="LU250" s="6"/>
      <c r="LV250" s="6"/>
      <c r="LW250" s="6"/>
      <c r="LX250" s="6"/>
      <c r="LY250" s="6"/>
      <c r="LZ250" s="6"/>
      <c r="MA250" s="6"/>
      <c r="MB250" s="6"/>
      <c r="MC250" s="6"/>
      <c r="MD250" s="6"/>
      <c r="ME250" s="6"/>
      <c r="MF250" s="6"/>
      <c r="MG250" s="6"/>
      <c r="MH250" s="6"/>
      <c r="MI250" s="6"/>
      <c r="MJ250" s="6"/>
      <c r="MK250" s="6"/>
      <c r="ML250" s="6"/>
      <c r="MM250" s="6"/>
      <c r="MN250" s="6"/>
      <c r="MO250" s="6"/>
      <c r="MP250" s="6"/>
      <c r="MQ250" s="6"/>
      <c r="MR250" s="6"/>
      <c r="MS250" s="6"/>
      <c r="MT250" s="6"/>
      <c r="MU250" s="6"/>
      <c r="MV250" s="6"/>
      <c r="MW250" s="6"/>
      <c r="MX250" s="6"/>
      <c r="MY250" s="6"/>
      <c r="MZ250" s="6"/>
      <c r="NA250" s="6"/>
      <c r="NB250" s="6"/>
      <c r="NC250" s="6"/>
      <c r="ND250" s="6"/>
      <c r="NE250" s="6"/>
      <c r="NF250" s="6"/>
      <c r="NG250" s="6"/>
      <c r="NH250" s="6"/>
      <c r="NI250" s="6"/>
      <c r="NJ250" s="6"/>
      <c r="NK250" s="6"/>
      <c r="NL250" s="6"/>
      <c r="NM250" s="6"/>
      <c r="NN250" s="6"/>
      <c r="NO250" s="6"/>
      <c r="NP250" s="6"/>
      <c r="NQ250" s="6"/>
      <c r="NR250" s="6"/>
      <c r="NS250" s="6"/>
      <c r="NT250" s="6"/>
      <c r="NU250" s="6"/>
      <c r="NV250" s="6"/>
    </row>
    <row r="251" spans="1:386" s="19" customFormat="1" ht="20.100000000000001" customHeight="1" x14ac:dyDescent="0.35">
      <c r="A251" s="1"/>
      <c r="B251" s="2"/>
      <c r="C251" s="3"/>
      <c r="D251" s="2"/>
      <c r="E251" s="2"/>
      <c r="F251" s="4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9"/>
      <c r="FL251" s="9"/>
      <c r="FM251" s="9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135"/>
      <c r="IK251" s="135"/>
      <c r="IL251" s="135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6"/>
      <c r="KZ251" s="6"/>
      <c r="LA251" s="6"/>
      <c r="LB251" s="6"/>
      <c r="LC251" s="6"/>
      <c r="LD251" s="6"/>
      <c r="LE251" s="6"/>
      <c r="LF251" s="6"/>
      <c r="LG251" s="6"/>
      <c r="LH251" s="6"/>
      <c r="LI251" s="6"/>
      <c r="LJ251" s="6"/>
      <c r="LK251" s="6"/>
      <c r="LL251" s="6"/>
      <c r="LM251" s="6"/>
      <c r="LN251" s="6"/>
      <c r="LO251" s="6"/>
      <c r="LP251" s="6"/>
      <c r="LQ251" s="6"/>
      <c r="LR251" s="6"/>
      <c r="LS251" s="6"/>
      <c r="LT251" s="6"/>
      <c r="LU251" s="6"/>
      <c r="LV251" s="6"/>
      <c r="LW251" s="6"/>
      <c r="LX251" s="6"/>
      <c r="LY251" s="6"/>
      <c r="LZ251" s="6"/>
      <c r="MA251" s="6"/>
      <c r="MB251" s="6"/>
      <c r="MC251" s="6"/>
      <c r="MD251" s="6"/>
      <c r="ME251" s="6"/>
      <c r="MF251" s="6"/>
      <c r="MG251" s="6"/>
      <c r="MH251" s="6"/>
      <c r="MI251" s="6"/>
      <c r="MJ251" s="6"/>
      <c r="MK251" s="6"/>
      <c r="ML251" s="6"/>
      <c r="MM251" s="6"/>
      <c r="MN251" s="6"/>
      <c r="MO251" s="6"/>
      <c r="MP251" s="6"/>
      <c r="MQ251" s="6"/>
      <c r="MR251" s="6"/>
      <c r="MS251" s="6"/>
      <c r="MT251" s="6"/>
      <c r="MU251" s="6"/>
      <c r="MV251" s="6"/>
      <c r="MW251" s="6"/>
      <c r="MX251" s="6"/>
      <c r="MY251" s="6"/>
      <c r="MZ251" s="6"/>
      <c r="NA251" s="6"/>
      <c r="NB251" s="6"/>
      <c r="NC251" s="6"/>
      <c r="ND251" s="6"/>
      <c r="NE251" s="6"/>
      <c r="NF251" s="6"/>
      <c r="NG251" s="6"/>
      <c r="NH251" s="6"/>
      <c r="NI251" s="6"/>
      <c r="NJ251" s="6"/>
      <c r="NK251" s="6"/>
      <c r="NL251" s="6"/>
      <c r="NM251" s="6"/>
      <c r="NN251" s="6"/>
      <c r="NO251" s="6"/>
      <c r="NP251" s="6"/>
      <c r="NQ251" s="6"/>
      <c r="NR251" s="6"/>
      <c r="NS251" s="6"/>
      <c r="NT251" s="6"/>
      <c r="NU251" s="6"/>
      <c r="NV251" s="6"/>
    </row>
    <row r="252" spans="1:386" s="19" customFormat="1" ht="20.100000000000001" customHeight="1" x14ac:dyDescent="0.35">
      <c r="A252" s="1"/>
      <c r="B252" s="2"/>
      <c r="C252" s="3"/>
      <c r="D252" s="2"/>
      <c r="E252" s="2"/>
      <c r="F252" s="4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9"/>
      <c r="FL252" s="9"/>
      <c r="FM252" s="9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135"/>
      <c r="IK252" s="135"/>
      <c r="IL252" s="135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6"/>
      <c r="KZ252" s="6"/>
      <c r="LA252" s="6"/>
      <c r="LB252" s="6"/>
      <c r="LC252" s="6"/>
      <c r="LD252" s="6"/>
      <c r="LE252" s="6"/>
      <c r="LF252" s="6"/>
      <c r="LG252" s="6"/>
      <c r="LH252" s="6"/>
      <c r="LI252" s="6"/>
      <c r="LJ252" s="6"/>
      <c r="LK252" s="6"/>
      <c r="LL252" s="6"/>
      <c r="LM252" s="6"/>
      <c r="LN252" s="6"/>
      <c r="LO252" s="6"/>
      <c r="LP252" s="6"/>
      <c r="LQ252" s="6"/>
      <c r="LR252" s="6"/>
      <c r="LS252" s="6"/>
      <c r="LT252" s="6"/>
      <c r="LU252" s="6"/>
      <c r="LV252" s="6"/>
      <c r="LW252" s="6"/>
      <c r="LX252" s="6"/>
      <c r="LY252" s="6"/>
      <c r="LZ252" s="6"/>
      <c r="MA252" s="6"/>
      <c r="MB252" s="6"/>
      <c r="MC252" s="6"/>
      <c r="MD252" s="6"/>
      <c r="ME252" s="6"/>
      <c r="MF252" s="6"/>
      <c r="MG252" s="6"/>
      <c r="MH252" s="6"/>
      <c r="MI252" s="6"/>
      <c r="MJ252" s="6"/>
      <c r="MK252" s="6"/>
      <c r="ML252" s="6"/>
      <c r="MM252" s="6"/>
      <c r="MN252" s="6"/>
      <c r="MO252" s="6"/>
      <c r="MP252" s="6"/>
      <c r="MQ252" s="6"/>
      <c r="MR252" s="6"/>
      <c r="MS252" s="6"/>
      <c r="MT252" s="6"/>
      <c r="MU252" s="6"/>
      <c r="MV252" s="6"/>
      <c r="MW252" s="6"/>
      <c r="MX252" s="6"/>
      <c r="MY252" s="6"/>
      <c r="MZ252" s="6"/>
      <c r="NA252" s="6"/>
      <c r="NB252" s="6"/>
      <c r="NC252" s="6"/>
      <c r="ND252" s="6"/>
      <c r="NE252" s="6"/>
      <c r="NF252" s="6"/>
      <c r="NG252" s="6"/>
      <c r="NH252" s="6"/>
      <c r="NI252" s="6"/>
      <c r="NJ252" s="6"/>
      <c r="NK252" s="6"/>
      <c r="NL252" s="6"/>
      <c r="NM252" s="6"/>
      <c r="NN252" s="6"/>
      <c r="NO252" s="6"/>
      <c r="NP252" s="6"/>
      <c r="NQ252" s="6"/>
      <c r="NR252" s="6"/>
      <c r="NS252" s="6"/>
      <c r="NT252" s="6"/>
      <c r="NU252" s="6"/>
      <c r="NV252" s="6"/>
    </row>
    <row r="253" spans="1:386" s="19" customFormat="1" ht="20.100000000000001" customHeight="1" x14ac:dyDescent="0.35">
      <c r="A253" s="1"/>
      <c r="B253" s="2"/>
      <c r="C253" s="3"/>
      <c r="D253" s="2"/>
      <c r="E253" s="2"/>
      <c r="F253" s="4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9"/>
      <c r="FL253" s="9"/>
      <c r="FM253" s="9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135"/>
      <c r="IK253" s="135"/>
      <c r="IL253" s="135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6"/>
      <c r="KZ253" s="6"/>
      <c r="LA253" s="6"/>
      <c r="LB253" s="6"/>
      <c r="LC253" s="6"/>
      <c r="LD253" s="6"/>
      <c r="LE253" s="6"/>
      <c r="LF253" s="6"/>
      <c r="LG253" s="6"/>
      <c r="LH253" s="6"/>
      <c r="LI253" s="6"/>
      <c r="LJ253" s="6"/>
      <c r="LK253" s="6"/>
      <c r="LL253" s="6"/>
      <c r="LM253" s="6"/>
      <c r="LN253" s="6"/>
      <c r="LO253" s="6"/>
      <c r="LP253" s="6"/>
      <c r="LQ253" s="6"/>
      <c r="LR253" s="6"/>
      <c r="LS253" s="6"/>
      <c r="LT253" s="6"/>
      <c r="LU253" s="6"/>
      <c r="LV253" s="6"/>
      <c r="LW253" s="6"/>
      <c r="LX253" s="6"/>
      <c r="LY253" s="6"/>
      <c r="LZ253" s="6"/>
      <c r="MA253" s="6"/>
      <c r="MB253" s="6"/>
      <c r="MC253" s="6"/>
      <c r="MD253" s="6"/>
      <c r="ME253" s="6"/>
      <c r="MF253" s="6"/>
      <c r="MG253" s="6"/>
      <c r="MH253" s="6"/>
      <c r="MI253" s="6"/>
      <c r="MJ253" s="6"/>
      <c r="MK253" s="6"/>
      <c r="ML253" s="6"/>
      <c r="MM253" s="6"/>
      <c r="MN253" s="6"/>
      <c r="MO253" s="6"/>
      <c r="MP253" s="6"/>
      <c r="MQ253" s="6"/>
      <c r="MR253" s="6"/>
      <c r="MS253" s="6"/>
      <c r="MT253" s="6"/>
      <c r="MU253" s="6"/>
      <c r="MV253" s="6"/>
      <c r="MW253" s="6"/>
      <c r="MX253" s="6"/>
      <c r="MY253" s="6"/>
      <c r="MZ253" s="6"/>
      <c r="NA253" s="6"/>
      <c r="NB253" s="6"/>
      <c r="NC253" s="6"/>
      <c r="ND253" s="6"/>
      <c r="NE253" s="6"/>
      <c r="NF253" s="6"/>
      <c r="NG253" s="6"/>
      <c r="NH253" s="6"/>
      <c r="NI253" s="6"/>
      <c r="NJ253" s="6"/>
      <c r="NK253" s="6"/>
      <c r="NL253" s="6"/>
      <c r="NM253" s="6"/>
      <c r="NN253" s="6"/>
      <c r="NO253" s="6"/>
      <c r="NP253" s="6"/>
      <c r="NQ253" s="6"/>
      <c r="NR253" s="6"/>
      <c r="NS253" s="6"/>
      <c r="NT253" s="6"/>
      <c r="NU253" s="6"/>
      <c r="NV253" s="6"/>
    </row>
    <row r="254" spans="1:386" s="19" customFormat="1" ht="20.100000000000001" customHeight="1" x14ac:dyDescent="0.35">
      <c r="A254" s="1"/>
      <c r="B254" s="2"/>
      <c r="C254" s="3"/>
      <c r="D254" s="2"/>
      <c r="E254" s="2"/>
      <c r="F254" s="4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9"/>
      <c r="FL254" s="9"/>
      <c r="FM254" s="9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135"/>
      <c r="IK254" s="135"/>
      <c r="IL254" s="135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6"/>
      <c r="KZ254" s="6"/>
      <c r="LA254" s="6"/>
      <c r="LB254" s="6"/>
      <c r="LC254" s="6"/>
      <c r="LD254" s="6"/>
      <c r="LE254" s="6"/>
      <c r="LF254" s="6"/>
      <c r="LG254" s="6"/>
      <c r="LH254" s="6"/>
      <c r="LI254" s="6"/>
      <c r="LJ254" s="6"/>
      <c r="LK254" s="6"/>
      <c r="LL254" s="6"/>
      <c r="LM254" s="6"/>
      <c r="LN254" s="6"/>
      <c r="LO254" s="6"/>
      <c r="LP254" s="6"/>
      <c r="LQ254" s="6"/>
      <c r="LR254" s="6"/>
      <c r="LS254" s="6"/>
      <c r="LT254" s="6"/>
      <c r="LU254" s="6"/>
      <c r="LV254" s="6"/>
      <c r="LW254" s="6"/>
      <c r="LX254" s="6"/>
      <c r="LY254" s="6"/>
      <c r="LZ254" s="6"/>
      <c r="MA254" s="6"/>
      <c r="MB254" s="6"/>
      <c r="MC254" s="6"/>
      <c r="MD254" s="6"/>
      <c r="ME254" s="6"/>
      <c r="MF254" s="6"/>
      <c r="MG254" s="6"/>
      <c r="MH254" s="6"/>
      <c r="MI254" s="6"/>
      <c r="MJ254" s="6"/>
      <c r="MK254" s="6"/>
      <c r="ML254" s="6"/>
      <c r="MM254" s="6"/>
      <c r="MN254" s="6"/>
      <c r="MO254" s="6"/>
      <c r="MP254" s="6"/>
      <c r="MQ254" s="6"/>
      <c r="MR254" s="6"/>
      <c r="MS254" s="6"/>
      <c r="MT254" s="6"/>
      <c r="MU254" s="6"/>
      <c r="MV254" s="6"/>
      <c r="MW254" s="6"/>
      <c r="MX254" s="6"/>
      <c r="MY254" s="6"/>
      <c r="MZ254" s="6"/>
      <c r="NA254" s="6"/>
      <c r="NB254" s="6"/>
      <c r="NC254" s="6"/>
      <c r="ND254" s="6"/>
      <c r="NE254" s="6"/>
      <c r="NF254" s="6"/>
      <c r="NG254" s="6"/>
      <c r="NH254" s="6"/>
      <c r="NI254" s="6"/>
      <c r="NJ254" s="6"/>
      <c r="NK254" s="6"/>
      <c r="NL254" s="6"/>
      <c r="NM254" s="6"/>
      <c r="NN254" s="6"/>
      <c r="NO254" s="6"/>
      <c r="NP254" s="6"/>
      <c r="NQ254" s="6"/>
      <c r="NR254" s="6"/>
      <c r="NS254" s="6"/>
      <c r="NT254" s="6"/>
      <c r="NU254" s="6"/>
      <c r="NV254" s="6"/>
    </row>
    <row r="255" spans="1:386" s="19" customFormat="1" ht="20.100000000000001" customHeight="1" x14ac:dyDescent="0.35">
      <c r="A255" s="1"/>
      <c r="B255" s="2"/>
      <c r="C255" s="3"/>
      <c r="D255" s="2"/>
      <c r="E255" s="2"/>
      <c r="F255" s="4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9"/>
      <c r="FL255" s="9"/>
      <c r="FM255" s="9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135"/>
      <c r="IK255" s="135"/>
      <c r="IL255" s="135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6"/>
      <c r="KZ255" s="6"/>
      <c r="LA255" s="6"/>
      <c r="LB255" s="6"/>
      <c r="LC255" s="6"/>
      <c r="LD255" s="6"/>
      <c r="LE255" s="6"/>
      <c r="LF255" s="6"/>
      <c r="LG255" s="6"/>
      <c r="LH255" s="6"/>
      <c r="LI255" s="6"/>
      <c r="LJ255" s="6"/>
      <c r="LK255" s="6"/>
      <c r="LL255" s="6"/>
      <c r="LM255" s="6"/>
      <c r="LN255" s="6"/>
      <c r="LO255" s="6"/>
      <c r="LP255" s="6"/>
      <c r="LQ255" s="6"/>
      <c r="LR255" s="6"/>
      <c r="LS255" s="6"/>
      <c r="LT255" s="6"/>
      <c r="LU255" s="6"/>
      <c r="LV255" s="6"/>
      <c r="LW255" s="6"/>
      <c r="LX255" s="6"/>
      <c r="LY255" s="6"/>
      <c r="LZ255" s="6"/>
      <c r="MA255" s="6"/>
      <c r="MB255" s="6"/>
      <c r="MC255" s="6"/>
      <c r="MD255" s="6"/>
      <c r="ME255" s="6"/>
      <c r="MF255" s="6"/>
      <c r="MG255" s="6"/>
      <c r="MH255" s="6"/>
      <c r="MI255" s="6"/>
      <c r="MJ255" s="6"/>
      <c r="MK255" s="6"/>
      <c r="ML255" s="6"/>
      <c r="MM255" s="6"/>
      <c r="MN255" s="6"/>
      <c r="MO255" s="6"/>
      <c r="MP255" s="6"/>
      <c r="MQ255" s="6"/>
      <c r="MR255" s="6"/>
      <c r="MS255" s="6"/>
      <c r="MT255" s="6"/>
      <c r="MU255" s="6"/>
      <c r="MV255" s="6"/>
      <c r="MW255" s="6"/>
      <c r="MX255" s="6"/>
      <c r="MY255" s="6"/>
      <c r="MZ255" s="6"/>
      <c r="NA255" s="6"/>
      <c r="NB255" s="6"/>
      <c r="NC255" s="6"/>
      <c r="ND255" s="6"/>
      <c r="NE255" s="6"/>
      <c r="NF255" s="6"/>
      <c r="NG255" s="6"/>
      <c r="NH255" s="6"/>
      <c r="NI255" s="6"/>
      <c r="NJ255" s="6"/>
      <c r="NK255" s="6"/>
      <c r="NL255" s="6"/>
      <c r="NM255" s="6"/>
      <c r="NN255" s="6"/>
      <c r="NO255" s="6"/>
      <c r="NP255" s="6"/>
      <c r="NQ255" s="6"/>
      <c r="NR255" s="6"/>
      <c r="NS255" s="6"/>
      <c r="NT255" s="6"/>
      <c r="NU255" s="6"/>
      <c r="NV255" s="6"/>
    </row>
    <row r="256" spans="1:386" s="19" customFormat="1" ht="20.100000000000001" customHeight="1" x14ac:dyDescent="0.35">
      <c r="A256" s="1"/>
      <c r="B256" s="2"/>
      <c r="C256" s="3"/>
      <c r="D256" s="2"/>
      <c r="E256" s="2"/>
      <c r="F256" s="4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9"/>
      <c r="FL256" s="9"/>
      <c r="FM256" s="9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135"/>
      <c r="IK256" s="135"/>
      <c r="IL256" s="135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6"/>
      <c r="KZ256" s="6"/>
      <c r="LA256" s="6"/>
      <c r="LB256" s="6"/>
      <c r="LC256" s="6"/>
      <c r="LD256" s="6"/>
      <c r="LE256" s="6"/>
      <c r="LF256" s="6"/>
      <c r="LG256" s="6"/>
      <c r="LH256" s="6"/>
      <c r="LI256" s="6"/>
      <c r="LJ256" s="6"/>
      <c r="LK256" s="6"/>
      <c r="LL256" s="6"/>
      <c r="LM256" s="6"/>
      <c r="LN256" s="6"/>
      <c r="LO256" s="6"/>
      <c r="LP256" s="6"/>
      <c r="LQ256" s="6"/>
      <c r="LR256" s="6"/>
      <c r="LS256" s="6"/>
      <c r="LT256" s="6"/>
      <c r="LU256" s="6"/>
      <c r="LV256" s="6"/>
      <c r="LW256" s="6"/>
      <c r="LX256" s="6"/>
      <c r="LY256" s="6"/>
      <c r="LZ256" s="6"/>
      <c r="MA256" s="6"/>
      <c r="MB256" s="6"/>
      <c r="MC256" s="6"/>
      <c r="MD256" s="6"/>
      <c r="ME256" s="6"/>
      <c r="MF256" s="6"/>
      <c r="MG256" s="6"/>
      <c r="MH256" s="6"/>
      <c r="MI256" s="6"/>
      <c r="MJ256" s="6"/>
      <c r="MK256" s="6"/>
      <c r="ML256" s="6"/>
      <c r="MM256" s="6"/>
      <c r="MN256" s="6"/>
      <c r="MO256" s="6"/>
      <c r="MP256" s="6"/>
      <c r="MQ256" s="6"/>
      <c r="MR256" s="6"/>
      <c r="MS256" s="6"/>
      <c r="MT256" s="6"/>
      <c r="MU256" s="6"/>
      <c r="MV256" s="6"/>
      <c r="MW256" s="6"/>
      <c r="MX256" s="6"/>
      <c r="MY256" s="6"/>
      <c r="MZ256" s="6"/>
      <c r="NA256" s="6"/>
      <c r="NB256" s="6"/>
      <c r="NC256" s="6"/>
      <c r="ND256" s="6"/>
      <c r="NE256" s="6"/>
      <c r="NF256" s="6"/>
      <c r="NG256" s="6"/>
      <c r="NH256" s="6"/>
      <c r="NI256" s="6"/>
      <c r="NJ256" s="6"/>
      <c r="NK256" s="6"/>
      <c r="NL256" s="6"/>
      <c r="NM256" s="6"/>
      <c r="NN256" s="6"/>
      <c r="NO256" s="6"/>
      <c r="NP256" s="6"/>
      <c r="NQ256" s="6"/>
      <c r="NR256" s="6"/>
      <c r="NS256" s="6"/>
      <c r="NT256" s="6"/>
      <c r="NU256" s="6"/>
      <c r="NV256" s="6"/>
    </row>
    <row r="257" spans="1:386" s="19" customFormat="1" ht="20.100000000000001" customHeight="1" x14ac:dyDescent="0.35">
      <c r="A257" s="1"/>
      <c r="B257" s="2"/>
      <c r="C257" s="3"/>
      <c r="D257" s="2"/>
      <c r="E257" s="2"/>
      <c r="F257" s="4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9"/>
      <c r="FL257" s="9"/>
      <c r="FM257" s="9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135"/>
      <c r="IK257" s="135"/>
      <c r="IL257" s="135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6"/>
      <c r="LB257" s="6"/>
      <c r="LC257" s="6"/>
      <c r="LD257" s="6"/>
      <c r="LE257" s="6"/>
      <c r="LF257" s="6"/>
      <c r="LG257" s="6"/>
      <c r="LH257" s="6"/>
      <c r="LI257" s="6"/>
      <c r="LJ257" s="6"/>
      <c r="LK257" s="6"/>
      <c r="LL257" s="6"/>
      <c r="LM257" s="6"/>
      <c r="LN257" s="6"/>
      <c r="LO257" s="6"/>
      <c r="LP257" s="6"/>
      <c r="LQ257" s="6"/>
      <c r="LR257" s="6"/>
      <c r="LS257" s="6"/>
      <c r="LT257" s="6"/>
      <c r="LU257" s="6"/>
      <c r="LV257" s="6"/>
      <c r="LW257" s="6"/>
      <c r="LX257" s="6"/>
      <c r="LY257" s="6"/>
      <c r="LZ257" s="6"/>
      <c r="MA257" s="6"/>
      <c r="MB257" s="6"/>
      <c r="MC257" s="6"/>
      <c r="MD257" s="6"/>
      <c r="ME257" s="6"/>
      <c r="MF257" s="6"/>
      <c r="MG257" s="6"/>
      <c r="MH257" s="6"/>
      <c r="MI257" s="6"/>
      <c r="MJ257" s="6"/>
      <c r="MK257" s="6"/>
      <c r="ML257" s="6"/>
      <c r="MM257" s="6"/>
      <c r="MN257" s="6"/>
      <c r="MO257" s="6"/>
      <c r="MP257" s="6"/>
      <c r="MQ257" s="6"/>
      <c r="MR257" s="6"/>
      <c r="MS257" s="6"/>
      <c r="MT257" s="6"/>
      <c r="MU257" s="6"/>
      <c r="MV257" s="6"/>
      <c r="MW257" s="6"/>
      <c r="MX257" s="6"/>
      <c r="MY257" s="6"/>
      <c r="MZ257" s="6"/>
      <c r="NA257" s="6"/>
      <c r="NB257" s="6"/>
      <c r="NC257" s="6"/>
      <c r="ND257" s="6"/>
      <c r="NE257" s="6"/>
      <c r="NF257" s="6"/>
      <c r="NG257" s="6"/>
      <c r="NH257" s="6"/>
      <c r="NI257" s="6"/>
      <c r="NJ257" s="6"/>
      <c r="NK257" s="6"/>
      <c r="NL257" s="6"/>
      <c r="NM257" s="6"/>
      <c r="NN257" s="6"/>
      <c r="NO257" s="6"/>
      <c r="NP257" s="6"/>
      <c r="NQ257" s="6"/>
      <c r="NR257" s="6"/>
      <c r="NS257" s="6"/>
      <c r="NT257" s="6"/>
      <c r="NU257" s="6"/>
      <c r="NV257" s="6"/>
    </row>
    <row r="258" spans="1:386" s="19" customFormat="1" ht="20.100000000000001" customHeight="1" x14ac:dyDescent="0.35">
      <c r="A258" s="1"/>
      <c r="B258" s="2"/>
      <c r="C258" s="3"/>
      <c r="D258" s="2"/>
      <c r="E258" s="2"/>
      <c r="F258" s="4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9"/>
      <c r="FL258" s="9"/>
      <c r="FM258" s="9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135"/>
      <c r="IK258" s="135"/>
      <c r="IL258" s="135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6"/>
      <c r="KZ258" s="6"/>
      <c r="LA258" s="6"/>
      <c r="LB258" s="6"/>
      <c r="LC258" s="6"/>
      <c r="LD258" s="6"/>
      <c r="LE258" s="6"/>
      <c r="LF258" s="6"/>
      <c r="LG258" s="6"/>
      <c r="LH258" s="6"/>
      <c r="LI258" s="6"/>
      <c r="LJ258" s="6"/>
      <c r="LK258" s="6"/>
      <c r="LL258" s="6"/>
      <c r="LM258" s="6"/>
      <c r="LN258" s="6"/>
      <c r="LO258" s="6"/>
      <c r="LP258" s="6"/>
      <c r="LQ258" s="6"/>
      <c r="LR258" s="6"/>
      <c r="LS258" s="6"/>
      <c r="LT258" s="6"/>
      <c r="LU258" s="6"/>
      <c r="LV258" s="6"/>
      <c r="LW258" s="6"/>
      <c r="LX258" s="6"/>
      <c r="LY258" s="6"/>
      <c r="LZ258" s="6"/>
      <c r="MA258" s="6"/>
      <c r="MB258" s="6"/>
      <c r="MC258" s="6"/>
      <c r="MD258" s="6"/>
      <c r="ME258" s="6"/>
      <c r="MF258" s="6"/>
      <c r="MG258" s="6"/>
      <c r="MH258" s="6"/>
      <c r="MI258" s="6"/>
      <c r="MJ258" s="6"/>
      <c r="MK258" s="6"/>
      <c r="ML258" s="6"/>
      <c r="MM258" s="6"/>
      <c r="MN258" s="6"/>
      <c r="MO258" s="6"/>
      <c r="MP258" s="6"/>
      <c r="MQ258" s="6"/>
      <c r="MR258" s="6"/>
      <c r="MS258" s="6"/>
      <c r="MT258" s="6"/>
      <c r="MU258" s="6"/>
      <c r="MV258" s="6"/>
      <c r="MW258" s="6"/>
      <c r="MX258" s="6"/>
      <c r="MY258" s="6"/>
      <c r="MZ258" s="6"/>
      <c r="NA258" s="6"/>
      <c r="NB258" s="6"/>
      <c r="NC258" s="6"/>
      <c r="ND258" s="6"/>
      <c r="NE258" s="6"/>
      <c r="NF258" s="6"/>
      <c r="NG258" s="6"/>
      <c r="NH258" s="6"/>
      <c r="NI258" s="6"/>
      <c r="NJ258" s="6"/>
      <c r="NK258" s="6"/>
      <c r="NL258" s="6"/>
      <c r="NM258" s="6"/>
      <c r="NN258" s="6"/>
      <c r="NO258" s="6"/>
      <c r="NP258" s="6"/>
      <c r="NQ258" s="6"/>
      <c r="NR258" s="6"/>
      <c r="NS258" s="6"/>
      <c r="NT258" s="6"/>
      <c r="NU258" s="6"/>
      <c r="NV258" s="6"/>
    </row>
    <row r="259" spans="1:386" s="19" customFormat="1" ht="20.100000000000001" customHeight="1" x14ac:dyDescent="0.35">
      <c r="A259" s="1"/>
      <c r="B259" s="2"/>
      <c r="C259" s="3"/>
      <c r="D259" s="2"/>
      <c r="E259" s="2"/>
      <c r="F259" s="4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9"/>
      <c r="FL259" s="9"/>
      <c r="FM259" s="9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135"/>
      <c r="IK259" s="135"/>
      <c r="IL259" s="135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6"/>
      <c r="KZ259" s="6"/>
      <c r="LA259" s="6"/>
      <c r="LB259" s="6"/>
      <c r="LC259" s="6"/>
      <c r="LD259" s="6"/>
      <c r="LE259" s="6"/>
      <c r="LF259" s="6"/>
      <c r="LG259" s="6"/>
      <c r="LH259" s="6"/>
      <c r="LI259" s="6"/>
      <c r="LJ259" s="6"/>
      <c r="LK259" s="6"/>
      <c r="LL259" s="6"/>
      <c r="LM259" s="6"/>
      <c r="LN259" s="6"/>
      <c r="LO259" s="6"/>
      <c r="LP259" s="6"/>
      <c r="LQ259" s="6"/>
      <c r="LR259" s="6"/>
      <c r="LS259" s="6"/>
      <c r="LT259" s="6"/>
      <c r="LU259" s="6"/>
      <c r="LV259" s="6"/>
      <c r="LW259" s="6"/>
      <c r="LX259" s="6"/>
      <c r="LY259" s="6"/>
      <c r="LZ259" s="6"/>
      <c r="MA259" s="6"/>
      <c r="MB259" s="6"/>
      <c r="MC259" s="6"/>
      <c r="MD259" s="6"/>
      <c r="ME259" s="6"/>
      <c r="MF259" s="6"/>
      <c r="MG259" s="6"/>
      <c r="MH259" s="6"/>
      <c r="MI259" s="6"/>
      <c r="MJ259" s="6"/>
      <c r="MK259" s="6"/>
      <c r="ML259" s="6"/>
      <c r="MM259" s="6"/>
      <c r="MN259" s="6"/>
      <c r="MO259" s="6"/>
      <c r="MP259" s="6"/>
      <c r="MQ259" s="6"/>
      <c r="MR259" s="6"/>
      <c r="MS259" s="6"/>
      <c r="MT259" s="6"/>
      <c r="MU259" s="6"/>
      <c r="MV259" s="6"/>
      <c r="MW259" s="6"/>
      <c r="MX259" s="6"/>
      <c r="MY259" s="6"/>
      <c r="MZ259" s="6"/>
      <c r="NA259" s="6"/>
      <c r="NB259" s="6"/>
      <c r="NC259" s="6"/>
      <c r="ND259" s="6"/>
      <c r="NE259" s="6"/>
      <c r="NF259" s="6"/>
      <c r="NG259" s="6"/>
      <c r="NH259" s="6"/>
      <c r="NI259" s="6"/>
      <c r="NJ259" s="6"/>
      <c r="NK259" s="6"/>
      <c r="NL259" s="6"/>
      <c r="NM259" s="6"/>
      <c r="NN259" s="6"/>
      <c r="NO259" s="6"/>
      <c r="NP259" s="6"/>
      <c r="NQ259" s="6"/>
      <c r="NR259" s="6"/>
      <c r="NS259" s="6"/>
      <c r="NT259" s="6"/>
      <c r="NU259" s="6"/>
      <c r="NV259" s="6"/>
    </row>
    <row r="260" spans="1:386" s="19" customFormat="1" ht="20.100000000000001" customHeight="1" x14ac:dyDescent="0.35">
      <c r="A260" s="1"/>
      <c r="B260" s="2"/>
      <c r="C260" s="3"/>
      <c r="D260" s="2"/>
      <c r="E260" s="2"/>
      <c r="F260" s="4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9"/>
      <c r="FL260" s="9"/>
      <c r="FM260" s="9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135"/>
      <c r="IK260" s="135"/>
      <c r="IL260" s="135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6"/>
      <c r="KZ260" s="6"/>
      <c r="LA260" s="6"/>
      <c r="LB260" s="6"/>
      <c r="LC260" s="6"/>
      <c r="LD260" s="6"/>
      <c r="LE260" s="6"/>
      <c r="LF260" s="6"/>
      <c r="LG260" s="6"/>
      <c r="LH260" s="6"/>
      <c r="LI260" s="6"/>
      <c r="LJ260" s="6"/>
      <c r="LK260" s="6"/>
      <c r="LL260" s="6"/>
      <c r="LM260" s="6"/>
      <c r="LN260" s="6"/>
      <c r="LO260" s="6"/>
      <c r="LP260" s="6"/>
      <c r="LQ260" s="6"/>
      <c r="LR260" s="6"/>
      <c r="LS260" s="6"/>
      <c r="LT260" s="6"/>
      <c r="LU260" s="6"/>
      <c r="LV260" s="6"/>
      <c r="LW260" s="6"/>
      <c r="LX260" s="6"/>
      <c r="LY260" s="6"/>
      <c r="LZ260" s="6"/>
      <c r="MA260" s="6"/>
      <c r="MB260" s="6"/>
      <c r="MC260" s="6"/>
      <c r="MD260" s="6"/>
      <c r="ME260" s="6"/>
      <c r="MF260" s="6"/>
      <c r="MG260" s="6"/>
      <c r="MH260" s="6"/>
      <c r="MI260" s="6"/>
      <c r="MJ260" s="6"/>
      <c r="MK260" s="6"/>
      <c r="ML260" s="6"/>
      <c r="MM260" s="6"/>
      <c r="MN260" s="6"/>
      <c r="MO260" s="6"/>
      <c r="MP260" s="6"/>
      <c r="MQ260" s="6"/>
      <c r="MR260" s="6"/>
      <c r="MS260" s="6"/>
      <c r="MT260" s="6"/>
      <c r="MU260" s="6"/>
      <c r="MV260" s="6"/>
      <c r="MW260" s="6"/>
      <c r="MX260" s="6"/>
      <c r="MY260" s="6"/>
      <c r="MZ260" s="6"/>
      <c r="NA260" s="6"/>
      <c r="NB260" s="6"/>
      <c r="NC260" s="6"/>
      <c r="ND260" s="6"/>
      <c r="NE260" s="6"/>
      <c r="NF260" s="6"/>
      <c r="NG260" s="6"/>
      <c r="NH260" s="6"/>
      <c r="NI260" s="6"/>
      <c r="NJ260" s="6"/>
      <c r="NK260" s="6"/>
      <c r="NL260" s="6"/>
      <c r="NM260" s="6"/>
      <c r="NN260" s="6"/>
      <c r="NO260" s="6"/>
      <c r="NP260" s="6"/>
      <c r="NQ260" s="6"/>
      <c r="NR260" s="6"/>
      <c r="NS260" s="6"/>
      <c r="NT260" s="6"/>
      <c r="NU260" s="6"/>
      <c r="NV260" s="6"/>
    </row>
    <row r="261" spans="1:386" s="19" customFormat="1" ht="20.100000000000001" customHeight="1" x14ac:dyDescent="0.35">
      <c r="A261" s="1"/>
      <c r="B261" s="2"/>
      <c r="C261" s="3"/>
      <c r="D261" s="2"/>
      <c r="E261" s="2"/>
      <c r="F261" s="4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9"/>
      <c r="FL261" s="9"/>
      <c r="FM261" s="9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135"/>
      <c r="IK261" s="135"/>
      <c r="IL261" s="135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6"/>
      <c r="KZ261" s="6"/>
      <c r="LA261" s="6"/>
      <c r="LB261" s="6"/>
      <c r="LC261" s="6"/>
      <c r="LD261" s="6"/>
      <c r="LE261" s="6"/>
      <c r="LF261" s="6"/>
      <c r="LG261" s="6"/>
      <c r="LH261" s="6"/>
      <c r="LI261" s="6"/>
      <c r="LJ261" s="6"/>
      <c r="LK261" s="6"/>
      <c r="LL261" s="6"/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6"/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6"/>
      <c r="MT261" s="6"/>
      <c r="MU261" s="6"/>
      <c r="MV261" s="6"/>
      <c r="MW261" s="6"/>
      <c r="MX261" s="6"/>
      <c r="MY261" s="6"/>
      <c r="MZ261" s="6"/>
      <c r="NA261" s="6"/>
      <c r="NB261" s="6"/>
      <c r="NC261" s="6"/>
      <c r="ND261" s="6"/>
      <c r="NE261" s="6"/>
      <c r="NF261" s="6"/>
      <c r="NG261" s="6"/>
      <c r="NH261" s="6"/>
      <c r="NI261" s="6"/>
      <c r="NJ261" s="6"/>
      <c r="NK261" s="6"/>
      <c r="NL261" s="6"/>
      <c r="NM261" s="6"/>
      <c r="NN261" s="6"/>
      <c r="NO261" s="6"/>
      <c r="NP261" s="6"/>
      <c r="NQ261" s="6"/>
      <c r="NR261" s="6"/>
      <c r="NS261" s="6"/>
      <c r="NT261" s="6"/>
      <c r="NU261" s="6"/>
      <c r="NV261" s="6"/>
    </row>
    <row r="262" spans="1:386" s="19" customFormat="1" ht="20.100000000000001" customHeight="1" x14ac:dyDescent="0.35">
      <c r="A262" s="1"/>
      <c r="B262" s="2"/>
      <c r="C262" s="3"/>
      <c r="D262" s="2"/>
      <c r="E262" s="2"/>
      <c r="F262" s="4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9"/>
      <c r="FL262" s="9"/>
      <c r="FM262" s="9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135"/>
      <c r="IK262" s="135"/>
      <c r="IL262" s="135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6"/>
      <c r="KZ262" s="6"/>
      <c r="LA262" s="6"/>
      <c r="LB262" s="6"/>
      <c r="LC262" s="6"/>
      <c r="LD262" s="6"/>
      <c r="LE262" s="6"/>
      <c r="LF262" s="6"/>
      <c r="LG262" s="6"/>
      <c r="LH262" s="6"/>
      <c r="LI262" s="6"/>
      <c r="LJ262" s="6"/>
      <c r="LK262" s="6"/>
      <c r="LL262" s="6"/>
      <c r="LM262" s="6"/>
      <c r="LN262" s="6"/>
      <c r="LO262" s="6"/>
      <c r="LP262" s="6"/>
      <c r="LQ262" s="6"/>
      <c r="LR262" s="6"/>
      <c r="LS262" s="6"/>
      <c r="LT262" s="6"/>
      <c r="LU262" s="6"/>
      <c r="LV262" s="6"/>
      <c r="LW262" s="6"/>
      <c r="LX262" s="6"/>
      <c r="LY262" s="6"/>
      <c r="LZ262" s="6"/>
      <c r="MA262" s="6"/>
      <c r="MB262" s="6"/>
      <c r="MC262" s="6"/>
      <c r="MD262" s="6"/>
      <c r="ME262" s="6"/>
      <c r="MF262" s="6"/>
      <c r="MG262" s="6"/>
      <c r="MH262" s="6"/>
      <c r="MI262" s="6"/>
      <c r="MJ262" s="6"/>
      <c r="MK262" s="6"/>
      <c r="ML262" s="6"/>
      <c r="MM262" s="6"/>
      <c r="MN262" s="6"/>
      <c r="MO262" s="6"/>
      <c r="MP262" s="6"/>
      <c r="MQ262" s="6"/>
      <c r="MR262" s="6"/>
      <c r="MS262" s="6"/>
      <c r="MT262" s="6"/>
      <c r="MU262" s="6"/>
      <c r="MV262" s="6"/>
      <c r="MW262" s="6"/>
      <c r="MX262" s="6"/>
      <c r="MY262" s="6"/>
      <c r="MZ262" s="6"/>
      <c r="NA262" s="6"/>
      <c r="NB262" s="6"/>
      <c r="NC262" s="6"/>
      <c r="ND262" s="6"/>
      <c r="NE262" s="6"/>
      <c r="NF262" s="6"/>
      <c r="NG262" s="6"/>
      <c r="NH262" s="6"/>
      <c r="NI262" s="6"/>
      <c r="NJ262" s="6"/>
      <c r="NK262" s="6"/>
      <c r="NL262" s="6"/>
      <c r="NM262" s="6"/>
      <c r="NN262" s="6"/>
      <c r="NO262" s="6"/>
      <c r="NP262" s="6"/>
      <c r="NQ262" s="6"/>
      <c r="NR262" s="6"/>
      <c r="NS262" s="6"/>
      <c r="NT262" s="6"/>
      <c r="NU262" s="6"/>
      <c r="NV262" s="6"/>
    </row>
    <row r="263" spans="1:386" s="19" customFormat="1" ht="20.100000000000001" customHeight="1" x14ac:dyDescent="0.35">
      <c r="A263" s="1"/>
      <c r="B263" s="2"/>
      <c r="C263" s="3"/>
      <c r="D263" s="2"/>
      <c r="E263" s="2"/>
      <c r="F263" s="4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9"/>
      <c r="FL263" s="9"/>
      <c r="FM263" s="9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135"/>
      <c r="IK263" s="135"/>
      <c r="IL263" s="135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6"/>
      <c r="KZ263" s="6"/>
      <c r="LA263" s="6"/>
      <c r="LB263" s="6"/>
      <c r="LC263" s="6"/>
      <c r="LD263" s="6"/>
      <c r="LE263" s="6"/>
      <c r="LF263" s="6"/>
      <c r="LG263" s="6"/>
      <c r="LH263" s="6"/>
      <c r="LI263" s="6"/>
      <c r="LJ263" s="6"/>
      <c r="LK263" s="6"/>
      <c r="LL263" s="6"/>
      <c r="LM263" s="6"/>
      <c r="LN263" s="6"/>
      <c r="LO263" s="6"/>
      <c r="LP263" s="6"/>
      <c r="LQ263" s="6"/>
      <c r="LR263" s="6"/>
      <c r="LS263" s="6"/>
      <c r="LT263" s="6"/>
      <c r="LU263" s="6"/>
      <c r="LV263" s="6"/>
      <c r="LW263" s="6"/>
      <c r="LX263" s="6"/>
      <c r="LY263" s="6"/>
      <c r="LZ263" s="6"/>
      <c r="MA263" s="6"/>
      <c r="MB263" s="6"/>
      <c r="MC263" s="6"/>
      <c r="MD263" s="6"/>
      <c r="ME263" s="6"/>
      <c r="MF263" s="6"/>
      <c r="MG263" s="6"/>
      <c r="MH263" s="6"/>
      <c r="MI263" s="6"/>
      <c r="MJ263" s="6"/>
      <c r="MK263" s="6"/>
      <c r="ML263" s="6"/>
      <c r="MM263" s="6"/>
      <c r="MN263" s="6"/>
      <c r="MO263" s="6"/>
      <c r="MP263" s="6"/>
      <c r="MQ263" s="6"/>
      <c r="MR263" s="6"/>
      <c r="MS263" s="6"/>
      <c r="MT263" s="6"/>
      <c r="MU263" s="6"/>
      <c r="MV263" s="6"/>
      <c r="MW263" s="6"/>
      <c r="MX263" s="6"/>
      <c r="MY263" s="6"/>
      <c r="MZ263" s="6"/>
      <c r="NA263" s="6"/>
      <c r="NB263" s="6"/>
      <c r="NC263" s="6"/>
      <c r="ND263" s="6"/>
      <c r="NE263" s="6"/>
      <c r="NF263" s="6"/>
      <c r="NG263" s="6"/>
      <c r="NH263" s="6"/>
      <c r="NI263" s="6"/>
      <c r="NJ263" s="6"/>
      <c r="NK263" s="6"/>
      <c r="NL263" s="6"/>
      <c r="NM263" s="6"/>
      <c r="NN263" s="6"/>
      <c r="NO263" s="6"/>
      <c r="NP263" s="6"/>
      <c r="NQ263" s="6"/>
      <c r="NR263" s="6"/>
      <c r="NS263" s="6"/>
      <c r="NT263" s="6"/>
      <c r="NU263" s="6"/>
      <c r="NV263" s="6"/>
    </row>
    <row r="264" spans="1:386" s="19" customFormat="1" ht="20.100000000000001" customHeight="1" x14ac:dyDescent="0.35">
      <c r="A264" s="1"/>
      <c r="B264" s="2"/>
      <c r="C264" s="3"/>
      <c r="D264" s="2"/>
      <c r="E264" s="2"/>
      <c r="F264" s="4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9"/>
      <c r="FL264" s="9"/>
      <c r="FM264" s="9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135"/>
      <c r="IK264" s="135"/>
      <c r="IL264" s="135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6"/>
      <c r="KZ264" s="6"/>
      <c r="LA264" s="6"/>
      <c r="LB264" s="6"/>
      <c r="LC264" s="6"/>
      <c r="LD264" s="6"/>
      <c r="LE264" s="6"/>
      <c r="LF264" s="6"/>
      <c r="LG264" s="6"/>
      <c r="LH264" s="6"/>
      <c r="LI264" s="6"/>
      <c r="LJ264" s="6"/>
      <c r="LK264" s="6"/>
      <c r="LL264" s="6"/>
      <c r="LM264" s="6"/>
      <c r="LN264" s="6"/>
      <c r="LO264" s="6"/>
      <c r="LP264" s="6"/>
      <c r="LQ264" s="6"/>
      <c r="LR264" s="6"/>
      <c r="LS264" s="6"/>
      <c r="LT264" s="6"/>
      <c r="LU264" s="6"/>
      <c r="LV264" s="6"/>
      <c r="LW264" s="6"/>
      <c r="LX264" s="6"/>
      <c r="LY264" s="6"/>
      <c r="LZ264" s="6"/>
      <c r="MA264" s="6"/>
      <c r="MB264" s="6"/>
      <c r="MC264" s="6"/>
      <c r="MD264" s="6"/>
      <c r="ME264" s="6"/>
      <c r="MF264" s="6"/>
      <c r="MG264" s="6"/>
      <c r="MH264" s="6"/>
      <c r="MI264" s="6"/>
      <c r="MJ264" s="6"/>
      <c r="MK264" s="6"/>
      <c r="ML264" s="6"/>
      <c r="MM264" s="6"/>
      <c r="MN264" s="6"/>
      <c r="MO264" s="6"/>
      <c r="MP264" s="6"/>
      <c r="MQ264" s="6"/>
      <c r="MR264" s="6"/>
      <c r="MS264" s="6"/>
      <c r="MT264" s="6"/>
      <c r="MU264" s="6"/>
      <c r="MV264" s="6"/>
      <c r="MW264" s="6"/>
      <c r="MX264" s="6"/>
      <c r="MY264" s="6"/>
      <c r="MZ264" s="6"/>
      <c r="NA264" s="6"/>
      <c r="NB264" s="6"/>
      <c r="NC264" s="6"/>
      <c r="ND264" s="6"/>
      <c r="NE264" s="6"/>
      <c r="NF264" s="6"/>
      <c r="NG264" s="6"/>
      <c r="NH264" s="6"/>
      <c r="NI264" s="6"/>
      <c r="NJ264" s="6"/>
      <c r="NK264" s="6"/>
      <c r="NL264" s="6"/>
      <c r="NM264" s="6"/>
      <c r="NN264" s="6"/>
      <c r="NO264" s="6"/>
      <c r="NP264" s="6"/>
      <c r="NQ264" s="6"/>
      <c r="NR264" s="6"/>
      <c r="NS264" s="6"/>
      <c r="NT264" s="6"/>
      <c r="NU264" s="6"/>
      <c r="NV264" s="6"/>
    </row>
    <row r="265" spans="1:386" s="19" customFormat="1" ht="20.100000000000001" customHeight="1" x14ac:dyDescent="0.35">
      <c r="A265" s="1"/>
      <c r="B265" s="2"/>
      <c r="C265" s="3"/>
      <c r="D265" s="2"/>
      <c r="E265" s="2"/>
      <c r="F265" s="4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9"/>
      <c r="FL265" s="9"/>
      <c r="FM265" s="9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135"/>
      <c r="IK265" s="135"/>
      <c r="IL265" s="135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6"/>
      <c r="KZ265" s="6"/>
      <c r="LA265" s="6"/>
      <c r="LB265" s="6"/>
      <c r="LC265" s="6"/>
      <c r="LD265" s="6"/>
      <c r="LE265" s="6"/>
      <c r="LF265" s="6"/>
      <c r="LG265" s="6"/>
      <c r="LH265" s="6"/>
      <c r="LI265" s="6"/>
      <c r="LJ265" s="6"/>
      <c r="LK265" s="6"/>
      <c r="LL265" s="6"/>
      <c r="LM265" s="6"/>
      <c r="LN265" s="6"/>
      <c r="LO265" s="6"/>
      <c r="LP265" s="6"/>
      <c r="LQ265" s="6"/>
      <c r="LR265" s="6"/>
      <c r="LS265" s="6"/>
      <c r="LT265" s="6"/>
      <c r="LU265" s="6"/>
      <c r="LV265" s="6"/>
      <c r="LW265" s="6"/>
      <c r="LX265" s="6"/>
      <c r="LY265" s="6"/>
      <c r="LZ265" s="6"/>
      <c r="MA265" s="6"/>
      <c r="MB265" s="6"/>
      <c r="MC265" s="6"/>
      <c r="MD265" s="6"/>
      <c r="ME265" s="6"/>
      <c r="MF265" s="6"/>
      <c r="MG265" s="6"/>
      <c r="MH265" s="6"/>
      <c r="MI265" s="6"/>
      <c r="MJ265" s="6"/>
      <c r="MK265" s="6"/>
      <c r="ML265" s="6"/>
      <c r="MM265" s="6"/>
      <c r="MN265" s="6"/>
      <c r="MO265" s="6"/>
      <c r="MP265" s="6"/>
      <c r="MQ265" s="6"/>
      <c r="MR265" s="6"/>
      <c r="MS265" s="6"/>
      <c r="MT265" s="6"/>
      <c r="MU265" s="6"/>
      <c r="MV265" s="6"/>
      <c r="MW265" s="6"/>
      <c r="MX265" s="6"/>
      <c r="MY265" s="6"/>
      <c r="MZ265" s="6"/>
      <c r="NA265" s="6"/>
      <c r="NB265" s="6"/>
      <c r="NC265" s="6"/>
      <c r="ND265" s="6"/>
      <c r="NE265" s="6"/>
      <c r="NF265" s="6"/>
      <c r="NG265" s="6"/>
      <c r="NH265" s="6"/>
      <c r="NI265" s="6"/>
      <c r="NJ265" s="6"/>
      <c r="NK265" s="6"/>
      <c r="NL265" s="6"/>
      <c r="NM265" s="6"/>
      <c r="NN265" s="6"/>
      <c r="NO265" s="6"/>
      <c r="NP265" s="6"/>
      <c r="NQ265" s="6"/>
      <c r="NR265" s="6"/>
      <c r="NS265" s="6"/>
      <c r="NT265" s="6"/>
      <c r="NU265" s="6"/>
      <c r="NV265" s="6"/>
    </row>
    <row r="266" spans="1:386" s="19" customFormat="1" ht="20.100000000000001" customHeight="1" x14ac:dyDescent="0.35">
      <c r="A266" s="1"/>
      <c r="B266" s="2"/>
      <c r="C266" s="3"/>
      <c r="D266" s="2"/>
      <c r="E266" s="2"/>
      <c r="F266" s="4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9"/>
      <c r="FL266" s="9"/>
      <c r="FM266" s="9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135"/>
      <c r="IK266" s="135"/>
      <c r="IL266" s="135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6"/>
      <c r="KZ266" s="6"/>
      <c r="LA266" s="6"/>
      <c r="LB266" s="6"/>
      <c r="LC266" s="6"/>
      <c r="LD266" s="6"/>
      <c r="LE266" s="6"/>
      <c r="LF266" s="6"/>
      <c r="LG266" s="6"/>
      <c r="LH266" s="6"/>
      <c r="LI266" s="6"/>
      <c r="LJ266" s="6"/>
      <c r="LK266" s="6"/>
      <c r="LL266" s="6"/>
      <c r="LM266" s="6"/>
      <c r="LN266" s="6"/>
      <c r="LO266" s="6"/>
      <c r="LP266" s="6"/>
      <c r="LQ266" s="6"/>
      <c r="LR266" s="6"/>
      <c r="LS266" s="6"/>
      <c r="LT266" s="6"/>
      <c r="LU266" s="6"/>
      <c r="LV266" s="6"/>
      <c r="LW266" s="6"/>
      <c r="LX266" s="6"/>
      <c r="LY266" s="6"/>
      <c r="LZ266" s="6"/>
      <c r="MA266" s="6"/>
      <c r="MB266" s="6"/>
      <c r="MC266" s="6"/>
      <c r="MD266" s="6"/>
      <c r="ME266" s="6"/>
      <c r="MF266" s="6"/>
      <c r="MG266" s="6"/>
      <c r="MH266" s="6"/>
      <c r="MI266" s="6"/>
      <c r="MJ266" s="6"/>
      <c r="MK266" s="6"/>
      <c r="ML266" s="6"/>
      <c r="MM266" s="6"/>
      <c r="MN266" s="6"/>
      <c r="MO266" s="6"/>
      <c r="MP266" s="6"/>
      <c r="MQ266" s="6"/>
      <c r="MR266" s="6"/>
      <c r="MS266" s="6"/>
      <c r="MT266" s="6"/>
      <c r="MU266" s="6"/>
      <c r="MV266" s="6"/>
      <c r="MW266" s="6"/>
      <c r="MX266" s="6"/>
      <c r="MY266" s="6"/>
      <c r="MZ266" s="6"/>
      <c r="NA266" s="6"/>
      <c r="NB266" s="6"/>
      <c r="NC266" s="6"/>
      <c r="ND266" s="6"/>
      <c r="NE266" s="6"/>
      <c r="NF266" s="6"/>
      <c r="NG266" s="6"/>
      <c r="NH266" s="6"/>
      <c r="NI266" s="6"/>
      <c r="NJ266" s="6"/>
      <c r="NK266" s="6"/>
      <c r="NL266" s="6"/>
      <c r="NM266" s="6"/>
      <c r="NN266" s="6"/>
      <c r="NO266" s="6"/>
      <c r="NP266" s="6"/>
      <c r="NQ266" s="6"/>
      <c r="NR266" s="6"/>
      <c r="NS266" s="6"/>
      <c r="NT266" s="6"/>
      <c r="NU266" s="6"/>
      <c r="NV266" s="6"/>
    </row>
    <row r="267" spans="1:386" s="19" customFormat="1" ht="20.100000000000001" customHeight="1" x14ac:dyDescent="0.35">
      <c r="A267" s="1"/>
      <c r="B267" s="2"/>
      <c r="C267" s="3"/>
      <c r="D267" s="2"/>
      <c r="E267" s="2"/>
      <c r="F267" s="4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9"/>
      <c r="FL267" s="9"/>
      <c r="FM267" s="9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135"/>
      <c r="IK267" s="135"/>
      <c r="IL267" s="135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6"/>
      <c r="KZ267" s="6"/>
      <c r="LA267" s="6"/>
      <c r="LB267" s="6"/>
      <c r="LC267" s="6"/>
      <c r="LD267" s="6"/>
      <c r="LE267" s="6"/>
      <c r="LF267" s="6"/>
      <c r="LG267" s="6"/>
      <c r="LH267" s="6"/>
      <c r="LI267" s="6"/>
      <c r="LJ267" s="6"/>
      <c r="LK267" s="6"/>
      <c r="LL267" s="6"/>
      <c r="LM267" s="6"/>
      <c r="LN267" s="6"/>
      <c r="LO267" s="6"/>
      <c r="LP267" s="6"/>
      <c r="LQ267" s="6"/>
      <c r="LR267" s="6"/>
      <c r="LS267" s="6"/>
      <c r="LT267" s="6"/>
      <c r="LU267" s="6"/>
      <c r="LV267" s="6"/>
      <c r="LW267" s="6"/>
      <c r="LX267" s="6"/>
      <c r="LY267" s="6"/>
      <c r="LZ267" s="6"/>
      <c r="MA267" s="6"/>
      <c r="MB267" s="6"/>
      <c r="MC267" s="6"/>
      <c r="MD267" s="6"/>
      <c r="ME267" s="6"/>
      <c r="MF267" s="6"/>
      <c r="MG267" s="6"/>
      <c r="MH267" s="6"/>
      <c r="MI267" s="6"/>
      <c r="MJ267" s="6"/>
      <c r="MK267" s="6"/>
      <c r="ML267" s="6"/>
      <c r="MM267" s="6"/>
      <c r="MN267" s="6"/>
      <c r="MO267" s="6"/>
      <c r="MP267" s="6"/>
      <c r="MQ267" s="6"/>
      <c r="MR267" s="6"/>
      <c r="MS267" s="6"/>
      <c r="MT267" s="6"/>
      <c r="MU267" s="6"/>
      <c r="MV267" s="6"/>
      <c r="MW267" s="6"/>
      <c r="MX267" s="6"/>
      <c r="MY267" s="6"/>
      <c r="MZ267" s="6"/>
      <c r="NA267" s="6"/>
      <c r="NB267" s="6"/>
      <c r="NC267" s="6"/>
      <c r="ND267" s="6"/>
      <c r="NE267" s="6"/>
      <c r="NF267" s="6"/>
      <c r="NG267" s="6"/>
      <c r="NH267" s="6"/>
      <c r="NI267" s="6"/>
      <c r="NJ267" s="6"/>
      <c r="NK267" s="6"/>
      <c r="NL267" s="6"/>
      <c r="NM267" s="6"/>
      <c r="NN267" s="6"/>
      <c r="NO267" s="6"/>
      <c r="NP267" s="6"/>
      <c r="NQ267" s="6"/>
      <c r="NR267" s="6"/>
      <c r="NS267" s="6"/>
      <c r="NT267" s="6"/>
      <c r="NU267" s="6"/>
      <c r="NV267" s="6"/>
    </row>
    <row r="268" spans="1:386" s="19" customFormat="1" ht="20.100000000000001" customHeight="1" x14ac:dyDescent="0.35">
      <c r="A268" s="1"/>
      <c r="B268" s="2"/>
      <c r="C268" s="3"/>
      <c r="D268" s="2"/>
      <c r="E268" s="2"/>
      <c r="F268" s="4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9"/>
      <c r="FL268" s="9"/>
      <c r="FM268" s="9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135"/>
      <c r="IK268" s="135"/>
      <c r="IL268" s="135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6"/>
      <c r="KZ268" s="6"/>
      <c r="LA268" s="6"/>
      <c r="LB268" s="6"/>
      <c r="LC268" s="6"/>
      <c r="LD268" s="6"/>
      <c r="LE268" s="6"/>
      <c r="LF268" s="6"/>
      <c r="LG268" s="6"/>
      <c r="LH268" s="6"/>
      <c r="LI268" s="6"/>
      <c r="LJ268" s="6"/>
      <c r="LK268" s="6"/>
      <c r="LL268" s="6"/>
      <c r="LM268" s="6"/>
      <c r="LN268" s="6"/>
      <c r="LO268" s="6"/>
      <c r="LP268" s="6"/>
      <c r="LQ268" s="6"/>
      <c r="LR268" s="6"/>
      <c r="LS268" s="6"/>
      <c r="LT268" s="6"/>
      <c r="LU268" s="6"/>
      <c r="LV268" s="6"/>
      <c r="LW268" s="6"/>
      <c r="LX268" s="6"/>
      <c r="LY268" s="6"/>
      <c r="LZ268" s="6"/>
      <c r="MA268" s="6"/>
      <c r="MB268" s="6"/>
      <c r="MC268" s="6"/>
      <c r="MD268" s="6"/>
      <c r="ME268" s="6"/>
      <c r="MF268" s="6"/>
      <c r="MG268" s="6"/>
      <c r="MH268" s="6"/>
      <c r="MI268" s="6"/>
      <c r="MJ268" s="6"/>
      <c r="MK268" s="6"/>
      <c r="ML268" s="6"/>
      <c r="MM268" s="6"/>
      <c r="MN268" s="6"/>
      <c r="MO268" s="6"/>
      <c r="MP268" s="6"/>
      <c r="MQ268" s="6"/>
      <c r="MR268" s="6"/>
      <c r="MS268" s="6"/>
      <c r="MT268" s="6"/>
      <c r="MU268" s="6"/>
      <c r="MV268" s="6"/>
      <c r="MW268" s="6"/>
      <c r="MX268" s="6"/>
      <c r="MY268" s="6"/>
      <c r="MZ268" s="6"/>
      <c r="NA268" s="6"/>
      <c r="NB268" s="6"/>
      <c r="NC268" s="6"/>
      <c r="ND268" s="6"/>
      <c r="NE268" s="6"/>
      <c r="NF268" s="6"/>
      <c r="NG268" s="6"/>
      <c r="NH268" s="6"/>
      <c r="NI268" s="6"/>
      <c r="NJ268" s="6"/>
      <c r="NK268" s="6"/>
      <c r="NL268" s="6"/>
      <c r="NM268" s="6"/>
      <c r="NN268" s="6"/>
      <c r="NO268" s="6"/>
      <c r="NP268" s="6"/>
      <c r="NQ268" s="6"/>
      <c r="NR268" s="6"/>
      <c r="NS268" s="6"/>
      <c r="NT268" s="6"/>
      <c r="NU268" s="6"/>
      <c r="NV268" s="6"/>
    </row>
    <row r="269" spans="1:386" s="19" customFormat="1" ht="20.100000000000001" customHeight="1" x14ac:dyDescent="0.35">
      <c r="A269" s="1"/>
      <c r="B269" s="2"/>
      <c r="C269" s="3"/>
      <c r="D269" s="2"/>
      <c r="E269" s="2"/>
      <c r="F269" s="4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9"/>
      <c r="FL269" s="9"/>
      <c r="FM269" s="9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135"/>
      <c r="IK269" s="135"/>
      <c r="IL269" s="135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  <c r="JE269" s="6"/>
      <c r="JF269" s="6"/>
      <c r="JG269" s="6"/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6"/>
      <c r="KZ269" s="6"/>
      <c r="LA269" s="6"/>
      <c r="LB269" s="6"/>
      <c r="LC269" s="6"/>
      <c r="LD269" s="6"/>
      <c r="LE269" s="6"/>
      <c r="LF269" s="6"/>
      <c r="LG269" s="6"/>
      <c r="LH269" s="6"/>
      <c r="LI269" s="6"/>
      <c r="LJ269" s="6"/>
      <c r="LK269" s="6"/>
      <c r="LL269" s="6"/>
      <c r="LM269" s="6"/>
      <c r="LN269" s="6"/>
      <c r="LO269" s="6"/>
      <c r="LP269" s="6"/>
      <c r="LQ269" s="6"/>
      <c r="LR269" s="6"/>
      <c r="LS269" s="6"/>
      <c r="LT269" s="6"/>
      <c r="LU269" s="6"/>
      <c r="LV269" s="6"/>
      <c r="LW269" s="6"/>
      <c r="LX269" s="6"/>
      <c r="LY269" s="6"/>
      <c r="LZ269" s="6"/>
      <c r="MA269" s="6"/>
      <c r="MB269" s="6"/>
      <c r="MC269" s="6"/>
      <c r="MD269" s="6"/>
      <c r="ME269" s="6"/>
      <c r="MF269" s="6"/>
      <c r="MG269" s="6"/>
      <c r="MH269" s="6"/>
      <c r="MI269" s="6"/>
      <c r="MJ269" s="6"/>
      <c r="MK269" s="6"/>
      <c r="ML269" s="6"/>
      <c r="MM269" s="6"/>
      <c r="MN269" s="6"/>
      <c r="MO269" s="6"/>
      <c r="MP269" s="6"/>
      <c r="MQ269" s="6"/>
      <c r="MR269" s="6"/>
      <c r="MS269" s="6"/>
      <c r="MT269" s="6"/>
      <c r="MU269" s="6"/>
      <c r="MV269" s="6"/>
      <c r="MW269" s="6"/>
      <c r="MX269" s="6"/>
      <c r="MY269" s="6"/>
      <c r="MZ269" s="6"/>
      <c r="NA269" s="6"/>
      <c r="NB269" s="6"/>
      <c r="NC269" s="6"/>
      <c r="ND269" s="6"/>
      <c r="NE269" s="6"/>
      <c r="NF269" s="6"/>
      <c r="NG269" s="6"/>
      <c r="NH269" s="6"/>
      <c r="NI269" s="6"/>
      <c r="NJ269" s="6"/>
      <c r="NK269" s="6"/>
      <c r="NL269" s="6"/>
      <c r="NM269" s="6"/>
      <c r="NN269" s="6"/>
      <c r="NO269" s="6"/>
      <c r="NP269" s="6"/>
      <c r="NQ269" s="6"/>
      <c r="NR269" s="6"/>
      <c r="NS269" s="6"/>
      <c r="NT269" s="6"/>
      <c r="NU269" s="6"/>
      <c r="NV269" s="6"/>
    </row>
    <row r="270" spans="1:386" s="19" customFormat="1" ht="20.100000000000001" customHeight="1" x14ac:dyDescent="0.35">
      <c r="A270" s="1"/>
      <c r="B270" s="2"/>
      <c r="C270" s="3"/>
      <c r="D270" s="2"/>
      <c r="E270" s="2"/>
      <c r="F270" s="4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9"/>
      <c r="FL270" s="9"/>
      <c r="FM270" s="9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135"/>
      <c r="IK270" s="135"/>
      <c r="IL270" s="135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  <c r="JE270" s="6"/>
      <c r="JF270" s="6"/>
      <c r="JG270" s="6"/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6"/>
      <c r="KZ270" s="6"/>
      <c r="LA270" s="6"/>
      <c r="LB270" s="6"/>
      <c r="LC270" s="6"/>
      <c r="LD270" s="6"/>
      <c r="LE270" s="6"/>
      <c r="LF270" s="6"/>
      <c r="LG270" s="6"/>
      <c r="LH270" s="6"/>
      <c r="LI270" s="6"/>
      <c r="LJ270" s="6"/>
      <c r="LK270" s="6"/>
      <c r="LL270" s="6"/>
      <c r="LM270" s="6"/>
      <c r="LN270" s="6"/>
      <c r="LO270" s="6"/>
      <c r="LP270" s="6"/>
      <c r="LQ270" s="6"/>
      <c r="LR270" s="6"/>
      <c r="LS270" s="6"/>
      <c r="LT270" s="6"/>
      <c r="LU270" s="6"/>
      <c r="LV270" s="6"/>
      <c r="LW270" s="6"/>
      <c r="LX270" s="6"/>
      <c r="LY270" s="6"/>
      <c r="LZ270" s="6"/>
      <c r="MA270" s="6"/>
      <c r="MB270" s="6"/>
      <c r="MC270" s="6"/>
      <c r="MD270" s="6"/>
      <c r="ME270" s="6"/>
      <c r="MF270" s="6"/>
      <c r="MG270" s="6"/>
      <c r="MH270" s="6"/>
      <c r="MI270" s="6"/>
      <c r="MJ270" s="6"/>
      <c r="MK270" s="6"/>
      <c r="ML270" s="6"/>
      <c r="MM270" s="6"/>
      <c r="MN270" s="6"/>
      <c r="MO270" s="6"/>
      <c r="MP270" s="6"/>
      <c r="MQ270" s="6"/>
      <c r="MR270" s="6"/>
      <c r="MS270" s="6"/>
      <c r="MT270" s="6"/>
      <c r="MU270" s="6"/>
      <c r="MV270" s="6"/>
      <c r="MW270" s="6"/>
      <c r="MX270" s="6"/>
      <c r="MY270" s="6"/>
      <c r="MZ270" s="6"/>
      <c r="NA270" s="6"/>
      <c r="NB270" s="6"/>
      <c r="NC270" s="6"/>
      <c r="ND270" s="6"/>
      <c r="NE270" s="6"/>
      <c r="NF270" s="6"/>
      <c r="NG270" s="6"/>
      <c r="NH270" s="6"/>
      <c r="NI270" s="6"/>
      <c r="NJ270" s="6"/>
      <c r="NK270" s="6"/>
      <c r="NL270" s="6"/>
      <c r="NM270" s="6"/>
      <c r="NN270" s="6"/>
      <c r="NO270" s="6"/>
      <c r="NP270" s="6"/>
      <c r="NQ270" s="6"/>
      <c r="NR270" s="6"/>
      <c r="NS270" s="6"/>
      <c r="NT270" s="6"/>
      <c r="NU270" s="6"/>
      <c r="NV270" s="6"/>
    </row>
    <row r="271" spans="1:386" s="19" customFormat="1" ht="20.100000000000001" customHeight="1" x14ac:dyDescent="0.35">
      <c r="A271" s="1"/>
      <c r="B271" s="2"/>
      <c r="C271" s="3"/>
      <c r="D271" s="2"/>
      <c r="E271" s="2"/>
      <c r="F271" s="4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9"/>
      <c r="FL271" s="9"/>
      <c r="FM271" s="9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135"/>
      <c r="IK271" s="135"/>
      <c r="IL271" s="135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  <c r="JE271" s="6"/>
      <c r="JF271" s="6"/>
      <c r="JG271" s="6"/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6"/>
      <c r="KZ271" s="6"/>
      <c r="LA271" s="6"/>
      <c r="LB271" s="6"/>
      <c r="LC271" s="6"/>
      <c r="LD271" s="6"/>
      <c r="LE271" s="6"/>
      <c r="LF271" s="6"/>
      <c r="LG271" s="6"/>
      <c r="LH271" s="6"/>
      <c r="LI271" s="6"/>
      <c r="LJ271" s="6"/>
      <c r="LK271" s="6"/>
      <c r="LL271" s="6"/>
      <c r="LM271" s="6"/>
      <c r="LN271" s="6"/>
      <c r="LO271" s="6"/>
      <c r="LP271" s="6"/>
      <c r="LQ271" s="6"/>
      <c r="LR271" s="6"/>
      <c r="LS271" s="6"/>
      <c r="LT271" s="6"/>
      <c r="LU271" s="6"/>
      <c r="LV271" s="6"/>
      <c r="LW271" s="6"/>
      <c r="LX271" s="6"/>
      <c r="LY271" s="6"/>
      <c r="LZ271" s="6"/>
      <c r="MA271" s="6"/>
      <c r="MB271" s="6"/>
      <c r="MC271" s="6"/>
      <c r="MD271" s="6"/>
      <c r="ME271" s="6"/>
      <c r="MF271" s="6"/>
      <c r="MG271" s="6"/>
      <c r="MH271" s="6"/>
      <c r="MI271" s="6"/>
      <c r="MJ271" s="6"/>
      <c r="MK271" s="6"/>
      <c r="ML271" s="6"/>
      <c r="MM271" s="6"/>
      <c r="MN271" s="6"/>
      <c r="MO271" s="6"/>
      <c r="MP271" s="6"/>
      <c r="MQ271" s="6"/>
      <c r="MR271" s="6"/>
      <c r="MS271" s="6"/>
      <c r="MT271" s="6"/>
      <c r="MU271" s="6"/>
      <c r="MV271" s="6"/>
      <c r="MW271" s="6"/>
      <c r="MX271" s="6"/>
      <c r="MY271" s="6"/>
      <c r="MZ271" s="6"/>
      <c r="NA271" s="6"/>
      <c r="NB271" s="6"/>
      <c r="NC271" s="6"/>
      <c r="ND271" s="6"/>
      <c r="NE271" s="6"/>
      <c r="NF271" s="6"/>
      <c r="NG271" s="6"/>
      <c r="NH271" s="6"/>
      <c r="NI271" s="6"/>
      <c r="NJ271" s="6"/>
      <c r="NK271" s="6"/>
      <c r="NL271" s="6"/>
      <c r="NM271" s="6"/>
      <c r="NN271" s="6"/>
      <c r="NO271" s="6"/>
      <c r="NP271" s="6"/>
      <c r="NQ271" s="6"/>
      <c r="NR271" s="6"/>
      <c r="NS271" s="6"/>
      <c r="NT271" s="6"/>
      <c r="NU271" s="6"/>
      <c r="NV271" s="6"/>
    </row>
    <row r="272" spans="1:386" s="19" customFormat="1" ht="20.100000000000001" customHeight="1" x14ac:dyDescent="0.35">
      <c r="A272" s="1"/>
      <c r="B272" s="2"/>
      <c r="C272" s="3"/>
      <c r="D272" s="2"/>
      <c r="E272" s="2"/>
      <c r="F272" s="4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9"/>
      <c r="FL272" s="9"/>
      <c r="FM272" s="9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135"/>
      <c r="IK272" s="135"/>
      <c r="IL272" s="135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  <c r="JE272" s="6"/>
      <c r="JF272" s="6"/>
      <c r="JG272" s="6"/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6"/>
      <c r="KZ272" s="6"/>
      <c r="LA272" s="6"/>
      <c r="LB272" s="6"/>
      <c r="LC272" s="6"/>
      <c r="LD272" s="6"/>
      <c r="LE272" s="6"/>
      <c r="LF272" s="6"/>
      <c r="LG272" s="6"/>
      <c r="LH272" s="6"/>
      <c r="LI272" s="6"/>
      <c r="LJ272" s="6"/>
      <c r="LK272" s="6"/>
      <c r="LL272" s="6"/>
      <c r="LM272" s="6"/>
      <c r="LN272" s="6"/>
      <c r="LO272" s="6"/>
      <c r="LP272" s="6"/>
      <c r="LQ272" s="6"/>
      <c r="LR272" s="6"/>
      <c r="LS272" s="6"/>
      <c r="LT272" s="6"/>
      <c r="LU272" s="6"/>
      <c r="LV272" s="6"/>
      <c r="LW272" s="6"/>
      <c r="LX272" s="6"/>
      <c r="LY272" s="6"/>
      <c r="LZ272" s="6"/>
      <c r="MA272" s="6"/>
      <c r="MB272" s="6"/>
      <c r="MC272" s="6"/>
      <c r="MD272" s="6"/>
      <c r="ME272" s="6"/>
      <c r="MF272" s="6"/>
      <c r="MG272" s="6"/>
      <c r="MH272" s="6"/>
      <c r="MI272" s="6"/>
      <c r="MJ272" s="6"/>
      <c r="MK272" s="6"/>
      <c r="ML272" s="6"/>
      <c r="MM272" s="6"/>
      <c r="MN272" s="6"/>
      <c r="MO272" s="6"/>
      <c r="MP272" s="6"/>
      <c r="MQ272" s="6"/>
      <c r="MR272" s="6"/>
      <c r="MS272" s="6"/>
      <c r="MT272" s="6"/>
      <c r="MU272" s="6"/>
      <c r="MV272" s="6"/>
      <c r="MW272" s="6"/>
      <c r="MX272" s="6"/>
      <c r="MY272" s="6"/>
      <c r="MZ272" s="6"/>
      <c r="NA272" s="6"/>
      <c r="NB272" s="6"/>
      <c r="NC272" s="6"/>
      <c r="ND272" s="6"/>
      <c r="NE272" s="6"/>
      <c r="NF272" s="6"/>
      <c r="NG272" s="6"/>
      <c r="NH272" s="6"/>
      <c r="NI272" s="6"/>
      <c r="NJ272" s="6"/>
      <c r="NK272" s="6"/>
      <c r="NL272" s="6"/>
      <c r="NM272" s="6"/>
      <c r="NN272" s="6"/>
      <c r="NO272" s="6"/>
      <c r="NP272" s="6"/>
      <c r="NQ272" s="6"/>
      <c r="NR272" s="6"/>
      <c r="NS272" s="6"/>
      <c r="NT272" s="6"/>
      <c r="NU272" s="6"/>
      <c r="NV272" s="6"/>
    </row>
    <row r="273" spans="1:386" s="19" customFormat="1" ht="20.100000000000001" customHeight="1" x14ac:dyDescent="0.35">
      <c r="A273" s="1"/>
      <c r="B273" s="2"/>
      <c r="C273" s="3"/>
      <c r="D273" s="2"/>
      <c r="E273" s="2"/>
      <c r="F273" s="4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9"/>
      <c r="FL273" s="9"/>
      <c r="FM273" s="9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135"/>
      <c r="IK273" s="135"/>
      <c r="IL273" s="135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6"/>
      <c r="KZ273" s="6"/>
      <c r="LA273" s="6"/>
      <c r="LB273" s="6"/>
      <c r="LC273" s="6"/>
      <c r="LD273" s="6"/>
      <c r="LE273" s="6"/>
      <c r="LF273" s="6"/>
      <c r="LG273" s="6"/>
      <c r="LH273" s="6"/>
      <c r="LI273" s="6"/>
      <c r="LJ273" s="6"/>
      <c r="LK273" s="6"/>
      <c r="LL273" s="6"/>
      <c r="LM273" s="6"/>
      <c r="LN273" s="6"/>
      <c r="LO273" s="6"/>
      <c r="LP273" s="6"/>
      <c r="LQ273" s="6"/>
      <c r="LR273" s="6"/>
      <c r="LS273" s="6"/>
      <c r="LT273" s="6"/>
      <c r="LU273" s="6"/>
      <c r="LV273" s="6"/>
      <c r="LW273" s="6"/>
      <c r="LX273" s="6"/>
      <c r="LY273" s="6"/>
      <c r="LZ273" s="6"/>
      <c r="MA273" s="6"/>
      <c r="MB273" s="6"/>
      <c r="MC273" s="6"/>
      <c r="MD273" s="6"/>
      <c r="ME273" s="6"/>
      <c r="MF273" s="6"/>
      <c r="MG273" s="6"/>
      <c r="MH273" s="6"/>
      <c r="MI273" s="6"/>
      <c r="MJ273" s="6"/>
      <c r="MK273" s="6"/>
      <c r="ML273" s="6"/>
      <c r="MM273" s="6"/>
      <c r="MN273" s="6"/>
      <c r="MO273" s="6"/>
      <c r="MP273" s="6"/>
      <c r="MQ273" s="6"/>
      <c r="MR273" s="6"/>
      <c r="MS273" s="6"/>
      <c r="MT273" s="6"/>
      <c r="MU273" s="6"/>
      <c r="MV273" s="6"/>
      <c r="MW273" s="6"/>
      <c r="MX273" s="6"/>
      <c r="MY273" s="6"/>
      <c r="MZ273" s="6"/>
      <c r="NA273" s="6"/>
      <c r="NB273" s="6"/>
      <c r="NC273" s="6"/>
      <c r="ND273" s="6"/>
      <c r="NE273" s="6"/>
      <c r="NF273" s="6"/>
      <c r="NG273" s="6"/>
      <c r="NH273" s="6"/>
      <c r="NI273" s="6"/>
      <c r="NJ273" s="6"/>
      <c r="NK273" s="6"/>
      <c r="NL273" s="6"/>
      <c r="NM273" s="6"/>
      <c r="NN273" s="6"/>
      <c r="NO273" s="6"/>
      <c r="NP273" s="6"/>
      <c r="NQ273" s="6"/>
      <c r="NR273" s="6"/>
      <c r="NS273" s="6"/>
      <c r="NT273" s="6"/>
      <c r="NU273" s="6"/>
      <c r="NV273" s="6"/>
    </row>
    <row r="274" spans="1:386" s="19" customFormat="1" ht="20.100000000000001" customHeight="1" x14ac:dyDescent="0.35">
      <c r="A274" s="1"/>
      <c r="B274" s="2"/>
      <c r="C274" s="3"/>
      <c r="D274" s="2"/>
      <c r="E274" s="2"/>
      <c r="F274" s="4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9"/>
      <c r="FL274" s="9"/>
      <c r="FM274" s="9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135"/>
      <c r="IK274" s="135"/>
      <c r="IL274" s="135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6"/>
      <c r="KZ274" s="6"/>
      <c r="LA274" s="6"/>
      <c r="LB274" s="6"/>
      <c r="LC274" s="6"/>
      <c r="LD274" s="6"/>
      <c r="LE274" s="6"/>
      <c r="LF274" s="6"/>
      <c r="LG274" s="6"/>
      <c r="LH274" s="6"/>
      <c r="LI274" s="6"/>
      <c r="LJ274" s="6"/>
      <c r="LK274" s="6"/>
      <c r="LL274" s="6"/>
      <c r="LM274" s="6"/>
      <c r="LN274" s="6"/>
      <c r="LO274" s="6"/>
      <c r="LP274" s="6"/>
      <c r="LQ274" s="6"/>
      <c r="LR274" s="6"/>
      <c r="LS274" s="6"/>
      <c r="LT274" s="6"/>
      <c r="LU274" s="6"/>
      <c r="LV274" s="6"/>
      <c r="LW274" s="6"/>
      <c r="LX274" s="6"/>
      <c r="LY274" s="6"/>
      <c r="LZ274" s="6"/>
      <c r="MA274" s="6"/>
      <c r="MB274" s="6"/>
      <c r="MC274" s="6"/>
      <c r="MD274" s="6"/>
      <c r="ME274" s="6"/>
      <c r="MF274" s="6"/>
      <c r="MG274" s="6"/>
      <c r="MH274" s="6"/>
      <c r="MI274" s="6"/>
      <c r="MJ274" s="6"/>
      <c r="MK274" s="6"/>
      <c r="ML274" s="6"/>
      <c r="MM274" s="6"/>
      <c r="MN274" s="6"/>
      <c r="MO274" s="6"/>
      <c r="MP274" s="6"/>
      <c r="MQ274" s="6"/>
      <c r="MR274" s="6"/>
      <c r="MS274" s="6"/>
      <c r="MT274" s="6"/>
      <c r="MU274" s="6"/>
      <c r="MV274" s="6"/>
      <c r="MW274" s="6"/>
      <c r="MX274" s="6"/>
      <c r="MY274" s="6"/>
      <c r="MZ274" s="6"/>
      <c r="NA274" s="6"/>
      <c r="NB274" s="6"/>
      <c r="NC274" s="6"/>
      <c r="ND274" s="6"/>
      <c r="NE274" s="6"/>
      <c r="NF274" s="6"/>
      <c r="NG274" s="6"/>
      <c r="NH274" s="6"/>
      <c r="NI274" s="6"/>
      <c r="NJ274" s="6"/>
      <c r="NK274" s="6"/>
      <c r="NL274" s="6"/>
      <c r="NM274" s="6"/>
      <c r="NN274" s="6"/>
      <c r="NO274" s="6"/>
      <c r="NP274" s="6"/>
      <c r="NQ274" s="6"/>
      <c r="NR274" s="6"/>
      <c r="NS274" s="6"/>
      <c r="NT274" s="6"/>
      <c r="NU274" s="6"/>
      <c r="NV274" s="6"/>
    </row>
    <row r="275" spans="1:386" s="19" customFormat="1" ht="20.100000000000001" customHeight="1" x14ac:dyDescent="0.35">
      <c r="A275" s="1"/>
      <c r="B275" s="2"/>
      <c r="C275" s="3"/>
      <c r="D275" s="2"/>
      <c r="E275" s="2"/>
      <c r="F275" s="4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9"/>
      <c r="FL275" s="9"/>
      <c r="FM275" s="9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135"/>
      <c r="IK275" s="135"/>
      <c r="IL275" s="135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6"/>
      <c r="KZ275" s="6"/>
      <c r="LA275" s="6"/>
      <c r="LB275" s="6"/>
      <c r="LC275" s="6"/>
      <c r="LD275" s="6"/>
      <c r="LE275" s="6"/>
      <c r="LF275" s="6"/>
      <c r="LG275" s="6"/>
      <c r="LH275" s="6"/>
      <c r="LI275" s="6"/>
      <c r="LJ275" s="6"/>
      <c r="LK275" s="6"/>
      <c r="LL275" s="6"/>
      <c r="LM275" s="6"/>
      <c r="LN275" s="6"/>
      <c r="LO275" s="6"/>
      <c r="LP275" s="6"/>
      <c r="LQ275" s="6"/>
      <c r="LR275" s="6"/>
      <c r="LS275" s="6"/>
      <c r="LT275" s="6"/>
      <c r="LU275" s="6"/>
      <c r="LV275" s="6"/>
      <c r="LW275" s="6"/>
      <c r="LX275" s="6"/>
      <c r="LY275" s="6"/>
      <c r="LZ275" s="6"/>
      <c r="MA275" s="6"/>
      <c r="MB275" s="6"/>
      <c r="MC275" s="6"/>
      <c r="MD275" s="6"/>
      <c r="ME275" s="6"/>
      <c r="MF275" s="6"/>
      <c r="MG275" s="6"/>
      <c r="MH275" s="6"/>
      <c r="MI275" s="6"/>
      <c r="MJ275" s="6"/>
      <c r="MK275" s="6"/>
      <c r="ML275" s="6"/>
      <c r="MM275" s="6"/>
      <c r="MN275" s="6"/>
      <c r="MO275" s="6"/>
      <c r="MP275" s="6"/>
      <c r="MQ275" s="6"/>
      <c r="MR275" s="6"/>
      <c r="MS275" s="6"/>
      <c r="MT275" s="6"/>
      <c r="MU275" s="6"/>
      <c r="MV275" s="6"/>
      <c r="MW275" s="6"/>
      <c r="MX275" s="6"/>
      <c r="MY275" s="6"/>
      <c r="MZ275" s="6"/>
      <c r="NA275" s="6"/>
      <c r="NB275" s="6"/>
      <c r="NC275" s="6"/>
      <c r="ND275" s="6"/>
      <c r="NE275" s="6"/>
      <c r="NF275" s="6"/>
      <c r="NG275" s="6"/>
      <c r="NH275" s="6"/>
      <c r="NI275" s="6"/>
      <c r="NJ275" s="6"/>
      <c r="NK275" s="6"/>
      <c r="NL275" s="6"/>
      <c r="NM275" s="6"/>
      <c r="NN275" s="6"/>
      <c r="NO275" s="6"/>
      <c r="NP275" s="6"/>
      <c r="NQ275" s="6"/>
      <c r="NR275" s="6"/>
      <c r="NS275" s="6"/>
      <c r="NT275" s="6"/>
      <c r="NU275" s="6"/>
      <c r="NV275" s="6"/>
    </row>
    <row r="276" spans="1:386" s="19" customFormat="1" ht="20.100000000000001" customHeight="1" x14ac:dyDescent="0.35">
      <c r="A276" s="1"/>
      <c r="B276" s="2"/>
      <c r="C276" s="3"/>
      <c r="D276" s="2"/>
      <c r="E276" s="2"/>
      <c r="F276" s="4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9"/>
      <c r="FL276" s="9"/>
      <c r="FM276" s="9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135"/>
      <c r="IK276" s="135"/>
      <c r="IL276" s="135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  <c r="JE276" s="6"/>
      <c r="JF276" s="6"/>
      <c r="JG276" s="6"/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6"/>
      <c r="KZ276" s="6"/>
      <c r="LA276" s="6"/>
      <c r="LB276" s="6"/>
      <c r="LC276" s="6"/>
      <c r="LD276" s="6"/>
      <c r="LE276" s="6"/>
      <c r="LF276" s="6"/>
      <c r="LG276" s="6"/>
      <c r="LH276" s="6"/>
      <c r="LI276" s="6"/>
      <c r="LJ276" s="6"/>
      <c r="LK276" s="6"/>
      <c r="LL276" s="6"/>
      <c r="LM276" s="6"/>
      <c r="LN276" s="6"/>
      <c r="LO276" s="6"/>
      <c r="LP276" s="6"/>
      <c r="LQ276" s="6"/>
      <c r="LR276" s="6"/>
      <c r="LS276" s="6"/>
      <c r="LT276" s="6"/>
      <c r="LU276" s="6"/>
      <c r="LV276" s="6"/>
      <c r="LW276" s="6"/>
      <c r="LX276" s="6"/>
      <c r="LY276" s="6"/>
      <c r="LZ276" s="6"/>
      <c r="MA276" s="6"/>
      <c r="MB276" s="6"/>
      <c r="MC276" s="6"/>
      <c r="MD276" s="6"/>
      <c r="ME276" s="6"/>
      <c r="MF276" s="6"/>
      <c r="MG276" s="6"/>
      <c r="MH276" s="6"/>
      <c r="MI276" s="6"/>
      <c r="MJ276" s="6"/>
      <c r="MK276" s="6"/>
      <c r="ML276" s="6"/>
      <c r="MM276" s="6"/>
      <c r="MN276" s="6"/>
      <c r="MO276" s="6"/>
      <c r="MP276" s="6"/>
      <c r="MQ276" s="6"/>
      <c r="MR276" s="6"/>
      <c r="MS276" s="6"/>
      <c r="MT276" s="6"/>
      <c r="MU276" s="6"/>
      <c r="MV276" s="6"/>
      <c r="MW276" s="6"/>
      <c r="MX276" s="6"/>
      <c r="MY276" s="6"/>
      <c r="MZ276" s="6"/>
      <c r="NA276" s="6"/>
      <c r="NB276" s="6"/>
      <c r="NC276" s="6"/>
      <c r="ND276" s="6"/>
      <c r="NE276" s="6"/>
      <c r="NF276" s="6"/>
      <c r="NG276" s="6"/>
      <c r="NH276" s="6"/>
      <c r="NI276" s="6"/>
      <c r="NJ276" s="6"/>
      <c r="NK276" s="6"/>
      <c r="NL276" s="6"/>
      <c r="NM276" s="6"/>
      <c r="NN276" s="6"/>
      <c r="NO276" s="6"/>
      <c r="NP276" s="6"/>
      <c r="NQ276" s="6"/>
      <c r="NR276" s="6"/>
      <c r="NS276" s="6"/>
      <c r="NT276" s="6"/>
      <c r="NU276" s="6"/>
      <c r="NV276" s="6"/>
    </row>
    <row r="277" spans="1:386" s="19" customFormat="1" ht="20.100000000000001" customHeight="1" x14ac:dyDescent="0.35">
      <c r="A277" s="1"/>
      <c r="B277" s="2"/>
      <c r="C277" s="3"/>
      <c r="D277" s="2"/>
      <c r="E277" s="2"/>
      <c r="F277" s="4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9"/>
      <c r="FL277" s="9"/>
      <c r="FM277" s="9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135"/>
      <c r="IK277" s="135"/>
      <c r="IL277" s="135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6"/>
      <c r="KZ277" s="6"/>
      <c r="LA277" s="6"/>
      <c r="LB277" s="6"/>
      <c r="LC277" s="6"/>
      <c r="LD277" s="6"/>
      <c r="LE277" s="6"/>
      <c r="LF277" s="6"/>
      <c r="LG277" s="6"/>
      <c r="LH277" s="6"/>
      <c r="LI277" s="6"/>
      <c r="LJ277" s="6"/>
      <c r="LK277" s="6"/>
      <c r="LL277" s="6"/>
      <c r="LM277" s="6"/>
      <c r="LN277" s="6"/>
      <c r="LO277" s="6"/>
      <c r="LP277" s="6"/>
      <c r="LQ277" s="6"/>
      <c r="LR277" s="6"/>
      <c r="LS277" s="6"/>
      <c r="LT277" s="6"/>
      <c r="LU277" s="6"/>
      <c r="LV277" s="6"/>
      <c r="LW277" s="6"/>
      <c r="LX277" s="6"/>
      <c r="LY277" s="6"/>
      <c r="LZ277" s="6"/>
      <c r="MA277" s="6"/>
      <c r="MB277" s="6"/>
      <c r="MC277" s="6"/>
      <c r="MD277" s="6"/>
      <c r="ME277" s="6"/>
      <c r="MF277" s="6"/>
      <c r="MG277" s="6"/>
      <c r="MH277" s="6"/>
      <c r="MI277" s="6"/>
      <c r="MJ277" s="6"/>
      <c r="MK277" s="6"/>
      <c r="ML277" s="6"/>
      <c r="MM277" s="6"/>
      <c r="MN277" s="6"/>
      <c r="MO277" s="6"/>
      <c r="MP277" s="6"/>
      <c r="MQ277" s="6"/>
      <c r="MR277" s="6"/>
      <c r="MS277" s="6"/>
      <c r="MT277" s="6"/>
      <c r="MU277" s="6"/>
      <c r="MV277" s="6"/>
      <c r="MW277" s="6"/>
      <c r="MX277" s="6"/>
      <c r="MY277" s="6"/>
      <c r="MZ277" s="6"/>
      <c r="NA277" s="6"/>
      <c r="NB277" s="6"/>
      <c r="NC277" s="6"/>
      <c r="ND277" s="6"/>
      <c r="NE277" s="6"/>
      <c r="NF277" s="6"/>
      <c r="NG277" s="6"/>
      <c r="NH277" s="6"/>
      <c r="NI277" s="6"/>
      <c r="NJ277" s="6"/>
      <c r="NK277" s="6"/>
      <c r="NL277" s="6"/>
      <c r="NM277" s="6"/>
      <c r="NN277" s="6"/>
      <c r="NO277" s="6"/>
      <c r="NP277" s="6"/>
      <c r="NQ277" s="6"/>
      <c r="NR277" s="6"/>
      <c r="NS277" s="6"/>
      <c r="NT277" s="6"/>
      <c r="NU277" s="6"/>
      <c r="NV277" s="6"/>
    </row>
    <row r="278" spans="1:386" s="19" customFormat="1" ht="20.100000000000001" customHeight="1" x14ac:dyDescent="0.35">
      <c r="A278" s="1"/>
      <c r="B278" s="2"/>
      <c r="C278" s="3"/>
      <c r="D278" s="2"/>
      <c r="E278" s="2"/>
      <c r="F278" s="4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9"/>
      <c r="FL278" s="9"/>
      <c r="FM278" s="9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135"/>
      <c r="IK278" s="135"/>
      <c r="IL278" s="135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  <c r="JE278" s="6"/>
      <c r="JF278" s="6"/>
      <c r="JG278" s="6"/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6"/>
      <c r="KZ278" s="6"/>
      <c r="LA278" s="6"/>
      <c r="LB278" s="6"/>
      <c r="LC278" s="6"/>
      <c r="LD278" s="6"/>
      <c r="LE278" s="6"/>
      <c r="LF278" s="6"/>
      <c r="LG278" s="6"/>
      <c r="LH278" s="6"/>
      <c r="LI278" s="6"/>
      <c r="LJ278" s="6"/>
      <c r="LK278" s="6"/>
      <c r="LL278" s="6"/>
      <c r="LM278" s="6"/>
      <c r="LN278" s="6"/>
      <c r="LO278" s="6"/>
      <c r="LP278" s="6"/>
      <c r="LQ278" s="6"/>
      <c r="LR278" s="6"/>
      <c r="LS278" s="6"/>
      <c r="LT278" s="6"/>
      <c r="LU278" s="6"/>
      <c r="LV278" s="6"/>
      <c r="LW278" s="6"/>
      <c r="LX278" s="6"/>
      <c r="LY278" s="6"/>
      <c r="LZ278" s="6"/>
      <c r="MA278" s="6"/>
      <c r="MB278" s="6"/>
      <c r="MC278" s="6"/>
      <c r="MD278" s="6"/>
      <c r="ME278" s="6"/>
      <c r="MF278" s="6"/>
      <c r="MG278" s="6"/>
      <c r="MH278" s="6"/>
      <c r="MI278" s="6"/>
      <c r="MJ278" s="6"/>
      <c r="MK278" s="6"/>
      <c r="ML278" s="6"/>
      <c r="MM278" s="6"/>
      <c r="MN278" s="6"/>
      <c r="MO278" s="6"/>
      <c r="MP278" s="6"/>
      <c r="MQ278" s="6"/>
      <c r="MR278" s="6"/>
      <c r="MS278" s="6"/>
      <c r="MT278" s="6"/>
      <c r="MU278" s="6"/>
      <c r="MV278" s="6"/>
      <c r="MW278" s="6"/>
      <c r="MX278" s="6"/>
      <c r="MY278" s="6"/>
      <c r="MZ278" s="6"/>
      <c r="NA278" s="6"/>
      <c r="NB278" s="6"/>
      <c r="NC278" s="6"/>
      <c r="ND278" s="6"/>
      <c r="NE278" s="6"/>
      <c r="NF278" s="6"/>
      <c r="NG278" s="6"/>
      <c r="NH278" s="6"/>
      <c r="NI278" s="6"/>
      <c r="NJ278" s="6"/>
      <c r="NK278" s="6"/>
      <c r="NL278" s="6"/>
      <c r="NM278" s="6"/>
      <c r="NN278" s="6"/>
      <c r="NO278" s="6"/>
      <c r="NP278" s="6"/>
      <c r="NQ278" s="6"/>
      <c r="NR278" s="6"/>
      <c r="NS278" s="6"/>
      <c r="NT278" s="6"/>
      <c r="NU278" s="6"/>
      <c r="NV278" s="6"/>
    </row>
    <row r="279" spans="1:386" s="19" customFormat="1" ht="20.100000000000001" customHeight="1" x14ac:dyDescent="0.35">
      <c r="A279" s="1"/>
      <c r="B279" s="2"/>
      <c r="C279" s="3"/>
      <c r="D279" s="2"/>
      <c r="E279" s="2"/>
      <c r="F279" s="4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9"/>
      <c r="FL279" s="9"/>
      <c r="FM279" s="9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135"/>
      <c r="IK279" s="135"/>
      <c r="IL279" s="135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6"/>
      <c r="KZ279" s="6"/>
      <c r="LA279" s="6"/>
      <c r="LB279" s="6"/>
      <c r="LC279" s="6"/>
      <c r="LD279" s="6"/>
      <c r="LE279" s="6"/>
      <c r="LF279" s="6"/>
      <c r="LG279" s="6"/>
      <c r="LH279" s="6"/>
      <c r="LI279" s="6"/>
      <c r="LJ279" s="6"/>
      <c r="LK279" s="6"/>
      <c r="LL279" s="6"/>
      <c r="LM279" s="6"/>
      <c r="LN279" s="6"/>
      <c r="LO279" s="6"/>
      <c r="LP279" s="6"/>
      <c r="LQ279" s="6"/>
      <c r="LR279" s="6"/>
      <c r="LS279" s="6"/>
      <c r="LT279" s="6"/>
      <c r="LU279" s="6"/>
      <c r="LV279" s="6"/>
      <c r="LW279" s="6"/>
      <c r="LX279" s="6"/>
      <c r="LY279" s="6"/>
      <c r="LZ279" s="6"/>
      <c r="MA279" s="6"/>
      <c r="MB279" s="6"/>
      <c r="MC279" s="6"/>
      <c r="MD279" s="6"/>
      <c r="ME279" s="6"/>
      <c r="MF279" s="6"/>
      <c r="MG279" s="6"/>
      <c r="MH279" s="6"/>
      <c r="MI279" s="6"/>
      <c r="MJ279" s="6"/>
      <c r="MK279" s="6"/>
      <c r="ML279" s="6"/>
      <c r="MM279" s="6"/>
      <c r="MN279" s="6"/>
      <c r="MO279" s="6"/>
      <c r="MP279" s="6"/>
      <c r="MQ279" s="6"/>
      <c r="MR279" s="6"/>
      <c r="MS279" s="6"/>
      <c r="MT279" s="6"/>
      <c r="MU279" s="6"/>
      <c r="MV279" s="6"/>
      <c r="MW279" s="6"/>
      <c r="MX279" s="6"/>
      <c r="MY279" s="6"/>
      <c r="MZ279" s="6"/>
      <c r="NA279" s="6"/>
      <c r="NB279" s="6"/>
      <c r="NC279" s="6"/>
      <c r="ND279" s="6"/>
      <c r="NE279" s="6"/>
      <c r="NF279" s="6"/>
      <c r="NG279" s="6"/>
      <c r="NH279" s="6"/>
      <c r="NI279" s="6"/>
      <c r="NJ279" s="6"/>
      <c r="NK279" s="6"/>
      <c r="NL279" s="6"/>
      <c r="NM279" s="6"/>
      <c r="NN279" s="6"/>
      <c r="NO279" s="6"/>
      <c r="NP279" s="6"/>
      <c r="NQ279" s="6"/>
      <c r="NR279" s="6"/>
      <c r="NS279" s="6"/>
      <c r="NT279" s="6"/>
      <c r="NU279" s="6"/>
      <c r="NV279" s="6"/>
    </row>
    <row r="280" spans="1:386" s="19" customFormat="1" ht="20.100000000000001" customHeight="1" x14ac:dyDescent="0.35">
      <c r="A280" s="1"/>
      <c r="B280" s="2"/>
      <c r="C280" s="3"/>
      <c r="D280" s="2"/>
      <c r="E280" s="2"/>
      <c r="F280" s="4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9"/>
      <c r="FL280" s="9"/>
      <c r="FM280" s="9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135"/>
      <c r="IK280" s="135"/>
      <c r="IL280" s="135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  <c r="JE280" s="6"/>
      <c r="JF280" s="6"/>
      <c r="JG280" s="6"/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6"/>
      <c r="KZ280" s="6"/>
      <c r="LA280" s="6"/>
      <c r="LB280" s="6"/>
      <c r="LC280" s="6"/>
      <c r="LD280" s="6"/>
      <c r="LE280" s="6"/>
      <c r="LF280" s="6"/>
      <c r="LG280" s="6"/>
      <c r="LH280" s="6"/>
      <c r="LI280" s="6"/>
      <c r="LJ280" s="6"/>
      <c r="LK280" s="6"/>
      <c r="LL280" s="6"/>
      <c r="LM280" s="6"/>
      <c r="LN280" s="6"/>
      <c r="LO280" s="6"/>
      <c r="LP280" s="6"/>
      <c r="LQ280" s="6"/>
      <c r="LR280" s="6"/>
      <c r="LS280" s="6"/>
      <c r="LT280" s="6"/>
      <c r="LU280" s="6"/>
      <c r="LV280" s="6"/>
      <c r="LW280" s="6"/>
      <c r="LX280" s="6"/>
      <c r="LY280" s="6"/>
      <c r="LZ280" s="6"/>
      <c r="MA280" s="6"/>
      <c r="MB280" s="6"/>
      <c r="MC280" s="6"/>
      <c r="MD280" s="6"/>
      <c r="ME280" s="6"/>
      <c r="MF280" s="6"/>
      <c r="MG280" s="6"/>
      <c r="MH280" s="6"/>
      <c r="MI280" s="6"/>
      <c r="MJ280" s="6"/>
      <c r="MK280" s="6"/>
      <c r="ML280" s="6"/>
      <c r="MM280" s="6"/>
      <c r="MN280" s="6"/>
      <c r="MO280" s="6"/>
      <c r="MP280" s="6"/>
      <c r="MQ280" s="6"/>
      <c r="MR280" s="6"/>
      <c r="MS280" s="6"/>
      <c r="MT280" s="6"/>
      <c r="MU280" s="6"/>
      <c r="MV280" s="6"/>
      <c r="MW280" s="6"/>
      <c r="MX280" s="6"/>
      <c r="MY280" s="6"/>
      <c r="MZ280" s="6"/>
      <c r="NA280" s="6"/>
      <c r="NB280" s="6"/>
      <c r="NC280" s="6"/>
      <c r="ND280" s="6"/>
      <c r="NE280" s="6"/>
      <c r="NF280" s="6"/>
      <c r="NG280" s="6"/>
      <c r="NH280" s="6"/>
      <c r="NI280" s="6"/>
      <c r="NJ280" s="6"/>
      <c r="NK280" s="6"/>
      <c r="NL280" s="6"/>
      <c r="NM280" s="6"/>
      <c r="NN280" s="6"/>
      <c r="NO280" s="6"/>
      <c r="NP280" s="6"/>
      <c r="NQ280" s="6"/>
      <c r="NR280" s="6"/>
      <c r="NS280" s="6"/>
      <c r="NT280" s="6"/>
      <c r="NU280" s="6"/>
      <c r="NV280" s="6"/>
    </row>
    <row r="281" spans="1:386" s="19" customFormat="1" ht="20.100000000000001" customHeight="1" x14ac:dyDescent="0.35">
      <c r="A281" s="1"/>
      <c r="B281" s="2"/>
      <c r="C281" s="3"/>
      <c r="D281" s="2"/>
      <c r="E281" s="2"/>
      <c r="F281" s="4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9"/>
      <c r="FL281" s="9"/>
      <c r="FM281" s="9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135"/>
      <c r="IK281" s="135"/>
      <c r="IL281" s="135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6"/>
      <c r="KZ281" s="6"/>
      <c r="LA281" s="6"/>
      <c r="LB281" s="6"/>
      <c r="LC281" s="6"/>
      <c r="LD281" s="6"/>
      <c r="LE281" s="6"/>
      <c r="LF281" s="6"/>
      <c r="LG281" s="6"/>
      <c r="LH281" s="6"/>
      <c r="LI281" s="6"/>
      <c r="LJ281" s="6"/>
      <c r="LK281" s="6"/>
      <c r="LL281" s="6"/>
      <c r="LM281" s="6"/>
      <c r="LN281" s="6"/>
      <c r="LO281" s="6"/>
      <c r="LP281" s="6"/>
      <c r="LQ281" s="6"/>
      <c r="LR281" s="6"/>
      <c r="LS281" s="6"/>
      <c r="LT281" s="6"/>
      <c r="LU281" s="6"/>
      <c r="LV281" s="6"/>
      <c r="LW281" s="6"/>
      <c r="LX281" s="6"/>
      <c r="LY281" s="6"/>
      <c r="LZ281" s="6"/>
      <c r="MA281" s="6"/>
      <c r="MB281" s="6"/>
      <c r="MC281" s="6"/>
      <c r="MD281" s="6"/>
      <c r="ME281" s="6"/>
      <c r="MF281" s="6"/>
      <c r="MG281" s="6"/>
      <c r="MH281" s="6"/>
      <c r="MI281" s="6"/>
      <c r="MJ281" s="6"/>
      <c r="MK281" s="6"/>
      <c r="ML281" s="6"/>
      <c r="MM281" s="6"/>
      <c r="MN281" s="6"/>
      <c r="MO281" s="6"/>
      <c r="MP281" s="6"/>
      <c r="MQ281" s="6"/>
      <c r="MR281" s="6"/>
      <c r="MS281" s="6"/>
      <c r="MT281" s="6"/>
      <c r="MU281" s="6"/>
      <c r="MV281" s="6"/>
      <c r="MW281" s="6"/>
      <c r="MX281" s="6"/>
      <c r="MY281" s="6"/>
      <c r="MZ281" s="6"/>
      <c r="NA281" s="6"/>
      <c r="NB281" s="6"/>
      <c r="NC281" s="6"/>
      <c r="ND281" s="6"/>
      <c r="NE281" s="6"/>
      <c r="NF281" s="6"/>
      <c r="NG281" s="6"/>
      <c r="NH281" s="6"/>
      <c r="NI281" s="6"/>
      <c r="NJ281" s="6"/>
      <c r="NK281" s="6"/>
      <c r="NL281" s="6"/>
      <c r="NM281" s="6"/>
      <c r="NN281" s="6"/>
      <c r="NO281" s="6"/>
      <c r="NP281" s="6"/>
      <c r="NQ281" s="6"/>
      <c r="NR281" s="6"/>
      <c r="NS281" s="6"/>
      <c r="NT281" s="6"/>
      <c r="NU281" s="6"/>
      <c r="NV281" s="6"/>
    </row>
    <row r="282" spans="1:386" s="19" customFormat="1" ht="20.100000000000001" customHeight="1" x14ac:dyDescent="0.35">
      <c r="A282" s="1"/>
      <c r="B282" s="2"/>
      <c r="C282" s="3"/>
      <c r="D282" s="2"/>
      <c r="E282" s="2"/>
      <c r="F282" s="4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9"/>
      <c r="FL282" s="9"/>
      <c r="FM282" s="9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135"/>
      <c r="IK282" s="135"/>
      <c r="IL282" s="135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  <c r="JE282" s="6"/>
      <c r="JF282" s="6"/>
      <c r="JG282" s="6"/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6"/>
      <c r="KZ282" s="6"/>
      <c r="LA282" s="6"/>
      <c r="LB282" s="6"/>
      <c r="LC282" s="6"/>
      <c r="LD282" s="6"/>
      <c r="LE282" s="6"/>
      <c r="LF282" s="6"/>
      <c r="LG282" s="6"/>
      <c r="LH282" s="6"/>
      <c r="LI282" s="6"/>
      <c r="LJ282" s="6"/>
      <c r="LK282" s="6"/>
      <c r="LL282" s="6"/>
      <c r="LM282" s="6"/>
      <c r="LN282" s="6"/>
      <c r="LO282" s="6"/>
      <c r="LP282" s="6"/>
      <c r="LQ282" s="6"/>
      <c r="LR282" s="6"/>
      <c r="LS282" s="6"/>
      <c r="LT282" s="6"/>
      <c r="LU282" s="6"/>
      <c r="LV282" s="6"/>
      <c r="LW282" s="6"/>
      <c r="LX282" s="6"/>
      <c r="LY282" s="6"/>
      <c r="LZ282" s="6"/>
      <c r="MA282" s="6"/>
      <c r="MB282" s="6"/>
      <c r="MC282" s="6"/>
      <c r="MD282" s="6"/>
      <c r="ME282" s="6"/>
      <c r="MF282" s="6"/>
      <c r="MG282" s="6"/>
      <c r="MH282" s="6"/>
      <c r="MI282" s="6"/>
      <c r="MJ282" s="6"/>
      <c r="MK282" s="6"/>
      <c r="ML282" s="6"/>
      <c r="MM282" s="6"/>
      <c r="MN282" s="6"/>
      <c r="MO282" s="6"/>
      <c r="MP282" s="6"/>
      <c r="MQ282" s="6"/>
      <c r="MR282" s="6"/>
      <c r="MS282" s="6"/>
      <c r="MT282" s="6"/>
      <c r="MU282" s="6"/>
      <c r="MV282" s="6"/>
      <c r="MW282" s="6"/>
      <c r="MX282" s="6"/>
      <c r="MY282" s="6"/>
      <c r="MZ282" s="6"/>
      <c r="NA282" s="6"/>
      <c r="NB282" s="6"/>
      <c r="NC282" s="6"/>
      <c r="ND282" s="6"/>
      <c r="NE282" s="6"/>
      <c r="NF282" s="6"/>
      <c r="NG282" s="6"/>
      <c r="NH282" s="6"/>
      <c r="NI282" s="6"/>
      <c r="NJ282" s="6"/>
      <c r="NK282" s="6"/>
      <c r="NL282" s="6"/>
      <c r="NM282" s="6"/>
      <c r="NN282" s="6"/>
      <c r="NO282" s="6"/>
      <c r="NP282" s="6"/>
      <c r="NQ282" s="6"/>
      <c r="NR282" s="6"/>
      <c r="NS282" s="6"/>
      <c r="NT282" s="6"/>
      <c r="NU282" s="6"/>
      <c r="NV282" s="6"/>
    </row>
    <row r="283" spans="1:386" s="19" customFormat="1" ht="20.100000000000001" customHeight="1" x14ac:dyDescent="0.35">
      <c r="A283" s="1"/>
      <c r="B283" s="2"/>
      <c r="C283" s="3"/>
      <c r="D283" s="2"/>
      <c r="E283" s="2"/>
      <c r="F283" s="4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9"/>
      <c r="FL283" s="9"/>
      <c r="FM283" s="9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135"/>
      <c r="IK283" s="135"/>
      <c r="IL283" s="135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  <c r="JE283" s="6"/>
      <c r="JF283" s="6"/>
      <c r="JG283" s="6"/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6"/>
      <c r="KZ283" s="6"/>
      <c r="LA283" s="6"/>
      <c r="LB283" s="6"/>
      <c r="LC283" s="6"/>
      <c r="LD283" s="6"/>
      <c r="LE283" s="6"/>
      <c r="LF283" s="6"/>
      <c r="LG283" s="6"/>
      <c r="LH283" s="6"/>
      <c r="LI283" s="6"/>
      <c r="LJ283" s="6"/>
      <c r="LK283" s="6"/>
      <c r="LL283" s="6"/>
      <c r="LM283" s="6"/>
      <c r="LN283" s="6"/>
      <c r="LO283" s="6"/>
      <c r="LP283" s="6"/>
      <c r="LQ283" s="6"/>
      <c r="LR283" s="6"/>
      <c r="LS283" s="6"/>
      <c r="LT283" s="6"/>
      <c r="LU283" s="6"/>
      <c r="LV283" s="6"/>
      <c r="LW283" s="6"/>
      <c r="LX283" s="6"/>
      <c r="LY283" s="6"/>
      <c r="LZ283" s="6"/>
      <c r="MA283" s="6"/>
      <c r="MB283" s="6"/>
      <c r="MC283" s="6"/>
      <c r="MD283" s="6"/>
      <c r="ME283" s="6"/>
      <c r="MF283" s="6"/>
      <c r="MG283" s="6"/>
      <c r="MH283" s="6"/>
      <c r="MI283" s="6"/>
      <c r="MJ283" s="6"/>
      <c r="MK283" s="6"/>
      <c r="ML283" s="6"/>
      <c r="MM283" s="6"/>
      <c r="MN283" s="6"/>
      <c r="MO283" s="6"/>
      <c r="MP283" s="6"/>
      <c r="MQ283" s="6"/>
      <c r="MR283" s="6"/>
      <c r="MS283" s="6"/>
      <c r="MT283" s="6"/>
      <c r="MU283" s="6"/>
      <c r="MV283" s="6"/>
      <c r="MW283" s="6"/>
      <c r="MX283" s="6"/>
      <c r="MY283" s="6"/>
      <c r="MZ283" s="6"/>
      <c r="NA283" s="6"/>
      <c r="NB283" s="6"/>
      <c r="NC283" s="6"/>
      <c r="ND283" s="6"/>
      <c r="NE283" s="6"/>
      <c r="NF283" s="6"/>
      <c r="NG283" s="6"/>
      <c r="NH283" s="6"/>
      <c r="NI283" s="6"/>
      <c r="NJ283" s="6"/>
      <c r="NK283" s="6"/>
      <c r="NL283" s="6"/>
      <c r="NM283" s="6"/>
      <c r="NN283" s="6"/>
      <c r="NO283" s="6"/>
      <c r="NP283" s="6"/>
      <c r="NQ283" s="6"/>
      <c r="NR283" s="6"/>
      <c r="NS283" s="6"/>
      <c r="NT283" s="6"/>
      <c r="NU283" s="6"/>
      <c r="NV283" s="6"/>
    </row>
    <row r="284" spans="1:386" s="19" customFormat="1" ht="20.100000000000001" customHeight="1" x14ac:dyDescent="0.35">
      <c r="A284" s="1"/>
      <c r="B284" s="2"/>
      <c r="C284" s="3"/>
      <c r="D284" s="2"/>
      <c r="E284" s="2"/>
      <c r="F284" s="4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9"/>
      <c r="FL284" s="9"/>
      <c r="FM284" s="9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135"/>
      <c r="IK284" s="135"/>
      <c r="IL284" s="135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  <c r="JE284" s="6"/>
      <c r="JF284" s="6"/>
      <c r="JG284" s="6"/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6"/>
      <c r="KZ284" s="6"/>
      <c r="LA284" s="6"/>
      <c r="LB284" s="6"/>
      <c r="LC284" s="6"/>
      <c r="LD284" s="6"/>
      <c r="LE284" s="6"/>
      <c r="LF284" s="6"/>
      <c r="LG284" s="6"/>
      <c r="LH284" s="6"/>
      <c r="LI284" s="6"/>
      <c r="LJ284" s="6"/>
      <c r="LK284" s="6"/>
      <c r="LL284" s="6"/>
      <c r="LM284" s="6"/>
      <c r="LN284" s="6"/>
      <c r="LO284" s="6"/>
      <c r="LP284" s="6"/>
      <c r="LQ284" s="6"/>
      <c r="LR284" s="6"/>
      <c r="LS284" s="6"/>
      <c r="LT284" s="6"/>
      <c r="LU284" s="6"/>
      <c r="LV284" s="6"/>
      <c r="LW284" s="6"/>
      <c r="LX284" s="6"/>
      <c r="LY284" s="6"/>
      <c r="LZ284" s="6"/>
      <c r="MA284" s="6"/>
      <c r="MB284" s="6"/>
      <c r="MC284" s="6"/>
      <c r="MD284" s="6"/>
      <c r="ME284" s="6"/>
      <c r="MF284" s="6"/>
      <c r="MG284" s="6"/>
      <c r="MH284" s="6"/>
      <c r="MI284" s="6"/>
      <c r="MJ284" s="6"/>
      <c r="MK284" s="6"/>
      <c r="ML284" s="6"/>
      <c r="MM284" s="6"/>
      <c r="MN284" s="6"/>
      <c r="MO284" s="6"/>
      <c r="MP284" s="6"/>
      <c r="MQ284" s="6"/>
      <c r="MR284" s="6"/>
      <c r="MS284" s="6"/>
      <c r="MT284" s="6"/>
      <c r="MU284" s="6"/>
      <c r="MV284" s="6"/>
      <c r="MW284" s="6"/>
      <c r="MX284" s="6"/>
      <c r="MY284" s="6"/>
      <c r="MZ284" s="6"/>
      <c r="NA284" s="6"/>
      <c r="NB284" s="6"/>
      <c r="NC284" s="6"/>
      <c r="ND284" s="6"/>
      <c r="NE284" s="6"/>
      <c r="NF284" s="6"/>
      <c r="NG284" s="6"/>
      <c r="NH284" s="6"/>
      <c r="NI284" s="6"/>
      <c r="NJ284" s="6"/>
      <c r="NK284" s="6"/>
      <c r="NL284" s="6"/>
      <c r="NM284" s="6"/>
      <c r="NN284" s="6"/>
      <c r="NO284" s="6"/>
      <c r="NP284" s="6"/>
      <c r="NQ284" s="6"/>
      <c r="NR284" s="6"/>
      <c r="NS284" s="6"/>
      <c r="NT284" s="6"/>
      <c r="NU284" s="6"/>
      <c r="NV284" s="6"/>
    </row>
    <row r="285" spans="1:386" s="19" customFormat="1" ht="20.100000000000001" customHeight="1" x14ac:dyDescent="0.35">
      <c r="A285" s="1"/>
      <c r="B285" s="2"/>
      <c r="C285" s="3"/>
      <c r="D285" s="2"/>
      <c r="E285" s="2"/>
      <c r="F285" s="4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9"/>
      <c r="FL285" s="9"/>
      <c r="FM285" s="9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135"/>
      <c r="IK285" s="135"/>
      <c r="IL285" s="135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  <c r="JE285" s="6"/>
      <c r="JF285" s="6"/>
      <c r="JG285" s="6"/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6"/>
      <c r="KZ285" s="6"/>
      <c r="LA285" s="6"/>
      <c r="LB285" s="6"/>
      <c r="LC285" s="6"/>
      <c r="LD285" s="6"/>
      <c r="LE285" s="6"/>
      <c r="LF285" s="6"/>
      <c r="LG285" s="6"/>
      <c r="LH285" s="6"/>
      <c r="LI285" s="6"/>
      <c r="LJ285" s="6"/>
      <c r="LK285" s="6"/>
      <c r="LL285" s="6"/>
      <c r="LM285" s="6"/>
      <c r="LN285" s="6"/>
      <c r="LO285" s="6"/>
      <c r="LP285" s="6"/>
      <c r="LQ285" s="6"/>
      <c r="LR285" s="6"/>
      <c r="LS285" s="6"/>
      <c r="LT285" s="6"/>
      <c r="LU285" s="6"/>
      <c r="LV285" s="6"/>
      <c r="LW285" s="6"/>
      <c r="LX285" s="6"/>
      <c r="LY285" s="6"/>
      <c r="LZ285" s="6"/>
      <c r="MA285" s="6"/>
      <c r="MB285" s="6"/>
      <c r="MC285" s="6"/>
      <c r="MD285" s="6"/>
      <c r="ME285" s="6"/>
      <c r="MF285" s="6"/>
      <c r="MG285" s="6"/>
      <c r="MH285" s="6"/>
      <c r="MI285" s="6"/>
      <c r="MJ285" s="6"/>
      <c r="MK285" s="6"/>
      <c r="ML285" s="6"/>
      <c r="MM285" s="6"/>
      <c r="MN285" s="6"/>
      <c r="MO285" s="6"/>
      <c r="MP285" s="6"/>
      <c r="MQ285" s="6"/>
      <c r="MR285" s="6"/>
      <c r="MS285" s="6"/>
      <c r="MT285" s="6"/>
      <c r="MU285" s="6"/>
      <c r="MV285" s="6"/>
      <c r="MW285" s="6"/>
      <c r="MX285" s="6"/>
      <c r="MY285" s="6"/>
      <c r="MZ285" s="6"/>
      <c r="NA285" s="6"/>
      <c r="NB285" s="6"/>
      <c r="NC285" s="6"/>
      <c r="ND285" s="6"/>
      <c r="NE285" s="6"/>
      <c r="NF285" s="6"/>
      <c r="NG285" s="6"/>
      <c r="NH285" s="6"/>
      <c r="NI285" s="6"/>
      <c r="NJ285" s="6"/>
      <c r="NK285" s="6"/>
      <c r="NL285" s="6"/>
      <c r="NM285" s="6"/>
      <c r="NN285" s="6"/>
      <c r="NO285" s="6"/>
      <c r="NP285" s="6"/>
      <c r="NQ285" s="6"/>
      <c r="NR285" s="6"/>
      <c r="NS285" s="6"/>
      <c r="NT285" s="6"/>
      <c r="NU285" s="6"/>
      <c r="NV285" s="6"/>
    </row>
    <row r="286" spans="1:386" s="19" customFormat="1" ht="20.100000000000001" customHeight="1" x14ac:dyDescent="0.35">
      <c r="A286" s="1"/>
      <c r="B286" s="2"/>
      <c r="C286" s="3"/>
      <c r="D286" s="2"/>
      <c r="E286" s="2"/>
      <c r="F286" s="4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9"/>
      <c r="FL286" s="9"/>
      <c r="FM286" s="9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135"/>
      <c r="IK286" s="135"/>
      <c r="IL286" s="135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6"/>
      <c r="KZ286" s="6"/>
      <c r="LA286" s="6"/>
      <c r="LB286" s="6"/>
      <c r="LC286" s="6"/>
      <c r="LD286" s="6"/>
      <c r="LE286" s="6"/>
      <c r="LF286" s="6"/>
      <c r="LG286" s="6"/>
      <c r="LH286" s="6"/>
      <c r="LI286" s="6"/>
      <c r="LJ286" s="6"/>
      <c r="LK286" s="6"/>
      <c r="LL286" s="6"/>
      <c r="LM286" s="6"/>
      <c r="LN286" s="6"/>
      <c r="LO286" s="6"/>
      <c r="LP286" s="6"/>
      <c r="LQ286" s="6"/>
      <c r="LR286" s="6"/>
      <c r="LS286" s="6"/>
      <c r="LT286" s="6"/>
      <c r="LU286" s="6"/>
      <c r="LV286" s="6"/>
      <c r="LW286" s="6"/>
      <c r="LX286" s="6"/>
      <c r="LY286" s="6"/>
      <c r="LZ286" s="6"/>
      <c r="MA286" s="6"/>
      <c r="MB286" s="6"/>
      <c r="MC286" s="6"/>
      <c r="MD286" s="6"/>
      <c r="ME286" s="6"/>
      <c r="MF286" s="6"/>
      <c r="MG286" s="6"/>
      <c r="MH286" s="6"/>
      <c r="MI286" s="6"/>
      <c r="MJ286" s="6"/>
      <c r="MK286" s="6"/>
      <c r="ML286" s="6"/>
      <c r="MM286" s="6"/>
      <c r="MN286" s="6"/>
      <c r="MO286" s="6"/>
      <c r="MP286" s="6"/>
      <c r="MQ286" s="6"/>
      <c r="MR286" s="6"/>
      <c r="MS286" s="6"/>
      <c r="MT286" s="6"/>
      <c r="MU286" s="6"/>
      <c r="MV286" s="6"/>
      <c r="MW286" s="6"/>
      <c r="MX286" s="6"/>
      <c r="MY286" s="6"/>
      <c r="MZ286" s="6"/>
      <c r="NA286" s="6"/>
      <c r="NB286" s="6"/>
      <c r="NC286" s="6"/>
      <c r="ND286" s="6"/>
      <c r="NE286" s="6"/>
      <c r="NF286" s="6"/>
      <c r="NG286" s="6"/>
      <c r="NH286" s="6"/>
      <c r="NI286" s="6"/>
      <c r="NJ286" s="6"/>
      <c r="NK286" s="6"/>
      <c r="NL286" s="6"/>
      <c r="NM286" s="6"/>
      <c r="NN286" s="6"/>
      <c r="NO286" s="6"/>
      <c r="NP286" s="6"/>
      <c r="NQ286" s="6"/>
      <c r="NR286" s="6"/>
      <c r="NS286" s="6"/>
      <c r="NT286" s="6"/>
      <c r="NU286" s="6"/>
      <c r="NV286" s="6"/>
    </row>
    <row r="287" spans="1:386" s="19" customFormat="1" ht="20.100000000000001" customHeight="1" x14ac:dyDescent="0.35">
      <c r="A287" s="1"/>
      <c r="B287" s="2"/>
      <c r="C287" s="3"/>
      <c r="D287" s="2"/>
      <c r="E287" s="2"/>
      <c r="F287" s="4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9"/>
      <c r="FL287" s="9"/>
      <c r="FM287" s="9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135"/>
      <c r="IK287" s="135"/>
      <c r="IL287" s="135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  <c r="JE287" s="6"/>
      <c r="JF287" s="6"/>
      <c r="JG287" s="6"/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6"/>
      <c r="KZ287" s="6"/>
      <c r="LA287" s="6"/>
      <c r="LB287" s="6"/>
      <c r="LC287" s="6"/>
      <c r="LD287" s="6"/>
      <c r="LE287" s="6"/>
      <c r="LF287" s="6"/>
      <c r="LG287" s="6"/>
      <c r="LH287" s="6"/>
      <c r="LI287" s="6"/>
      <c r="LJ287" s="6"/>
      <c r="LK287" s="6"/>
      <c r="LL287" s="6"/>
      <c r="LM287" s="6"/>
      <c r="LN287" s="6"/>
      <c r="LO287" s="6"/>
      <c r="LP287" s="6"/>
      <c r="LQ287" s="6"/>
      <c r="LR287" s="6"/>
      <c r="LS287" s="6"/>
      <c r="LT287" s="6"/>
      <c r="LU287" s="6"/>
      <c r="LV287" s="6"/>
      <c r="LW287" s="6"/>
      <c r="LX287" s="6"/>
      <c r="LY287" s="6"/>
      <c r="LZ287" s="6"/>
      <c r="MA287" s="6"/>
      <c r="MB287" s="6"/>
      <c r="MC287" s="6"/>
      <c r="MD287" s="6"/>
      <c r="ME287" s="6"/>
      <c r="MF287" s="6"/>
      <c r="MG287" s="6"/>
      <c r="MH287" s="6"/>
      <c r="MI287" s="6"/>
      <c r="MJ287" s="6"/>
      <c r="MK287" s="6"/>
      <c r="ML287" s="6"/>
      <c r="MM287" s="6"/>
      <c r="MN287" s="6"/>
      <c r="MO287" s="6"/>
      <c r="MP287" s="6"/>
      <c r="MQ287" s="6"/>
      <c r="MR287" s="6"/>
      <c r="MS287" s="6"/>
      <c r="MT287" s="6"/>
      <c r="MU287" s="6"/>
      <c r="MV287" s="6"/>
      <c r="MW287" s="6"/>
      <c r="MX287" s="6"/>
      <c r="MY287" s="6"/>
      <c r="MZ287" s="6"/>
      <c r="NA287" s="6"/>
      <c r="NB287" s="6"/>
      <c r="NC287" s="6"/>
      <c r="ND287" s="6"/>
      <c r="NE287" s="6"/>
      <c r="NF287" s="6"/>
      <c r="NG287" s="6"/>
      <c r="NH287" s="6"/>
      <c r="NI287" s="6"/>
      <c r="NJ287" s="6"/>
      <c r="NK287" s="6"/>
      <c r="NL287" s="6"/>
      <c r="NM287" s="6"/>
      <c r="NN287" s="6"/>
      <c r="NO287" s="6"/>
      <c r="NP287" s="6"/>
      <c r="NQ287" s="6"/>
      <c r="NR287" s="6"/>
      <c r="NS287" s="6"/>
      <c r="NT287" s="6"/>
      <c r="NU287" s="6"/>
      <c r="NV287" s="6"/>
    </row>
    <row r="288" spans="1:386" s="19" customFormat="1" ht="20.100000000000001" customHeight="1" x14ac:dyDescent="0.35">
      <c r="A288" s="1"/>
      <c r="B288" s="2"/>
      <c r="C288" s="3"/>
      <c r="D288" s="2"/>
      <c r="E288" s="2"/>
      <c r="F288" s="4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9"/>
      <c r="FL288" s="9"/>
      <c r="FM288" s="9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135"/>
      <c r="IK288" s="135"/>
      <c r="IL288" s="135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  <c r="JE288" s="6"/>
      <c r="JF288" s="6"/>
      <c r="JG288" s="6"/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6"/>
      <c r="KZ288" s="6"/>
      <c r="LA288" s="6"/>
      <c r="LB288" s="6"/>
      <c r="LC288" s="6"/>
      <c r="LD288" s="6"/>
      <c r="LE288" s="6"/>
      <c r="LF288" s="6"/>
      <c r="LG288" s="6"/>
      <c r="LH288" s="6"/>
      <c r="LI288" s="6"/>
      <c r="LJ288" s="6"/>
      <c r="LK288" s="6"/>
      <c r="LL288" s="6"/>
      <c r="LM288" s="6"/>
      <c r="LN288" s="6"/>
      <c r="LO288" s="6"/>
      <c r="LP288" s="6"/>
      <c r="LQ288" s="6"/>
      <c r="LR288" s="6"/>
      <c r="LS288" s="6"/>
      <c r="LT288" s="6"/>
      <c r="LU288" s="6"/>
      <c r="LV288" s="6"/>
      <c r="LW288" s="6"/>
      <c r="LX288" s="6"/>
      <c r="LY288" s="6"/>
      <c r="LZ288" s="6"/>
      <c r="MA288" s="6"/>
      <c r="MB288" s="6"/>
      <c r="MC288" s="6"/>
      <c r="MD288" s="6"/>
      <c r="ME288" s="6"/>
      <c r="MF288" s="6"/>
      <c r="MG288" s="6"/>
      <c r="MH288" s="6"/>
      <c r="MI288" s="6"/>
      <c r="MJ288" s="6"/>
      <c r="MK288" s="6"/>
      <c r="ML288" s="6"/>
      <c r="MM288" s="6"/>
      <c r="MN288" s="6"/>
      <c r="MO288" s="6"/>
      <c r="MP288" s="6"/>
      <c r="MQ288" s="6"/>
      <c r="MR288" s="6"/>
      <c r="MS288" s="6"/>
      <c r="MT288" s="6"/>
      <c r="MU288" s="6"/>
      <c r="MV288" s="6"/>
      <c r="MW288" s="6"/>
      <c r="MX288" s="6"/>
      <c r="MY288" s="6"/>
      <c r="MZ288" s="6"/>
      <c r="NA288" s="6"/>
      <c r="NB288" s="6"/>
      <c r="NC288" s="6"/>
      <c r="ND288" s="6"/>
      <c r="NE288" s="6"/>
      <c r="NF288" s="6"/>
      <c r="NG288" s="6"/>
      <c r="NH288" s="6"/>
      <c r="NI288" s="6"/>
      <c r="NJ288" s="6"/>
      <c r="NK288" s="6"/>
      <c r="NL288" s="6"/>
      <c r="NM288" s="6"/>
      <c r="NN288" s="6"/>
      <c r="NO288" s="6"/>
      <c r="NP288" s="6"/>
      <c r="NQ288" s="6"/>
      <c r="NR288" s="6"/>
      <c r="NS288" s="6"/>
      <c r="NT288" s="6"/>
      <c r="NU288" s="6"/>
      <c r="NV288" s="6"/>
    </row>
    <row r="289" spans="1:386" s="19" customFormat="1" ht="20.100000000000001" customHeight="1" x14ac:dyDescent="0.35">
      <c r="A289" s="1"/>
      <c r="B289" s="2"/>
      <c r="C289" s="3"/>
      <c r="D289" s="2"/>
      <c r="E289" s="2"/>
      <c r="F289" s="4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9"/>
      <c r="FL289" s="9"/>
      <c r="FM289" s="9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135"/>
      <c r="IK289" s="135"/>
      <c r="IL289" s="135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  <c r="JE289" s="6"/>
      <c r="JF289" s="6"/>
      <c r="JG289" s="6"/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6"/>
      <c r="KZ289" s="6"/>
      <c r="LA289" s="6"/>
      <c r="LB289" s="6"/>
      <c r="LC289" s="6"/>
      <c r="LD289" s="6"/>
      <c r="LE289" s="6"/>
      <c r="LF289" s="6"/>
      <c r="LG289" s="6"/>
      <c r="LH289" s="6"/>
      <c r="LI289" s="6"/>
      <c r="LJ289" s="6"/>
      <c r="LK289" s="6"/>
      <c r="LL289" s="6"/>
      <c r="LM289" s="6"/>
      <c r="LN289" s="6"/>
      <c r="LO289" s="6"/>
      <c r="LP289" s="6"/>
      <c r="LQ289" s="6"/>
      <c r="LR289" s="6"/>
      <c r="LS289" s="6"/>
      <c r="LT289" s="6"/>
      <c r="LU289" s="6"/>
      <c r="LV289" s="6"/>
      <c r="LW289" s="6"/>
      <c r="LX289" s="6"/>
      <c r="LY289" s="6"/>
      <c r="LZ289" s="6"/>
      <c r="MA289" s="6"/>
      <c r="MB289" s="6"/>
      <c r="MC289" s="6"/>
      <c r="MD289" s="6"/>
      <c r="ME289" s="6"/>
      <c r="MF289" s="6"/>
      <c r="MG289" s="6"/>
      <c r="MH289" s="6"/>
      <c r="MI289" s="6"/>
      <c r="MJ289" s="6"/>
      <c r="MK289" s="6"/>
      <c r="ML289" s="6"/>
      <c r="MM289" s="6"/>
      <c r="MN289" s="6"/>
      <c r="MO289" s="6"/>
      <c r="MP289" s="6"/>
      <c r="MQ289" s="6"/>
      <c r="MR289" s="6"/>
      <c r="MS289" s="6"/>
      <c r="MT289" s="6"/>
      <c r="MU289" s="6"/>
      <c r="MV289" s="6"/>
      <c r="MW289" s="6"/>
      <c r="MX289" s="6"/>
      <c r="MY289" s="6"/>
      <c r="MZ289" s="6"/>
      <c r="NA289" s="6"/>
      <c r="NB289" s="6"/>
      <c r="NC289" s="6"/>
      <c r="ND289" s="6"/>
      <c r="NE289" s="6"/>
      <c r="NF289" s="6"/>
      <c r="NG289" s="6"/>
      <c r="NH289" s="6"/>
      <c r="NI289" s="6"/>
      <c r="NJ289" s="6"/>
      <c r="NK289" s="6"/>
      <c r="NL289" s="6"/>
      <c r="NM289" s="6"/>
      <c r="NN289" s="6"/>
      <c r="NO289" s="6"/>
      <c r="NP289" s="6"/>
      <c r="NQ289" s="6"/>
      <c r="NR289" s="6"/>
      <c r="NS289" s="6"/>
      <c r="NT289" s="6"/>
      <c r="NU289" s="6"/>
      <c r="NV289" s="6"/>
    </row>
    <row r="290" spans="1:386" s="19" customFormat="1" ht="20.100000000000001" customHeight="1" x14ac:dyDescent="0.35">
      <c r="A290" s="1"/>
      <c r="B290" s="2"/>
      <c r="C290" s="3"/>
      <c r="D290" s="2"/>
      <c r="E290" s="2"/>
      <c r="F290" s="4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9"/>
      <c r="FL290" s="9"/>
      <c r="FM290" s="9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135"/>
      <c r="IK290" s="135"/>
      <c r="IL290" s="135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  <c r="JE290" s="6"/>
      <c r="JF290" s="6"/>
      <c r="JG290" s="6"/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6"/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6"/>
      <c r="KZ290" s="6"/>
      <c r="LA290" s="6"/>
      <c r="LB290" s="6"/>
      <c r="LC290" s="6"/>
      <c r="LD290" s="6"/>
      <c r="LE290" s="6"/>
      <c r="LF290" s="6"/>
      <c r="LG290" s="6"/>
      <c r="LH290" s="6"/>
      <c r="LI290" s="6"/>
      <c r="LJ290" s="6"/>
      <c r="LK290" s="6"/>
      <c r="LL290" s="6"/>
      <c r="LM290" s="6"/>
      <c r="LN290" s="6"/>
      <c r="LO290" s="6"/>
      <c r="LP290" s="6"/>
      <c r="LQ290" s="6"/>
      <c r="LR290" s="6"/>
      <c r="LS290" s="6"/>
      <c r="LT290" s="6"/>
      <c r="LU290" s="6"/>
      <c r="LV290" s="6"/>
      <c r="LW290" s="6"/>
      <c r="LX290" s="6"/>
      <c r="LY290" s="6"/>
      <c r="LZ290" s="6"/>
      <c r="MA290" s="6"/>
      <c r="MB290" s="6"/>
      <c r="MC290" s="6"/>
      <c r="MD290" s="6"/>
      <c r="ME290" s="6"/>
      <c r="MF290" s="6"/>
      <c r="MG290" s="6"/>
      <c r="MH290" s="6"/>
      <c r="MI290" s="6"/>
      <c r="MJ290" s="6"/>
      <c r="MK290" s="6"/>
      <c r="ML290" s="6"/>
      <c r="MM290" s="6"/>
      <c r="MN290" s="6"/>
      <c r="MO290" s="6"/>
      <c r="MP290" s="6"/>
      <c r="MQ290" s="6"/>
      <c r="MR290" s="6"/>
      <c r="MS290" s="6"/>
      <c r="MT290" s="6"/>
      <c r="MU290" s="6"/>
      <c r="MV290" s="6"/>
      <c r="MW290" s="6"/>
      <c r="MX290" s="6"/>
      <c r="MY290" s="6"/>
      <c r="MZ290" s="6"/>
      <c r="NA290" s="6"/>
      <c r="NB290" s="6"/>
      <c r="NC290" s="6"/>
      <c r="ND290" s="6"/>
      <c r="NE290" s="6"/>
      <c r="NF290" s="6"/>
      <c r="NG290" s="6"/>
      <c r="NH290" s="6"/>
      <c r="NI290" s="6"/>
      <c r="NJ290" s="6"/>
      <c r="NK290" s="6"/>
      <c r="NL290" s="6"/>
      <c r="NM290" s="6"/>
      <c r="NN290" s="6"/>
      <c r="NO290" s="6"/>
      <c r="NP290" s="6"/>
      <c r="NQ290" s="6"/>
      <c r="NR290" s="6"/>
      <c r="NS290" s="6"/>
      <c r="NT290" s="6"/>
      <c r="NU290" s="6"/>
      <c r="NV290" s="6"/>
    </row>
    <row r="291" spans="1:386" s="19" customFormat="1" ht="20.100000000000001" customHeight="1" x14ac:dyDescent="0.35">
      <c r="A291" s="1"/>
      <c r="B291" s="2"/>
      <c r="C291" s="3"/>
      <c r="D291" s="2"/>
      <c r="E291" s="2"/>
      <c r="F291" s="4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9"/>
      <c r="FL291" s="9"/>
      <c r="FM291" s="9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135"/>
      <c r="IK291" s="135"/>
      <c r="IL291" s="135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6"/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6"/>
      <c r="KZ291" s="6"/>
      <c r="LA291" s="6"/>
      <c r="LB291" s="6"/>
      <c r="LC291" s="6"/>
      <c r="LD291" s="6"/>
      <c r="LE291" s="6"/>
      <c r="LF291" s="6"/>
      <c r="LG291" s="6"/>
      <c r="LH291" s="6"/>
      <c r="LI291" s="6"/>
      <c r="LJ291" s="6"/>
      <c r="LK291" s="6"/>
      <c r="LL291" s="6"/>
      <c r="LM291" s="6"/>
      <c r="LN291" s="6"/>
      <c r="LO291" s="6"/>
      <c r="LP291" s="6"/>
      <c r="LQ291" s="6"/>
      <c r="LR291" s="6"/>
      <c r="LS291" s="6"/>
      <c r="LT291" s="6"/>
      <c r="LU291" s="6"/>
      <c r="LV291" s="6"/>
      <c r="LW291" s="6"/>
      <c r="LX291" s="6"/>
      <c r="LY291" s="6"/>
      <c r="LZ291" s="6"/>
      <c r="MA291" s="6"/>
      <c r="MB291" s="6"/>
      <c r="MC291" s="6"/>
      <c r="MD291" s="6"/>
      <c r="ME291" s="6"/>
      <c r="MF291" s="6"/>
      <c r="MG291" s="6"/>
      <c r="MH291" s="6"/>
      <c r="MI291" s="6"/>
      <c r="MJ291" s="6"/>
      <c r="MK291" s="6"/>
      <c r="ML291" s="6"/>
      <c r="MM291" s="6"/>
      <c r="MN291" s="6"/>
      <c r="MO291" s="6"/>
      <c r="MP291" s="6"/>
      <c r="MQ291" s="6"/>
      <c r="MR291" s="6"/>
      <c r="MS291" s="6"/>
      <c r="MT291" s="6"/>
      <c r="MU291" s="6"/>
      <c r="MV291" s="6"/>
      <c r="MW291" s="6"/>
      <c r="MX291" s="6"/>
      <c r="MY291" s="6"/>
      <c r="MZ291" s="6"/>
      <c r="NA291" s="6"/>
      <c r="NB291" s="6"/>
      <c r="NC291" s="6"/>
      <c r="ND291" s="6"/>
      <c r="NE291" s="6"/>
      <c r="NF291" s="6"/>
      <c r="NG291" s="6"/>
      <c r="NH291" s="6"/>
      <c r="NI291" s="6"/>
      <c r="NJ291" s="6"/>
      <c r="NK291" s="6"/>
      <c r="NL291" s="6"/>
      <c r="NM291" s="6"/>
      <c r="NN291" s="6"/>
      <c r="NO291" s="6"/>
      <c r="NP291" s="6"/>
      <c r="NQ291" s="6"/>
      <c r="NR291" s="6"/>
      <c r="NS291" s="6"/>
      <c r="NT291" s="6"/>
      <c r="NU291" s="6"/>
      <c r="NV291" s="6"/>
    </row>
    <row r="292" spans="1:386" s="19" customFormat="1" ht="20.100000000000001" customHeight="1" x14ac:dyDescent="0.35">
      <c r="A292" s="1"/>
      <c r="B292" s="2"/>
      <c r="C292" s="3"/>
      <c r="D292" s="2"/>
      <c r="E292" s="2"/>
      <c r="F292" s="4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9"/>
      <c r="FL292" s="9"/>
      <c r="FM292" s="9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135"/>
      <c r="IK292" s="135"/>
      <c r="IL292" s="135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  <c r="JE292" s="6"/>
      <c r="JF292" s="6"/>
      <c r="JG292" s="6"/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6"/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6"/>
      <c r="KZ292" s="6"/>
      <c r="LA292" s="6"/>
      <c r="LB292" s="6"/>
      <c r="LC292" s="6"/>
      <c r="LD292" s="6"/>
      <c r="LE292" s="6"/>
      <c r="LF292" s="6"/>
      <c r="LG292" s="6"/>
      <c r="LH292" s="6"/>
      <c r="LI292" s="6"/>
      <c r="LJ292" s="6"/>
      <c r="LK292" s="6"/>
      <c r="LL292" s="6"/>
      <c r="LM292" s="6"/>
      <c r="LN292" s="6"/>
      <c r="LO292" s="6"/>
      <c r="LP292" s="6"/>
      <c r="LQ292" s="6"/>
      <c r="LR292" s="6"/>
      <c r="LS292" s="6"/>
      <c r="LT292" s="6"/>
      <c r="LU292" s="6"/>
      <c r="LV292" s="6"/>
      <c r="LW292" s="6"/>
      <c r="LX292" s="6"/>
      <c r="LY292" s="6"/>
      <c r="LZ292" s="6"/>
      <c r="MA292" s="6"/>
      <c r="MB292" s="6"/>
      <c r="MC292" s="6"/>
      <c r="MD292" s="6"/>
      <c r="ME292" s="6"/>
      <c r="MF292" s="6"/>
      <c r="MG292" s="6"/>
      <c r="MH292" s="6"/>
      <c r="MI292" s="6"/>
      <c r="MJ292" s="6"/>
      <c r="MK292" s="6"/>
      <c r="ML292" s="6"/>
      <c r="MM292" s="6"/>
      <c r="MN292" s="6"/>
      <c r="MO292" s="6"/>
      <c r="MP292" s="6"/>
      <c r="MQ292" s="6"/>
      <c r="MR292" s="6"/>
      <c r="MS292" s="6"/>
      <c r="MT292" s="6"/>
      <c r="MU292" s="6"/>
      <c r="MV292" s="6"/>
      <c r="MW292" s="6"/>
      <c r="MX292" s="6"/>
      <c r="MY292" s="6"/>
      <c r="MZ292" s="6"/>
      <c r="NA292" s="6"/>
      <c r="NB292" s="6"/>
      <c r="NC292" s="6"/>
      <c r="ND292" s="6"/>
      <c r="NE292" s="6"/>
      <c r="NF292" s="6"/>
      <c r="NG292" s="6"/>
      <c r="NH292" s="6"/>
      <c r="NI292" s="6"/>
      <c r="NJ292" s="6"/>
      <c r="NK292" s="6"/>
      <c r="NL292" s="6"/>
      <c r="NM292" s="6"/>
      <c r="NN292" s="6"/>
      <c r="NO292" s="6"/>
      <c r="NP292" s="6"/>
      <c r="NQ292" s="6"/>
      <c r="NR292" s="6"/>
      <c r="NS292" s="6"/>
      <c r="NT292" s="6"/>
      <c r="NU292" s="6"/>
      <c r="NV292" s="6"/>
    </row>
    <row r="293" spans="1:386" s="19" customFormat="1" ht="20.100000000000001" customHeight="1" x14ac:dyDescent="0.35">
      <c r="A293" s="1"/>
      <c r="B293" s="2"/>
      <c r="C293" s="3"/>
      <c r="D293" s="2"/>
      <c r="E293" s="2"/>
      <c r="F293" s="4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9"/>
      <c r="FL293" s="9"/>
      <c r="FM293" s="9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135"/>
      <c r="IK293" s="135"/>
      <c r="IL293" s="135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  <c r="JE293" s="6"/>
      <c r="JF293" s="6"/>
      <c r="JG293" s="6"/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6"/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6"/>
      <c r="KZ293" s="6"/>
      <c r="LA293" s="6"/>
      <c r="LB293" s="6"/>
      <c r="LC293" s="6"/>
      <c r="LD293" s="6"/>
      <c r="LE293" s="6"/>
      <c r="LF293" s="6"/>
      <c r="LG293" s="6"/>
      <c r="LH293" s="6"/>
      <c r="LI293" s="6"/>
      <c r="LJ293" s="6"/>
      <c r="LK293" s="6"/>
      <c r="LL293" s="6"/>
      <c r="LM293" s="6"/>
      <c r="LN293" s="6"/>
      <c r="LO293" s="6"/>
      <c r="LP293" s="6"/>
      <c r="LQ293" s="6"/>
      <c r="LR293" s="6"/>
      <c r="LS293" s="6"/>
      <c r="LT293" s="6"/>
      <c r="LU293" s="6"/>
      <c r="LV293" s="6"/>
      <c r="LW293" s="6"/>
      <c r="LX293" s="6"/>
      <c r="LY293" s="6"/>
      <c r="LZ293" s="6"/>
      <c r="MA293" s="6"/>
      <c r="MB293" s="6"/>
      <c r="MC293" s="6"/>
      <c r="MD293" s="6"/>
      <c r="ME293" s="6"/>
      <c r="MF293" s="6"/>
      <c r="MG293" s="6"/>
      <c r="MH293" s="6"/>
      <c r="MI293" s="6"/>
      <c r="MJ293" s="6"/>
      <c r="MK293" s="6"/>
      <c r="ML293" s="6"/>
      <c r="MM293" s="6"/>
      <c r="MN293" s="6"/>
      <c r="MO293" s="6"/>
      <c r="MP293" s="6"/>
      <c r="MQ293" s="6"/>
      <c r="MR293" s="6"/>
      <c r="MS293" s="6"/>
      <c r="MT293" s="6"/>
      <c r="MU293" s="6"/>
      <c r="MV293" s="6"/>
      <c r="MW293" s="6"/>
      <c r="MX293" s="6"/>
      <c r="MY293" s="6"/>
      <c r="MZ293" s="6"/>
      <c r="NA293" s="6"/>
      <c r="NB293" s="6"/>
      <c r="NC293" s="6"/>
      <c r="ND293" s="6"/>
      <c r="NE293" s="6"/>
      <c r="NF293" s="6"/>
      <c r="NG293" s="6"/>
      <c r="NH293" s="6"/>
      <c r="NI293" s="6"/>
      <c r="NJ293" s="6"/>
      <c r="NK293" s="6"/>
      <c r="NL293" s="6"/>
      <c r="NM293" s="6"/>
      <c r="NN293" s="6"/>
      <c r="NO293" s="6"/>
      <c r="NP293" s="6"/>
      <c r="NQ293" s="6"/>
      <c r="NR293" s="6"/>
      <c r="NS293" s="6"/>
      <c r="NT293" s="6"/>
      <c r="NU293" s="6"/>
      <c r="NV293" s="6"/>
    </row>
    <row r="294" spans="1:386" s="19" customFormat="1" ht="20.100000000000001" customHeight="1" x14ac:dyDescent="0.35">
      <c r="A294" s="1"/>
      <c r="B294" s="2"/>
      <c r="C294" s="3"/>
      <c r="D294" s="2"/>
      <c r="E294" s="2"/>
      <c r="F294" s="4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9"/>
      <c r="FL294" s="9"/>
      <c r="FM294" s="9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135"/>
      <c r="IK294" s="135"/>
      <c r="IL294" s="135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6"/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6"/>
      <c r="KZ294" s="6"/>
      <c r="LA294" s="6"/>
      <c r="LB294" s="6"/>
      <c r="LC294" s="6"/>
      <c r="LD294" s="6"/>
      <c r="LE294" s="6"/>
      <c r="LF294" s="6"/>
      <c r="LG294" s="6"/>
      <c r="LH294" s="6"/>
      <c r="LI294" s="6"/>
      <c r="LJ294" s="6"/>
      <c r="LK294" s="6"/>
      <c r="LL294" s="6"/>
      <c r="LM294" s="6"/>
      <c r="LN294" s="6"/>
      <c r="LO294" s="6"/>
      <c r="LP294" s="6"/>
      <c r="LQ294" s="6"/>
      <c r="LR294" s="6"/>
      <c r="LS294" s="6"/>
      <c r="LT294" s="6"/>
      <c r="LU294" s="6"/>
      <c r="LV294" s="6"/>
      <c r="LW294" s="6"/>
      <c r="LX294" s="6"/>
      <c r="LY294" s="6"/>
      <c r="LZ294" s="6"/>
      <c r="MA294" s="6"/>
      <c r="MB294" s="6"/>
      <c r="MC294" s="6"/>
      <c r="MD294" s="6"/>
      <c r="ME294" s="6"/>
      <c r="MF294" s="6"/>
      <c r="MG294" s="6"/>
      <c r="MH294" s="6"/>
      <c r="MI294" s="6"/>
      <c r="MJ294" s="6"/>
      <c r="MK294" s="6"/>
      <c r="ML294" s="6"/>
      <c r="MM294" s="6"/>
      <c r="MN294" s="6"/>
      <c r="MO294" s="6"/>
      <c r="MP294" s="6"/>
      <c r="MQ294" s="6"/>
      <c r="MR294" s="6"/>
      <c r="MS294" s="6"/>
      <c r="MT294" s="6"/>
      <c r="MU294" s="6"/>
      <c r="MV294" s="6"/>
      <c r="MW294" s="6"/>
      <c r="MX294" s="6"/>
      <c r="MY294" s="6"/>
      <c r="MZ294" s="6"/>
      <c r="NA294" s="6"/>
      <c r="NB294" s="6"/>
      <c r="NC294" s="6"/>
      <c r="ND294" s="6"/>
      <c r="NE294" s="6"/>
      <c r="NF294" s="6"/>
      <c r="NG294" s="6"/>
      <c r="NH294" s="6"/>
      <c r="NI294" s="6"/>
      <c r="NJ294" s="6"/>
      <c r="NK294" s="6"/>
      <c r="NL294" s="6"/>
      <c r="NM294" s="6"/>
      <c r="NN294" s="6"/>
      <c r="NO294" s="6"/>
      <c r="NP294" s="6"/>
      <c r="NQ294" s="6"/>
      <c r="NR294" s="6"/>
      <c r="NS294" s="6"/>
      <c r="NT294" s="6"/>
      <c r="NU294" s="6"/>
      <c r="NV294" s="6"/>
    </row>
    <row r="295" spans="1:386" s="19" customFormat="1" ht="20.100000000000001" customHeight="1" x14ac:dyDescent="0.35">
      <c r="A295" s="1"/>
      <c r="B295" s="2"/>
      <c r="C295" s="3"/>
      <c r="D295" s="2"/>
      <c r="E295" s="2"/>
      <c r="F295" s="4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9"/>
      <c r="FL295" s="9"/>
      <c r="FM295" s="9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135"/>
      <c r="IK295" s="135"/>
      <c r="IL295" s="135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6"/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6"/>
      <c r="KZ295" s="6"/>
      <c r="LA295" s="6"/>
      <c r="LB295" s="6"/>
      <c r="LC295" s="6"/>
      <c r="LD295" s="6"/>
      <c r="LE295" s="6"/>
      <c r="LF295" s="6"/>
      <c r="LG295" s="6"/>
      <c r="LH295" s="6"/>
      <c r="LI295" s="6"/>
      <c r="LJ295" s="6"/>
      <c r="LK295" s="6"/>
      <c r="LL295" s="6"/>
      <c r="LM295" s="6"/>
      <c r="LN295" s="6"/>
      <c r="LO295" s="6"/>
      <c r="LP295" s="6"/>
      <c r="LQ295" s="6"/>
      <c r="LR295" s="6"/>
      <c r="LS295" s="6"/>
      <c r="LT295" s="6"/>
      <c r="LU295" s="6"/>
      <c r="LV295" s="6"/>
      <c r="LW295" s="6"/>
      <c r="LX295" s="6"/>
      <c r="LY295" s="6"/>
      <c r="LZ295" s="6"/>
      <c r="MA295" s="6"/>
      <c r="MB295" s="6"/>
      <c r="MC295" s="6"/>
      <c r="MD295" s="6"/>
      <c r="ME295" s="6"/>
      <c r="MF295" s="6"/>
      <c r="MG295" s="6"/>
      <c r="MH295" s="6"/>
      <c r="MI295" s="6"/>
      <c r="MJ295" s="6"/>
      <c r="MK295" s="6"/>
      <c r="ML295" s="6"/>
      <c r="MM295" s="6"/>
      <c r="MN295" s="6"/>
      <c r="MO295" s="6"/>
      <c r="MP295" s="6"/>
      <c r="MQ295" s="6"/>
      <c r="MR295" s="6"/>
      <c r="MS295" s="6"/>
      <c r="MT295" s="6"/>
      <c r="MU295" s="6"/>
      <c r="MV295" s="6"/>
      <c r="MW295" s="6"/>
      <c r="MX295" s="6"/>
      <c r="MY295" s="6"/>
      <c r="MZ295" s="6"/>
      <c r="NA295" s="6"/>
      <c r="NB295" s="6"/>
      <c r="NC295" s="6"/>
      <c r="ND295" s="6"/>
      <c r="NE295" s="6"/>
      <c r="NF295" s="6"/>
      <c r="NG295" s="6"/>
      <c r="NH295" s="6"/>
      <c r="NI295" s="6"/>
      <c r="NJ295" s="6"/>
      <c r="NK295" s="6"/>
      <c r="NL295" s="6"/>
      <c r="NM295" s="6"/>
      <c r="NN295" s="6"/>
      <c r="NO295" s="6"/>
      <c r="NP295" s="6"/>
      <c r="NQ295" s="6"/>
      <c r="NR295" s="6"/>
      <c r="NS295" s="6"/>
      <c r="NT295" s="6"/>
      <c r="NU295" s="6"/>
      <c r="NV295" s="6"/>
    </row>
    <row r="296" spans="1:386" s="19" customFormat="1" ht="20.100000000000001" customHeight="1" x14ac:dyDescent="0.35">
      <c r="A296" s="1"/>
      <c r="B296" s="2"/>
      <c r="C296" s="3"/>
      <c r="D296" s="2"/>
      <c r="E296" s="2"/>
      <c r="F296" s="4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9"/>
      <c r="FL296" s="9"/>
      <c r="FM296" s="9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135"/>
      <c r="IK296" s="135"/>
      <c r="IL296" s="135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  <c r="JE296" s="6"/>
      <c r="JF296" s="6"/>
      <c r="JG296" s="6"/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6"/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6"/>
      <c r="KZ296" s="6"/>
      <c r="LA296" s="6"/>
      <c r="LB296" s="6"/>
      <c r="LC296" s="6"/>
      <c r="LD296" s="6"/>
      <c r="LE296" s="6"/>
      <c r="LF296" s="6"/>
      <c r="LG296" s="6"/>
      <c r="LH296" s="6"/>
      <c r="LI296" s="6"/>
      <c r="LJ296" s="6"/>
      <c r="LK296" s="6"/>
      <c r="LL296" s="6"/>
      <c r="LM296" s="6"/>
      <c r="LN296" s="6"/>
      <c r="LO296" s="6"/>
      <c r="LP296" s="6"/>
      <c r="LQ296" s="6"/>
      <c r="LR296" s="6"/>
      <c r="LS296" s="6"/>
      <c r="LT296" s="6"/>
      <c r="LU296" s="6"/>
      <c r="LV296" s="6"/>
      <c r="LW296" s="6"/>
      <c r="LX296" s="6"/>
      <c r="LY296" s="6"/>
      <c r="LZ296" s="6"/>
      <c r="MA296" s="6"/>
      <c r="MB296" s="6"/>
      <c r="MC296" s="6"/>
      <c r="MD296" s="6"/>
      <c r="ME296" s="6"/>
      <c r="MF296" s="6"/>
      <c r="MG296" s="6"/>
      <c r="MH296" s="6"/>
      <c r="MI296" s="6"/>
      <c r="MJ296" s="6"/>
      <c r="MK296" s="6"/>
      <c r="ML296" s="6"/>
      <c r="MM296" s="6"/>
      <c r="MN296" s="6"/>
      <c r="MO296" s="6"/>
      <c r="MP296" s="6"/>
      <c r="MQ296" s="6"/>
      <c r="MR296" s="6"/>
      <c r="MS296" s="6"/>
      <c r="MT296" s="6"/>
      <c r="MU296" s="6"/>
      <c r="MV296" s="6"/>
      <c r="MW296" s="6"/>
      <c r="MX296" s="6"/>
      <c r="MY296" s="6"/>
      <c r="MZ296" s="6"/>
      <c r="NA296" s="6"/>
      <c r="NB296" s="6"/>
      <c r="NC296" s="6"/>
      <c r="ND296" s="6"/>
      <c r="NE296" s="6"/>
      <c r="NF296" s="6"/>
      <c r="NG296" s="6"/>
      <c r="NH296" s="6"/>
      <c r="NI296" s="6"/>
      <c r="NJ296" s="6"/>
      <c r="NK296" s="6"/>
      <c r="NL296" s="6"/>
      <c r="NM296" s="6"/>
      <c r="NN296" s="6"/>
      <c r="NO296" s="6"/>
      <c r="NP296" s="6"/>
      <c r="NQ296" s="6"/>
      <c r="NR296" s="6"/>
      <c r="NS296" s="6"/>
      <c r="NT296" s="6"/>
      <c r="NU296" s="6"/>
      <c r="NV296" s="6"/>
    </row>
    <row r="297" spans="1:386" s="19" customFormat="1" ht="20.100000000000001" customHeight="1" x14ac:dyDescent="0.35">
      <c r="A297" s="1"/>
      <c r="B297" s="2"/>
      <c r="C297" s="3"/>
      <c r="D297" s="2"/>
      <c r="E297" s="2"/>
      <c r="F297" s="4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9"/>
      <c r="FL297" s="9"/>
      <c r="FM297" s="9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135"/>
      <c r="IK297" s="135"/>
      <c r="IL297" s="135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6"/>
      <c r="KZ297" s="6"/>
      <c r="LA297" s="6"/>
      <c r="LB297" s="6"/>
      <c r="LC297" s="6"/>
      <c r="LD297" s="6"/>
      <c r="LE297" s="6"/>
      <c r="LF297" s="6"/>
      <c r="LG297" s="6"/>
      <c r="LH297" s="6"/>
      <c r="LI297" s="6"/>
      <c r="LJ297" s="6"/>
      <c r="LK297" s="6"/>
      <c r="LL297" s="6"/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6"/>
      <c r="LY297" s="6"/>
      <c r="LZ297" s="6"/>
      <c r="MA297" s="6"/>
      <c r="MB297" s="6"/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6"/>
      <c r="MN297" s="6"/>
      <c r="MO297" s="6"/>
      <c r="MP297" s="6"/>
      <c r="MQ297" s="6"/>
      <c r="MR297" s="6"/>
      <c r="MS297" s="6"/>
      <c r="MT297" s="6"/>
      <c r="MU297" s="6"/>
      <c r="MV297" s="6"/>
      <c r="MW297" s="6"/>
      <c r="MX297" s="6"/>
      <c r="MY297" s="6"/>
      <c r="MZ297" s="6"/>
      <c r="NA297" s="6"/>
      <c r="NB297" s="6"/>
      <c r="NC297" s="6"/>
      <c r="ND297" s="6"/>
      <c r="NE297" s="6"/>
      <c r="NF297" s="6"/>
      <c r="NG297" s="6"/>
      <c r="NH297" s="6"/>
      <c r="NI297" s="6"/>
      <c r="NJ297" s="6"/>
      <c r="NK297" s="6"/>
      <c r="NL297" s="6"/>
      <c r="NM297" s="6"/>
      <c r="NN297" s="6"/>
      <c r="NO297" s="6"/>
      <c r="NP297" s="6"/>
      <c r="NQ297" s="6"/>
      <c r="NR297" s="6"/>
      <c r="NS297" s="6"/>
      <c r="NT297" s="6"/>
      <c r="NU297" s="6"/>
      <c r="NV297" s="6"/>
    </row>
    <row r="298" spans="1:386" s="19" customFormat="1" ht="20.100000000000001" customHeight="1" x14ac:dyDescent="0.35">
      <c r="A298" s="1"/>
      <c r="B298" s="2"/>
      <c r="C298" s="3"/>
      <c r="D298" s="2"/>
      <c r="E298" s="2"/>
      <c r="F298" s="4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9"/>
      <c r="FL298" s="9"/>
      <c r="FM298" s="9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135"/>
      <c r="IK298" s="135"/>
      <c r="IL298" s="135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  <c r="JE298" s="6"/>
      <c r="JF298" s="6"/>
      <c r="JG298" s="6"/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6"/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6"/>
      <c r="KZ298" s="6"/>
      <c r="LA298" s="6"/>
      <c r="LB298" s="6"/>
      <c r="LC298" s="6"/>
      <c r="LD298" s="6"/>
      <c r="LE298" s="6"/>
      <c r="LF298" s="6"/>
      <c r="LG298" s="6"/>
      <c r="LH298" s="6"/>
      <c r="LI298" s="6"/>
      <c r="LJ298" s="6"/>
      <c r="LK298" s="6"/>
      <c r="LL298" s="6"/>
      <c r="LM298" s="6"/>
      <c r="LN298" s="6"/>
      <c r="LO298" s="6"/>
      <c r="LP298" s="6"/>
      <c r="LQ298" s="6"/>
      <c r="LR298" s="6"/>
      <c r="LS298" s="6"/>
      <c r="LT298" s="6"/>
      <c r="LU298" s="6"/>
      <c r="LV298" s="6"/>
      <c r="LW298" s="6"/>
      <c r="LX298" s="6"/>
      <c r="LY298" s="6"/>
      <c r="LZ298" s="6"/>
      <c r="MA298" s="6"/>
      <c r="MB298" s="6"/>
      <c r="MC298" s="6"/>
      <c r="MD298" s="6"/>
      <c r="ME298" s="6"/>
      <c r="MF298" s="6"/>
      <c r="MG298" s="6"/>
      <c r="MH298" s="6"/>
      <c r="MI298" s="6"/>
      <c r="MJ298" s="6"/>
      <c r="MK298" s="6"/>
      <c r="ML298" s="6"/>
      <c r="MM298" s="6"/>
      <c r="MN298" s="6"/>
      <c r="MO298" s="6"/>
      <c r="MP298" s="6"/>
      <c r="MQ298" s="6"/>
      <c r="MR298" s="6"/>
      <c r="MS298" s="6"/>
      <c r="MT298" s="6"/>
      <c r="MU298" s="6"/>
      <c r="MV298" s="6"/>
      <c r="MW298" s="6"/>
      <c r="MX298" s="6"/>
      <c r="MY298" s="6"/>
      <c r="MZ298" s="6"/>
      <c r="NA298" s="6"/>
      <c r="NB298" s="6"/>
      <c r="NC298" s="6"/>
      <c r="ND298" s="6"/>
      <c r="NE298" s="6"/>
      <c r="NF298" s="6"/>
      <c r="NG298" s="6"/>
      <c r="NH298" s="6"/>
      <c r="NI298" s="6"/>
      <c r="NJ298" s="6"/>
      <c r="NK298" s="6"/>
      <c r="NL298" s="6"/>
      <c r="NM298" s="6"/>
      <c r="NN298" s="6"/>
      <c r="NO298" s="6"/>
      <c r="NP298" s="6"/>
      <c r="NQ298" s="6"/>
      <c r="NR298" s="6"/>
      <c r="NS298" s="6"/>
      <c r="NT298" s="6"/>
      <c r="NU298" s="6"/>
      <c r="NV298" s="6"/>
    </row>
    <row r="299" spans="1:386" s="19" customFormat="1" ht="20.100000000000001" customHeight="1" x14ac:dyDescent="0.35">
      <c r="A299" s="1"/>
      <c r="B299" s="2"/>
      <c r="C299" s="3"/>
      <c r="D299" s="2"/>
      <c r="E299" s="2"/>
      <c r="F299" s="4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9"/>
      <c r="FL299" s="9"/>
      <c r="FM299" s="9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135"/>
      <c r="IK299" s="135"/>
      <c r="IL299" s="135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6"/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6"/>
      <c r="KZ299" s="6"/>
      <c r="LA299" s="6"/>
      <c r="LB299" s="6"/>
      <c r="LC299" s="6"/>
      <c r="LD299" s="6"/>
      <c r="LE299" s="6"/>
      <c r="LF299" s="6"/>
      <c r="LG299" s="6"/>
      <c r="LH299" s="6"/>
      <c r="LI299" s="6"/>
      <c r="LJ299" s="6"/>
      <c r="LK299" s="6"/>
      <c r="LL299" s="6"/>
      <c r="LM299" s="6"/>
      <c r="LN299" s="6"/>
      <c r="LO299" s="6"/>
      <c r="LP299" s="6"/>
      <c r="LQ299" s="6"/>
      <c r="LR299" s="6"/>
      <c r="LS299" s="6"/>
      <c r="LT299" s="6"/>
      <c r="LU299" s="6"/>
      <c r="LV299" s="6"/>
      <c r="LW299" s="6"/>
      <c r="LX299" s="6"/>
      <c r="LY299" s="6"/>
      <c r="LZ299" s="6"/>
      <c r="MA299" s="6"/>
      <c r="MB299" s="6"/>
      <c r="MC299" s="6"/>
      <c r="MD299" s="6"/>
      <c r="ME299" s="6"/>
      <c r="MF299" s="6"/>
      <c r="MG299" s="6"/>
      <c r="MH299" s="6"/>
      <c r="MI299" s="6"/>
      <c r="MJ299" s="6"/>
      <c r="MK299" s="6"/>
      <c r="ML299" s="6"/>
      <c r="MM299" s="6"/>
      <c r="MN299" s="6"/>
      <c r="MO299" s="6"/>
      <c r="MP299" s="6"/>
      <c r="MQ299" s="6"/>
      <c r="MR299" s="6"/>
      <c r="MS299" s="6"/>
      <c r="MT299" s="6"/>
      <c r="MU299" s="6"/>
      <c r="MV299" s="6"/>
      <c r="MW299" s="6"/>
      <c r="MX299" s="6"/>
      <c r="MY299" s="6"/>
      <c r="MZ299" s="6"/>
      <c r="NA299" s="6"/>
      <c r="NB299" s="6"/>
      <c r="NC299" s="6"/>
      <c r="ND299" s="6"/>
      <c r="NE299" s="6"/>
      <c r="NF299" s="6"/>
      <c r="NG299" s="6"/>
      <c r="NH299" s="6"/>
      <c r="NI299" s="6"/>
      <c r="NJ299" s="6"/>
      <c r="NK299" s="6"/>
      <c r="NL299" s="6"/>
      <c r="NM299" s="6"/>
      <c r="NN299" s="6"/>
      <c r="NO299" s="6"/>
      <c r="NP299" s="6"/>
      <c r="NQ299" s="6"/>
      <c r="NR299" s="6"/>
      <c r="NS299" s="6"/>
      <c r="NT299" s="6"/>
      <c r="NU299" s="6"/>
      <c r="NV299" s="6"/>
    </row>
    <row r="300" spans="1:386" s="19" customFormat="1" ht="20.100000000000001" customHeight="1" x14ac:dyDescent="0.35">
      <c r="A300" s="1"/>
      <c r="B300" s="2"/>
      <c r="C300" s="3"/>
      <c r="D300" s="2"/>
      <c r="E300" s="2"/>
      <c r="F300" s="4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9"/>
      <c r="FL300" s="9"/>
      <c r="FM300" s="9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135"/>
      <c r="IK300" s="135"/>
      <c r="IL300" s="135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  <c r="JE300" s="6"/>
      <c r="JF300" s="6"/>
      <c r="JG300" s="6"/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6"/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6"/>
      <c r="KZ300" s="6"/>
      <c r="LA300" s="6"/>
      <c r="LB300" s="6"/>
      <c r="LC300" s="6"/>
      <c r="LD300" s="6"/>
      <c r="LE300" s="6"/>
      <c r="LF300" s="6"/>
      <c r="LG300" s="6"/>
      <c r="LH300" s="6"/>
      <c r="LI300" s="6"/>
      <c r="LJ300" s="6"/>
      <c r="LK300" s="6"/>
      <c r="LL300" s="6"/>
      <c r="LM300" s="6"/>
      <c r="LN300" s="6"/>
      <c r="LO300" s="6"/>
      <c r="LP300" s="6"/>
      <c r="LQ300" s="6"/>
      <c r="LR300" s="6"/>
      <c r="LS300" s="6"/>
      <c r="LT300" s="6"/>
      <c r="LU300" s="6"/>
      <c r="LV300" s="6"/>
      <c r="LW300" s="6"/>
      <c r="LX300" s="6"/>
      <c r="LY300" s="6"/>
      <c r="LZ300" s="6"/>
      <c r="MA300" s="6"/>
      <c r="MB300" s="6"/>
      <c r="MC300" s="6"/>
      <c r="MD300" s="6"/>
      <c r="ME300" s="6"/>
      <c r="MF300" s="6"/>
      <c r="MG300" s="6"/>
      <c r="MH300" s="6"/>
      <c r="MI300" s="6"/>
      <c r="MJ300" s="6"/>
      <c r="MK300" s="6"/>
      <c r="ML300" s="6"/>
      <c r="MM300" s="6"/>
      <c r="MN300" s="6"/>
      <c r="MO300" s="6"/>
      <c r="MP300" s="6"/>
      <c r="MQ300" s="6"/>
      <c r="MR300" s="6"/>
      <c r="MS300" s="6"/>
      <c r="MT300" s="6"/>
      <c r="MU300" s="6"/>
      <c r="MV300" s="6"/>
      <c r="MW300" s="6"/>
      <c r="MX300" s="6"/>
      <c r="MY300" s="6"/>
      <c r="MZ300" s="6"/>
      <c r="NA300" s="6"/>
      <c r="NB300" s="6"/>
      <c r="NC300" s="6"/>
      <c r="ND300" s="6"/>
      <c r="NE300" s="6"/>
      <c r="NF300" s="6"/>
      <c r="NG300" s="6"/>
      <c r="NH300" s="6"/>
      <c r="NI300" s="6"/>
      <c r="NJ300" s="6"/>
      <c r="NK300" s="6"/>
      <c r="NL300" s="6"/>
      <c r="NM300" s="6"/>
      <c r="NN300" s="6"/>
      <c r="NO300" s="6"/>
      <c r="NP300" s="6"/>
      <c r="NQ300" s="6"/>
      <c r="NR300" s="6"/>
      <c r="NS300" s="6"/>
      <c r="NT300" s="6"/>
      <c r="NU300" s="6"/>
      <c r="NV300" s="6"/>
    </row>
    <row r="301" spans="1:386" s="19" customFormat="1" ht="20.100000000000001" customHeight="1" x14ac:dyDescent="0.35">
      <c r="A301" s="1"/>
      <c r="B301" s="2"/>
      <c r="C301" s="3"/>
      <c r="D301" s="2"/>
      <c r="E301" s="2"/>
      <c r="F301" s="4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9"/>
      <c r="FL301" s="9"/>
      <c r="FM301" s="9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135"/>
      <c r="IK301" s="135"/>
      <c r="IL301" s="135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  <c r="JE301" s="6"/>
      <c r="JF301" s="6"/>
      <c r="JG301" s="6"/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6"/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6"/>
      <c r="KZ301" s="6"/>
      <c r="LA301" s="6"/>
      <c r="LB301" s="6"/>
      <c r="LC301" s="6"/>
      <c r="LD301" s="6"/>
      <c r="LE301" s="6"/>
      <c r="LF301" s="6"/>
      <c r="LG301" s="6"/>
      <c r="LH301" s="6"/>
      <c r="LI301" s="6"/>
      <c r="LJ301" s="6"/>
      <c r="LK301" s="6"/>
      <c r="LL301" s="6"/>
      <c r="LM301" s="6"/>
      <c r="LN301" s="6"/>
      <c r="LO301" s="6"/>
      <c r="LP301" s="6"/>
      <c r="LQ301" s="6"/>
      <c r="LR301" s="6"/>
      <c r="LS301" s="6"/>
      <c r="LT301" s="6"/>
      <c r="LU301" s="6"/>
      <c r="LV301" s="6"/>
      <c r="LW301" s="6"/>
      <c r="LX301" s="6"/>
      <c r="LY301" s="6"/>
      <c r="LZ301" s="6"/>
      <c r="MA301" s="6"/>
      <c r="MB301" s="6"/>
      <c r="MC301" s="6"/>
      <c r="MD301" s="6"/>
      <c r="ME301" s="6"/>
      <c r="MF301" s="6"/>
      <c r="MG301" s="6"/>
      <c r="MH301" s="6"/>
      <c r="MI301" s="6"/>
      <c r="MJ301" s="6"/>
      <c r="MK301" s="6"/>
      <c r="ML301" s="6"/>
      <c r="MM301" s="6"/>
      <c r="MN301" s="6"/>
      <c r="MO301" s="6"/>
      <c r="MP301" s="6"/>
      <c r="MQ301" s="6"/>
      <c r="MR301" s="6"/>
      <c r="MS301" s="6"/>
      <c r="MT301" s="6"/>
      <c r="MU301" s="6"/>
      <c r="MV301" s="6"/>
      <c r="MW301" s="6"/>
      <c r="MX301" s="6"/>
      <c r="MY301" s="6"/>
      <c r="MZ301" s="6"/>
      <c r="NA301" s="6"/>
      <c r="NB301" s="6"/>
      <c r="NC301" s="6"/>
      <c r="ND301" s="6"/>
      <c r="NE301" s="6"/>
      <c r="NF301" s="6"/>
      <c r="NG301" s="6"/>
      <c r="NH301" s="6"/>
      <c r="NI301" s="6"/>
      <c r="NJ301" s="6"/>
      <c r="NK301" s="6"/>
      <c r="NL301" s="6"/>
      <c r="NM301" s="6"/>
      <c r="NN301" s="6"/>
      <c r="NO301" s="6"/>
      <c r="NP301" s="6"/>
      <c r="NQ301" s="6"/>
      <c r="NR301" s="6"/>
      <c r="NS301" s="6"/>
      <c r="NT301" s="6"/>
      <c r="NU301" s="6"/>
      <c r="NV301" s="6"/>
    </row>
    <row r="302" spans="1:386" s="19" customFormat="1" ht="20.100000000000001" customHeight="1" x14ac:dyDescent="0.35">
      <c r="A302" s="1"/>
      <c r="B302" s="2"/>
      <c r="C302" s="3"/>
      <c r="D302" s="2"/>
      <c r="E302" s="2"/>
      <c r="F302" s="4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9"/>
      <c r="FL302" s="9"/>
      <c r="FM302" s="9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135"/>
      <c r="IK302" s="135"/>
      <c r="IL302" s="135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  <c r="JE302" s="6"/>
      <c r="JF302" s="6"/>
      <c r="JG302" s="6"/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6"/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6"/>
      <c r="KZ302" s="6"/>
      <c r="LA302" s="6"/>
      <c r="LB302" s="6"/>
      <c r="LC302" s="6"/>
      <c r="LD302" s="6"/>
      <c r="LE302" s="6"/>
      <c r="LF302" s="6"/>
      <c r="LG302" s="6"/>
      <c r="LH302" s="6"/>
      <c r="LI302" s="6"/>
      <c r="LJ302" s="6"/>
      <c r="LK302" s="6"/>
      <c r="LL302" s="6"/>
      <c r="LM302" s="6"/>
      <c r="LN302" s="6"/>
      <c r="LO302" s="6"/>
      <c r="LP302" s="6"/>
      <c r="LQ302" s="6"/>
      <c r="LR302" s="6"/>
      <c r="LS302" s="6"/>
      <c r="LT302" s="6"/>
      <c r="LU302" s="6"/>
      <c r="LV302" s="6"/>
      <c r="LW302" s="6"/>
      <c r="LX302" s="6"/>
      <c r="LY302" s="6"/>
      <c r="LZ302" s="6"/>
      <c r="MA302" s="6"/>
      <c r="MB302" s="6"/>
      <c r="MC302" s="6"/>
      <c r="MD302" s="6"/>
      <c r="ME302" s="6"/>
      <c r="MF302" s="6"/>
      <c r="MG302" s="6"/>
      <c r="MH302" s="6"/>
      <c r="MI302" s="6"/>
      <c r="MJ302" s="6"/>
      <c r="MK302" s="6"/>
      <c r="ML302" s="6"/>
      <c r="MM302" s="6"/>
      <c r="MN302" s="6"/>
      <c r="MO302" s="6"/>
      <c r="MP302" s="6"/>
      <c r="MQ302" s="6"/>
      <c r="MR302" s="6"/>
      <c r="MS302" s="6"/>
      <c r="MT302" s="6"/>
      <c r="MU302" s="6"/>
      <c r="MV302" s="6"/>
      <c r="MW302" s="6"/>
      <c r="MX302" s="6"/>
      <c r="MY302" s="6"/>
      <c r="MZ302" s="6"/>
      <c r="NA302" s="6"/>
      <c r="NB302" s="6"/>
      <c r="NC302" s="6"/>
      <c r="ND302" s="6"/>
      <c r="NE302" s="6"/>
      <c r="NF302" s="6"/>
      <c r="NG302" s="6"/>
      <c r="NH302" s="6"/>
      <c r="NI302" s="6"/>
      <c r="NJ302" s="6"/>
      <c r="NK302" s="6"/>
      <c r="NL302" s="6"/>
      <c r="NM302" s="6"/>
      <c r="NN302" s="6"/>
      <c r="NO302" s="6"/>
      <c r="NP302" s="6"/>
      <c r="NQ302" s="6"/>
      <c r="NR302" s="6"/>
      <c r="NS302" s="6"/>
      <c r="NT302" s="6"/>
      <c r="NU302" s="6"/>
      <c r="NV302" s="6"/>
    </row>
    <row r="303" spans="1:386" s="19" customFormat="1" ht="20.100000000000001" customHeight="1" x14ac:dyDescent="0.35">
      <c r="A303" s="1"/>
      <c r="B303" s="2"/>
      <c r="C303" s="3"/>
      <c r="D303" s="2"/>
      <c r="E303" s="2"/>
      <c r="F303" s="4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9"/>
      <c r="FL303" s="9"/>
      <c r="FM303" s="9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135"/>
      <c r="IK303" s="135"/>
      <c r="IL303" s="135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6"/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6"/>
      <c r="KZ303" s="6"/>
      <c r="LA303" s="6"/>
      <c r="LB303" s="6"/>
      <c r="LC303" s="6"/>
      <c r="LD303" s="6"/>
      <c r="LE303" s="6"/>
      <c r="LF303" s="6"/>
      <c r="LG303" s="6"/>
      <c r="LH303" s="6"/>
      <c r="LI303" s="6"/>
      <c r="LJ303" s="6"/>
      <c r="LK303" s="6"/>
      <c r="LL303" s="6"/>
      <c r="LM303" s="6"/>
      <c r="LN303" s="6"/>
      <c r="LO303" s="6"/>
      <c r="LP303" s="6"/>
      <c r="LQ303" s="6"/>
      <c r="LR303" s="6"/>
      <c r="LS303" s="6"/>
      <c r="LT303" s="6"/>
      <c r="LU303" s="6"/>
      <c r="LV303" s="6"/>
      <c r="LW303" s="6"/>
      <c r="LX303" s="6"/>
      <c r="LY303" s="6"/>
      <c r="LZ303" s="6"/>
      <c r="MA303" s="6"/>
      <c r="MB303" s="6"/>
      <c r="MC303" s="6"/>
      <c r="MD303" s="6"/>
      <c r="ME303" s="6"/>
      <c r="MF303" s="6"/>
      <c r="MG303" s="6"/>
      <c r="MH303" s="6"/>
      <c r="MI303" s="6"/>
      <c r="MJ303" s="6"/>
      <c r="MK303" s="6"/>
      <c r="ML303" s="6"/>
      <c r="MM303" s="6"/>
      <c r="MN303" s="6"/>
      <c r="MO303" s="6"/>
      <c r="MP303" s="6"/>
      <c r="MQ303" s="6"/>
      <c r="MR303" s="6"/>
      <c r="MS303" s="6"/>
      <c r="MT303" s="6"/>
      <c r="MU303" s="6"/>
      <c r="MV303" s="6"/>
      <c r="MW303" s="6"/>
      <c r="MX303" s="6"/>
      <c r="MY303" s="6"/>
      <c r="MZ303" s="6"/>
      <c r="NA303" s="6"/>
      <c r="NB303" s="6"/>
      <c r="NC303" s="6"/>
      <c r="ND303" s="6"/>
      <c r="NE303" s="6"/>
      <c r="NF303" s="6"/>
      <c r="NG303" s="6"/>
      <c r="NH303" s="6"/>
      <c r="NI303" s="6"/>
      <c r="NJ303" s="6"/>
      <c r="NK303" s="6"/>
      <c r="NL303" s="6"/>
      <c r="NM303" s="6"/>
      <c r="NN303" s="6"/>
      <c r="NO303" s="6"/>
      <c r="NP303" s="6"/>
      <c r="NQ303" s="6"/>
      <c r="NR303" s="6"/>
      <c r="NS303" s="6"/>
      <c r="NT303" s="6"/>
      <c r="NU303" s="6"/>
      <c r="NV303" s="6"/>
    </row>
    <row r="304" spans="1:386" s="19" customFormat="1" ht="20.100000000000001" customHeight="1" x14ac:dyDescent="0.35">
      <c r="A304" s="1"/>
      <c r="B304" s="2"/>
      <c r="C304" s="3"/>
      <c r="D304" s="2"/>
      <c r="E304" s="2"/>
      <c r="F304" s="4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9"/>
      <c r="FL304" s="9"/>
      <c r="FM304" s="9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135"/>
      <c r="IK304" s="135"/>
      <c r="IL304" s="135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  <c r="JE304" s="6"/>
      <c r="JF304" s="6"/>
      <c r="JG304" s="6"/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6"/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6"/>
      <c r="KZ304" s="6"/>
      <c r="LA304" s="6"/>
      <c r="LB304" s="6"/>
      <c r="LC304" s="6"/>
      <c r="LD304" s="6"/>
      <c r="LE304" s="6"/>
      <c r="LF304" s="6"/>
      <c r="LG304" s="6"/>
      <c r="LH304" s="6"/>
      <c r="LI304" s="6"/>
      <c r="LJ304" s="6"/>
      <c r="LK304" s="6"/>
      <c r="LL304" s="6"/>
      <c r="LM304" s="6"/>
      <c r="LN304" s="6"/>
      <c r="LO304" s="6"/>
      <c r="LP304" s="6"/>
      <c r="LQ304" s="6"/>
      <c r="LR304" s="6"/>
      <c r="LS304" s="6"/>
      <c r="LT304" s="6"/>
      <c r="LU304" s="6"/>
      <c r="LV304" s="6"/>
      <c r="LW304" s="6"/>
      <c r="LX304" s="6"/>
      <c r="LY304" s="6"/>
      <c r="LZ304" s="6"/>
      <c r="MA304" s="6"/>
      <c r="MB304" s="6"/>
      <c r="MC304" s="6"/>
      <c r="MD304" s="6"/>
      <c r="ME304" s="6"/>
      <c r="MF304" s="6"/>
      <c r="MG304" s="6"/>
      <c r="MH304" s="6"/>
      <c r="MI304" s="6"/>
      <c r="MJ304" s="6"/>
      <c r="MK304" s="6"/>
      <c r="ML304" s="6"/>
      <c r="MM304" s="6"/>
      <c r="MN304" s="6"/>
      <c r="MO304" s="6"/>
      <c r="MP304" s="6"/>
      <c r="MQ304" s="6"/>
      <c r="MR304" s="6"/>
      <c r="MS304" s="6"/>
      <c r="MT304" s="6"/>
      <c r="MU304" s="6"/>
      <c r="MV304" s="6"/>
      <c r="MW304" s="6"/>
      <c r="MX304" s="6"/>
      <c r="MY304" s="6"/>
      <c r="MZ304" s="6"/>
      <c r="NA304" s="6"/>
      <c r="NB304" s="6"/>
      <c r="NC304" s="6"/>
      <c r="ND304" s="6"/>
      <c r="NE304" s="6"/>
      <c r="NF304" s="6"/>
      <c r="NG304" s="6"/>
      <c r="NH304" s="6"/>
      <c r="NI304" s="6"/>
      <c r="NJ304" s="6"/>
      <c r="NK304" s="6"/>
      <c r="NL304" s="6"/>
      <c r="NM304" s="6"/>
      <c r="NN304" s="6"/>
      <c r="NO304" s="6"/>
      <c r="NP304" s="6"/>
      <c r="NQ304" s="6"/>
      <c r="NR304" s="6"/>
      <c r="NS304" s="6"/>
      <c r="NT304" s="6"/>
      <c r="NU304" s="6"/>
      <c r="NV304" s="6"/>
    </row>
    <row r="305" spans="1:386" s="19" customFormat="1" ht="20.100000000000001" customHeight="1" x14ac:dyDescent="0.35">
      <c r="A305" s="1"/>
      <c r="B305" s="2"/>
      <c r="C305" s="3"/>
      <c r="D305" s="2"/>
      <c r="E305" s="2"/>
      <c r="F305" s="4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9"/>
      <c r="FL305" s="9"/>
      <c r="FM305" s="9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135"/>
      <c r="IK305" s="135"/>
      <c r="IL305" s="135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6"/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6"/>
      <c r="KZ305" s="6"/>
      <c r="LA305" s="6"/>
      <c r="LB305" s="6"/>
      <c r="LC305" s="6"/>
      <c r="LD305" s="6"/>
      <c r="LE305" s="6"/>
      <c r="LF305" s="6"/>
      <c r="LG305" s="6"/>
      <c r="LH305" s="6"/>
      <c r="LI305" s="6"/>
      <c r="LJ305" s="6"/>
      <c r="LK305" s="6"/>
      <c r="LL305" s="6"/>
      <c r="LM305" s="6"/>
      <c r="LN305" s="6"/>
      <c r="LO305" s="6"/>
      <c r="LP305" s="6"/>
      <c r="LQ305" s="6"/>
      <c r="LR305" s="6"/>
      <c r="LS305" s="6"/>
      <c r="LT305" s="6"/>
      <c r="LU305" s="6"/>
      <c r="LV305" s="6"/>
      <c r="LW305" s="6"/>
      <c r="LX305" s="6"/>
      <c r="LY305" s="6"/>
      <c r="LZ305" s="6"/>
      <c r="MA305" s="6"/>
      <c r="MB305" s="6"/>
      <c r="MC305" s="6"/>
      <c r="MD305" s="6"/>
      <c r="ME305" s="6"/>
      <c r="MF305" s="6"/>
      <c r="MG305" s="6"/>
      <c r="MH305" s="6"/>
      <c r="MI305" s="6"/>
      <c r="MJ305" s="6"/>
      <c r="MK305" s="6"/>
      <c r="ML305" s="6"/>
      <c r="MM305" s="6"/>
      <c r="MN305" s="6"/>
      <c r="MO305" s="6"/>
      <c r="MP305" s="6"/>
      <c r="MQ305" s="6"/>
      <c r="MR305" s="6"/>
      <c r="MS305" s="6"/>
      <c r="MT305" s="6"/>
      <c r="MU305" s="6"/>
      <c r="MV305" s="6"/>
      <c r="MW305" s="6"/>
      <c r="MX305" s="6"/>
      <c r="MY305" s="6"/>
      <c r="MZ305" s="6"/>
      <c r="NA305" s="6"/>
      <c r="NB305" s="6"/>
      <c r="NC305" s="6"/>
      <c r="ND305" s="6"/>
      <c r="NE305" s="6"/>
      <c r="NF305" s="6"/>
      <c r="NG305" s="6"/>
      <c r="NH305" s="6"/>
      <c r="NI305" s="6"/>
      <c r="NJ305" s="6"/>
      <c r="NK305" s="6"/>
      <c r="NL305" s="6"/>
      <c r="NM305" s="6"/>
      <c r="NN305" s="6"/>
      <c r="NO305" s="6"/>
      <c r="NP305" s="6"/>
      <c r="NQ305" s="6"/>
      <c r="NR305" s="6"/>
      <c r="NS305" s="6"/>
      <c r="NT305" s="6"/>
      <c r="NU305" s="6"/>
      <c r="NV305" s="6"/>
    </row>
    <row r="306" spans="1:386" s="19" customFormat="1" ht="20.100000000000001" customHeight="1" x14ac:dyDescent="0.35">
      <c r="A306" s="1"/>
      <c r="B306" s="2"/>
      <c r="C306" s="3"/>
      <c r="D306" s="2"/>
      <c r="E306" s="2"/>
      <c r="F306" s="4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9"/>
      <c r="FL306" s="9"/>
      <c r="FM306" s="9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135"/>
      <c r="IK306" s="135"/>
      <c r="IL306" s="135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6"/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6"/>
      <c r="KZ306" s="6"/>
      <c r="LA306" s="6"/>
      <c r="LB306" s="6"/>
      <c r="LC306" s="6"/>
      <c r="LD306" s="6"/>
      <c r="LE306" s="6"/>
      <c r="LF306" s="6"/>
      <c r="LG306" s="6"/>
      <c r="LH306" s="6"/>
      <c r="LI306" s="6"/>
      <c r="LJ306" s="6"/>
      <c r="LK306" s="6"/>
      <c r="LL306" s="6"/>
      <c r="LM306" s="6"/>
      <c r="LN306" s="6"/>
      <c r="LO306" s="6"/>
      <c r="LP306" s="6"/>
      <c r="LQ306" s="6"/>
      <c r="LR306" s="6"/>
      <c r="LS306" s="6"/>
      <c r="LT306" s="6"/>
      <c r="LU306" s="6"/>
      <c r="LV306" s="6"/>
      <c r="LW306" s="6"/>
      <c r="LX306" s="6"/>
      <c r="LY306" s="6"/>
      <c r="LZ306" s="6"/>
      <c r="MA306" s="6"/>
      <c r="MB306" s="6"/>
      <c r="MC306" s="6"/>
      <c r="MD306" s="6"/>
      <c r="ME306" s="6"/>
      <c r="MF306" s="6"/>
      <c r="MG306" s="6"/>
      <c r="MH306" s="6"/>
      <c r="MI306" s="6"/>
      <c r="MJ306" s="6"/>
      <c r="MK306" s="6"/>
      <c r="ML306" s="6"/>
      <c r="MM306" s="6"/>
      <c r="MN306" s="6"/>
      <c r="MO306" s="6"/>
      <c r="MP306" s="6"/>
      <c r="MQ306" s="6"/>
      <c r="MR306" s="6"/>
      <c r="MS306" s="6"/>
      <c r="MT306" s="6"/>
      <c r="MU306" s="6"/>
      <c r="MV306" s="6"/>
      <c r="MW306" s="6"/>
      <c r="MX306" s="6"/>
      <c r="MY306" s="6"/>
      <c r="MZ306" s="6"/>
      <c r="NA306" s="6"/>
      <c r="NB306" s="6"/>
      <c r="NC306" s="6"/>
      <c r="ND306" s="6"/>
      <c r="NE306" s="6"/>
      <c r="NF306" s="6"/>
      <c r="NG306" s="6"/>
      <c r="NH306" s="6"/>
      <c r="NI306" s="6"/>
      <c r="NJ306" s="6"/>
      <c r="NK306" s="6"/>
      <c r="NL306" s="6"/>
      <c r="NM306" s="6"/>
      <c r="NN306" s="6"/>
      <c r="NO306" s="6"/>
      <c r="NP306" s="6"/>
      <c r="NQ306" s="6"/>
      <c r="NR306" s="6"/>
      <c r="NS306" s="6"/>
      <c r="NT306" s="6"/>
      <c r="NU306" s="6"/>
      <c r="NV306" s="6"/>
    </row>
    <row r="307" spans="1:386" s="19" customFormat="1" ht="20.100000000000001" customHeight="1" x14ac:dyDescent="0.35">
      <c r="A307" s="1"/>
      <c r="B307" s="2"/>
      <c r="C307" s="3"/>
      <c r="D307" s="2"/>
      <c r="E307" s="2"/>
      <c r="F307" s="4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9"/>
      <c r="FL307" s="9"/>
      <c r="FM307" s="9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135"/>
      <c r="IK307" s="135"/>
      <c r="IL307" s="135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  <c r="JE307" s="6"/>
      <c r="JF307" s="6"/>
      <c r="JG307" s="6"/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6"/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6"/>
      <c r="KZ307" s="6"/>
      <c r="LA307" s="6"/>
      <c r="LB307" s="6"/>
      <c r="LC307" s="6"/>
      <c r="LD307" s="6"/>
      <c r="LE307" s="6"/>
      <c r="LF307" s="6"/>
      <c r="LG307" s="6"/>
      <c r="LH307" s="6"/>
      <c r="LI307" s="6"/>
      <c r="LJ307" s="6"/>
      <c r="LK307" s="6"/>
      <c r="LL307" s="6"/>
      <c r="LM307" s="6"/>
      <c r="LN307" s="6"/>
      <c r="LO307" s="6"/>
      <c r="LP307" s="6"/>
      <c r="LQ307" s="6"/>
      <c r="LR307" s="6"/>
      <c r="LS307" s="6"/>
      <c r="LT307" s="6"/>
      <c r="LU307" s="6"/>
      <c r="LV307" s="6"/>
      <c r="LW307" s="6"/>
      <c r="LX307" s="6"/>
      <c r="LY307" s="6"/>
      <c r="LZ307" s="6"/>
      <c r="MA307" s="6"/>
      <c r="MB307" s="6"/>
      <c r="MC307" s="6"/>
      <c r="MD307" s="6"/>
      <c r="ME307" s="6"/>
      <c r="MF307" s="6"/>
      <c r="MG307" s="6"/>
      <c r="MH307" s="6"/>
      <c r="MI307" s="6"/>
      <c r="MJ307" s="6"/>
      <c r="MK307" s="6"/>
      <c r="ML307" s="6"/>
      <c r="MM307" s="6"/>
      <c r="MN307" s="6"/>
      <c r="MO307" s="6"/>
      <c r="MP307" s="6"/>
      <c r="MQ307" s="6"/>
      <c r="MR307" s="6"/>
      <c r="MS307" s="6"/>
      <c r="MT307" s="6"/>
      <c r="MU307" s="6"/>
      <c r="MV307" s="6"/>
      <c r="MW307" s="6"/>
      <c r="MX307" s="6"/>
      <c r="MY307" s="6"/>
      <c r="MZ307" s="6"/>
      <c r="NA307" s="6"/>
      <c r="NB307" s="6"/>
      <c r="NC307" s="6"/>
      <c r="ND307" s="6"/>
      <c r="NE307" s="6"/>
      <c r="NF307" s="6"/>
      <c r="NG307" s="6"/>
      <c r="NH307" s="6"/>
      <c r="NI307" s="6"/>
      <c r="NJ307" s="6"/>
      <c r="NK307" s="6"/>
      <c r="NL307" s="6"/>
      <c r="NM307" s="6"/>
      <c r="NN307" s="6"/>
      <c r="NO307" s="6"/>
      <c r="NP307" s="6"/>
      <c r="NQ307" s="6"/>
      <c r="NR307" s="6"/>
      <c r="NS307" s="6"/>
      <c r="NT307" s="6"/>
      <c r="NU307" s="6"/>
      <c r="NV307" s="6"/>
    </row>
    <row r="308" spans="1:386" s="19" customFormat="1" ht="20.100000000000001" customHeight="1" x14ac:dyDescent="0.35">
      <c r="A308" s="1"/>
      <c r="B308" s="2"/>
      <c r="C308" s="3"/>
      <c r="D308" s="2"/>
      <c r="E308" s="2"/>
      <c r="F308" s="4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9"/>
      <c r="FL308" s="9"/>
      <c r="FM308" s="9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135"/>
      <c r="IK308" s="135"/>
      <c r="IL308" s="135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  <c r="JE308" s="6"/>
      <c r="JF308" s="6"/>
      <c r="JG308" s="6"/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6"/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6"/>
      <c r="KZ308" s="6"/>
      <c r="LA308" s="6"/>
      <c r="LB308" s="6"/>
      <c r="LC308" s="6"/>
      <c r="LD308" s="6"/>
      <c r="LE308" s="6"/>
      <c r="LF308" s="6"/>
      <c r="LG308" s="6"/>
      <c r="LH308" s="6"/>
      <c r="LI308" s="6"/>
      <c r="LJ308" s="6"/>
      <c r="LK308" s="6"/>
      <c r="LL308" s="6"/>
      <c r="LM308" s="6"/>
      <c r="LN308" s="6"/>
      <c r="LO308" s="6"/>
      <c r="LP308" s="6"/>
      <c r="LQ308" s="6"/>
      <c r="LR308" s="6"/>
      <c r="LS308" s="6"/>
      <c r="LT308" s="6"/>
      <c r="LU308" s="6"/>
      <c r="LV308" s="6"/>
      <c r="LW308" s="6"/>
      <c r="LX308" s="6"/>
      <c r="LY308" s="6"/>
      <c r="LZ308" s="6"/>
      <c r="MA308" s="6"/>
      <c r="MB308" s="6"/>
      <c r="MC308" s="6"/>
      <c r="MD308" s="6"/>
      <c r="ME308" s="6"/>
      <c r="MF308" s="6"/>
      <c r="MG308" s="6"/>
      <c r="MH308" s="6"/>
      <c r="MI308" s="6"/>
      <c r="MJ308" s="6"/>
      <c r="MK308" s="6"/>
      <c r="ML308" s="6"/>
      <c r="MM308" s="6"/>
      <c r="MN308" s="6"/>
      <c r="MO308" s="6"/>
      <c r="MP308" s="6"/>
      <c r="MQ308" s="6"/>
      <c r="MR308" s="6"/>
      <c r="MS308" s="6"/>
      <c r="MT308" s="6"/>
      <c r="MU308" s="6"/>
      <c r="MV308" s="6"/>
      <c r="MW308" s="6"/>
      <c r="MX308" s="6"/>
      <c r="MY308" s="6"/>
      <c r="MZ308" s="6"/>
      <c r="NA308" s="6"/>
      <c r="NB308" s="6"/>
      <c r="NC308" s="6"/>
      <c r="ND308" s="6"/>
      <c r="NE308" s="6"/>
      <c r="NF308" s="6"/>
      <c r="NG308" s="6"/>
      <c r="NH308" s="6"/>
      <c r="NI308" s="6"/>
      <c r="NJ308" s="6"/>
      <c r="NK308" s="6"/>
      <c r="NL308" s="6"/>
      <c r="NM308" s="6"/>
      <c r="NN308" s="6"/>
      <c r="NO308" s="6"/>
      <c r="NP308" s="6"/>
      <c r="NQ308" s="6"/>
      <c r="NR308" s="6"/>
      <c r="NS308" s="6"/>
      <c r="NT308" s="6"/>
      <c r="NU308" s="6"/>
      <c r="NV308" s="6"/>
    </row>
    <row r="309" spans="1:386" s="19" customFormat="1" ht="20.100000000000001" customHeight="1" x14ac:dyDescent="0.35">
      <c r="A309" s="1"/>
      <c r="B309" s="2"/>
      <c r="C309" s="3"/>
      <c r="D309" s="2"/>
      <c r="E309" s="2"/>
      <c r="F309" s="4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9"/>
      <c r="FL309" s="9"/>
      <c r="FM309" s="9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135"/>
      <c r="IK309" s="135"/>
      <c r="IL309" s="135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6"/>
      <c r="KZ309" s="6"/>
      <c r="LA309" s="6"/>
      <c r="LB309" s="6"/>
      <c r="LC309" s="6"/>
      <c r="LD309" s="6"/>
      <c r="LE309" s="6"/>
      <c r="LF309" s="6"/>
      <c r="LG309" s="6"/>
      <c r="LH309" s="6"/>
      <c r="LI309" s="6"/>
      <c r="LJ309" s="6"/>
      <c r="LK309" s="6"/>
      <c r="LL309" s="6"/>
      <c r="LM309" s="6"/>
      <c r="LN309" s="6"/>
      <c r="LO309" s="6"/>
      <c r="LP309" s="6"/>
      <c r="LQ309" s="6"/>
      <c r="LR309" s="6"/>
      <c r="LS309" s="6"/>
      <c r="LT309" s="6"/>
      <c r="LU309" s="6"/>
      <c r="LV309" s="6"/>
      <c r="LW309" s="6"/>
      <c r="LX309" s="6"/>
      <c r="LY309" s="6"/>
      <c r="LZ309" s="6"/>
      <c r="MA309" s="6"/>
      <c r="MB309" s="6"/>
      <c r="MC309" s="6"/>
      <c r="MD309" s="6"/>
      <c r="ME309" s="6"/>
      <c r="MF309" s="6"/>
      <c r="MG309" s="6"/>
      <c r="MH309" s="6"/>
      <c r="MI309" s="6"/>
      <c r="MJ309" s="6"/>
      <c r="MK309" s="6"/>
      <c r="ML309" s="6"/>
      <c r="MM309" s="6"/>
      <c r="MN309" s="6"/>
      <c r="MO309" s="6"/>
      <c r="MP309" s="6"/>
      <c r="MQ309" s="6"/>
      <c r="MR309" s="6"/>
      <c r="MS309" s="6"/>
      <c r="MT309" s="6"/>
      <c r="MU309" s="6"/>
      <c r="MV309" s="6"/>
      <c r="MW309" s="6"/>
      <c r="MX309" s="6"/>
      <c r="MY309" s="6"/>
      <c r="MZ309" s="6"/>
      <c r="NA309" s="6"/>
      <c r="NB309" s="6"/>
      <c r="NC309" s="6"/>
      <c r="ND309" s="6"/>
      <c r="NE309" s="6"/>
      <c r="NF309" s="6"/>
      <c r="NG309" s="6"/>
      <c r="NH309" s="6"/>
      <c r="NI309" s="6"/>
      <c r="NJ309" s="6"/>
      <c r="NK309" s="6"/>
      <c r="NL309" s="6"/>
      <c r="NM309" s="6"/>
      <c r="NN309" s="6"/>
      <c r="NO309" s="6"/>
      <c r="NP309" s="6"/>
      <c r="NQ309" s="6"/>
      <c r="NR309" s="6"/>
      <c r="NS309" s="6"/>
      <c r="NT309" s="6"/>
      <c r="NU309" s="6"/>
      <c r="NV309" s="6"/>
    </row>
    <row r="310" spans="1:386" s="19" customFormat="1" ht="20.100000000000001" customHeight="1" x14ac:dyDescent="0.35">
      <c r="A310" s="1"/>
      <c r="B310" s="2"/>
      <c r="C310" s="3"/>
      <c r="D310" s="2"/>
      <c r="E310" s="2"/>
      <c r="F310" s="4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9"/>
      <c r="FL310" s="9"/>
      <c r="FM310" s="9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135"/>
      <c r="IK310" s="135"/>
      <c r="IL310" s="135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6"/>
      <c r="KZ310" s="6"/>
      <c r="LA310" s="6"/>
      <c r="LB310" s="6"/>
      <c r="LC310" s="6"/>
      <c r="LD310" s="6"/>
      <c r="LE310" s="6"/>
      <c r="LF310" s="6"/>
      <c r="LG310" s="6"/>
      <c r="LH310" s="6"/>
      <c r="LI310" s="6"/>
      <c r="LJ310" s="6"/>
      <c r="LK310" s="6"/>
      <c r="LL310" s="6"/>
      <c r="LM310" s="6"/>
      <c r="LN310" s="6"/>
      <c r="LO310" s="6"/>
      <c r="LP310" s="6"/>
      <c r="LQ310" s="6"/>
      <c r="LR310" s="6"/>
      <c r="LS310" s="6"/>
      <c r="LT310" s="6"/>
      <c r="LU310" s="6"/>
      <c r="LV310" s="6"/>
      <c r="LW310" s="6"/>
      <c r="LX310" s="6"/>
      <c r="LY310" s="6"/>
      <c r="LZ310" s="6"/>
      <c r="MA310" s="6"/>
      <c r="MB310" s="6"/>
      <c r="MC310" s="6"/>
      <c r="MD310" s="6"/>
      <c r="ME310" s="6"/>
      <c r="MF310" s="6"/>
      <c r="MG310" s="6"/>
      <c r="MH310" s="6"/>
      <c r="MI310" s="6"/>
      <c r="MJ310" s="6"/>
      <c r="MK310" s="6"/>
      <c r="ML310" s="6"/>
      <c r="MM310" s="6"/>
      <c r="MN310" s="6"/>
      <c r="MO310" s="6"/>
      <c r="MP310" s="6"/>
      <c r="MQ310" s="6"/>
      <c r="MR310" s="6"/>
      <c r="MS310" s="6"/>
      <c r="MT310" s="6"/>
      <c r="MU310" s="6"/>
      <c r="MV310" s="6"/>
      <c r="MW310" s="6"/>
      <c r="MX310" s="6"/>
      <c r="MY310" s="6"/>
      <c r="MZ310" s="6"/>
      <c r="NA310" s="6"/>
      <c r="NB310" s="6"/>
      <c r="NC310" s="6"/>
      <c r="ND310" s="6"/>
      <c r="NE310" s="6"/>
      <c r="NF310" s="6"/>
      <c r="NG310" s="6"/>
      <c r="NH310" s="6"/>
      <c r="NI310" s="6"/>
      <c r="NJ310" s="6"/>
      <c r="NK310" s="6"/>
      <c r="NL310" s="6"/>
      <c r="NM310" s="6"/>
      <c r="NN310" s="6"/>
      <c r="NO310" s="6"/>
      <c r="NP310" s="6"/>
      <c r="NQ310" s="6"/>
      <c r="NR310" s="6"/>
      <c r="NS310" s="6"/>
      <c r="NT310" s="6"/>
      <c r="NU310" s="6"/>
      <c r="NV310" s="6"/>
    </row>
    <row r="311" spans="1:386" s="19" customFormat="1" ht="20.100000000000001" customHeight="1" x14ac:dyDescent="0.35">
      <c r="A311" s="1"/>
      <c r="B311" s="2"/>
      <c r="C311" s="3"/>
      <c r="D311" s="2"/>
      <c r="E311" s="2"/>
      <c r="F311" s="4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9"/>
      <c r="FL311" s="9"/>
      <c r="FM311" s="9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135"/>
      <c r="IK311" s="135"/>
      <c r="IL311" s="135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6"/>
      <c r="KZ311" s="6"/>
      <c r="LA311" s="6"/>
      <c r="LB311" s="6"/>
      <c r="LC311" s="6"/>
      <c r="LD311" s="6"/>
      <c r="LE311" s="6"/>
      <c r="LF311" s="6"/>
      <c r="LG311" s="6"/>
      <c r="LH311" s="6"/>
      <c r="LI311" s="6"/>
      <c r="LJ311" s="6"/>
      <c r="LK311" s="6"/>
      <c r="LL311" s="6"/>
      <c r="LM311" s="6"/>
      <c r="LN311" s="6"/>
      <c r="LO311" s="6"/>
      <c r="LP311" s="6"/>
      <c r="LQ311" s="6"/>
      <c r="LR311" s="6"/>
      <c r="LS311" s="6"/>
      <c r="LT311" s="6"/>
      <c r="LU311" s="6"/>
      <c r="LV311" s="6"/>
      <c r="LW311" s="6"/>
      <c r="LX311" s="6"/>
      <c r="LY311" s="6"/>
      <c r="LZ311" s="6"/>
      <c r="MA311" s="6"/>
      <c r="MB311" s="6"/>
      <c r="MC311" s="6"/>
      <c r="MD311" s="6"/>
      <c r="ME311" s="6"/>
      <c r="MF311" s="6"/>
      <c r="MG311" s="6"/>
      <c r="MH311" s="6"/>
      <c r="MI311" s="6"/>
      <c r="MJ311" s="6"/>
      <c r="MK311" s="6"/>
      <c r="ML311" s="6"/>
      <c r="MM311" s="6"/>
      <c r="MN311" s="6"/>
      <c r="MO311" s="6"/>
      <c r="MP311" s="6"/>
      <c r="MQ311" s="6"/>
      <c r="MR311" s="6"/>
      <c r="MS311" s="6"/>
      <c r="MT311" s="6"/>
      <c r="MU311" s="6"/>
      <c r="MV311" s="6"/>
      <c r="MW311" s="6"/>
      <c r="MX311" s="6"/>
      <c r="MY311" s="6"/>
      <c r="MZ311" s="6"/>
      <c r="NA311" s="6"/>
      <c r="NB311" s="6"/>
      <c r="NC311" s="6"/>
      <c r="ND311" s="6"/>
      <c r="NE311" s="6"/>
      <c r="NF311" s="6"/>
      <c r="NG311" s="6"/>
      <c r="NH311" s="6"/>
      <c r="NI311" s="6"/>
      <c r="NJ311" s="6"/>
      <c r="NK311" s="6"/>
      <c r="NL311" s="6"/>
      <c r="NM311" s="6"/>
      <c r="NN311" s="6"/>
      <c r="NO311" s="6"/>
      <c r="NP311" s="6"/>
      <c r="NQ311" s="6"/>
      <c r="NR311" s="6"/>
      <c r="NS311" s="6"/>
      <c r="NT311" s="6"/>
      <c r="NU311" s="6"/>
      <c r="NV311" s="6"/>
    </row>
    <row r="312" spans="1:386" s="19" customFormat="1" ht="20.100000000000001" customHeight="1" x14ac:dyDescent="0.35">
      <c r="A312" s="1"/>
      <c r="B312" s="2"/>
      <c r="C312" s="3"/>
      <c r="D312" s="2"/>
      <c r="E312" s="2"/>
      <c r="F312" s="4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9"/>
      <c r="FL312" s="9"/>
      <c r="FM312" s="9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135"/>
      <c r="IK312" s="135"/>
      <c r="IL312" s="135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6"/>
      <c r="KZ312" s="6"/>
      <c r="LA312" s="6"/>
      <c r="LB312" s="6"/>
      <c r="LC312" s="6"/>
      <c r="LD312" s="6"/>
      <c r="LE312" s="6"/>
      <c r="LF312" s="6"/>
      <c r="LG312" s="6"/>
      <c r="LH312" s="6"/>
      <c r="LI312" s="6"/>
      <c r="LJ312" s="6"/>
      <c r="LK312" s="6"/>
      <c r="LL312" s="6"/>
      <c r="LM312" s="6"/>
      <c r="LN312" s="6"/>
      <c r="LO312" s="6"/>
      <c r="LP312" s="6"/>
      <c r="LQ312" s="6"/>
      <c r="LR312" s="6"/>
      <c r="LS312" s="6"/>
      <c r="LT312" s="6"/>
      <c r="LU312" s="6"/>
      <c r="LV312" s="6"/>
      <c r="LW312" s="6"/>
      <c r="LX312" s="6"/>
      <c r="LY312" s="6"/>
      <c r="LZ312" s="6"/>
      <c r="MA312" s="6"/>
      <c r="MB312" s="6"/>
      <c r="MC312" s="6"/>
      <c r="MD312" s="6"/>
      <c r="ME312" s="6"/>
      <c r="MF312" s="6"/>
      <c r="MG312" s="6"/>
      <c r="MH312" s="6"/>
      <c r="MI312" s="6"/>
      <c r="MJ312" s="6"/>
      <c r="MK312" s="6"/>
      <c r="ML312" s="6"/>
      <c r="MM312" s="6"/>
      <c r="MN312" s="6"/>
      <c r="MO312" s="6"/>
      <c r="MP312" s="6"/>
      <c r="MQ312" s="6"/>
      <c r="MR312" s="6"/>
      <c r="MS312" s="6"/>
      <c r="MT312" s="6"/>
      <c r="MU312" s="6"/>
      <c r="MV312" s="6"/>
      <c r="MW312" s="6"/>
      <c r="MX312" s="6"/>
      <c r="MY312" s="6"/>
      <c r="MZ312" s="6"/>
      <c r="NA312" s="6"/>
      <c r="NB312" s="6"/>
      <c r="NC312" s="6"/>
      <c r="ND312" s="6"/>
      <c r="NE312" s="6"/>
      <c r="NF312" s="6"/>
      <c r="NG312" s="6"/>
      <c r="NH312" s="6"/>
      <c r="NI312" s="6"/>
      <c r="NJ312" s="6"/>
      <c r="NK312" s="6"/>
      <c r="NL312" s="6"/>
      <c r="NM312" s="6"/>
      <c r="NN312" s="6"/>
      <c r="NO312" s="6"/>
      <c r="NP312" s="6"/>
      <c r="NQ312" s="6"/>
      <c r="NR312" s="6"/>
      <c r="NS312" s="6"/>
      <c r="NT312" s="6"/>
      <c r="NU312" s="6"/>
      <c r="NV312" s="6"/>
    </row>
    <row r="313" spans="1:386" s="19" customFormat="1" ht="20.100000000000001" customHeight="1" x14ac:dyDescent="0.35">
      <c r="A313" s="1"/>
      <c r="B313" s="2"/>
      <c r="C313" s="3"/>
      <c r="D313" s="2"/>
      <c r="E313" s="2"/>
      <c r="F313" s="4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9"/>
      <c r="FL313" s="9"/>
      <c r="FM313" s="9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135"/>
      <c r="IK313" s="135"/>
      <c r="IL313" s="135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6"/>
      <c r="KZ313" s="6"/>
      <c r="LA313" s="6"/>
      <c r="LB313" s="6"/>
      <c r="LC313" s="6"/>
      <c r="LD313" s="6"/>
      <c r="LE313" s="6"/>
      <c r="LF313" s="6"/>
      <c r="LG313" s="6"/>
      <c r="LH313" s="6"/>
      <c r="LI313" s="6"/>
      <c r="LJ313" s="6"/>
      <c r="LK313" s="6"/>
      <c r="LL313" s="6"/>
      <c r="LM313" s="6"/>
      <c r="LN313" s="6"/>
      <c r="LO313" s="6"/>
      <c r="LP313" s="6"/>
      <c r="LQ313" s="6"/>
      <c r="LR313" s="6"/>
      <c r="LS313" s="6"/>
      <c r="LT313" s="6"/>
      <c r="LU313" s="6"/>
      <c r="LV313" s="6"/>
      <c r="LW313" s="6"/>
      <c r="LX313" s="6"/>
      <c r="LY313" s="6"/>
      <c r="LZ313" s="6"/>
      <c r="MA313" s="6"/>
      <c r="MB313" s="6"/>
      <c r="MC313" s="6"/>
      <c r="MD313" s="6"/>
      <c r="ME313" s="6"/>
      <c r="MF313" s="6"/>
      <c r="MG313" s="6"/>
      <c r="MH313" s="6"/>
      <c r="MI313" s="6"/>
      <c r="MJ313" s="6"/>
      <c r="MK313" s="6"/>
      <c r="ML313" s="6"/>
      <c r="MM313" s="6"/>
      <c r="MN313" s="6"/>
      <c r="MO313" s="6"/>
      <c r="MP313" s="6"/>
      <c r="MQ313" s="6"/>
      <c r="MR313" s="6"/>
      <c r="MS313" s="6"/>
      <c r="MT313" s="6"/>
      <c r="MU313" s="6"/>
      <c r="MV313" s="6"/>
      <c r="MW313" s="6"/>
      <c r="MX313" s="6"/>
      <c r="MY313" s="6"/>
      <c r="MZ313" s="6"/>
      <c r="NA313" s="6"/>
      <c r="NB313" s="6"/>
      <c r="NC313" s="6"/>
      <c r="ND313" s="6"/>
      <c r="NE313" s="6"/>
      <c r="NF313" s="6"/>
      <c r="NG313" s="6"/>
      <c r="NH313" s="6"/>
      <c r="NI313" s="6"/>
      <c r="NJ313" s="6"/>
      <c r="NK313" s="6"/>
      <c r="NL313" s="6"/>
      <c r="NM313" s="6"/>
      <c r="NN313" s="6"/>
      <c r="NO313" s="6"/>
      <c r="NP313" s="6"/>
      <c r="NQ313" s="6"/>
      <c r="NR313" s="6"/>
      <c r="NS313" s="6"/>
      <c r="NT313" s="6"/>
      <c r="NU313" s="6"/>
      <c r="NV313" s="6"/>
    </row>
    <row r="314" spans="1:386" s="19" customFormat="1" ht="20.100000000000001" customHeight="1" x14ac:dyDescent="0.35">
      <c r="A314" s="1"/>
      <c r="B314" s="2"/>
      <c r="C314" s="3"/>
      <c r="D314" s="2"/>
      <c r="E314" s="2"/>
      <c r="F314" s="4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9"/>
      <c r="FL314" s="9"/>
      <c r="FM314" s="9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135"/>
      <c r="IK314" s="135"/>
      <c r="IL314" s="135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6"/>
      <c r="KZ314" s="6"/>
      <c r="LA314" s="6"/>
      <c r="LB314" s="6"/>
      <c r="LC314" s="6"/>
      <c r="LD314" s="6"/>
      <c r="LE314" s="6"/>
      <c r="LF314" s="6"/>
      <c r="LG314" s="6"/>
      <c r="LH314" s="6"/>
      <c r="LI314" s="6"/>
      <c r="LJ314" s="6"/>
      <c r="LK314" s="6"/>
      <c r="LL314" s="6"/>
      <c r="LM314" s="6"/>
      <c r="LN314" s="6"/>
      <c r="LO314" s="6"/>
      <c r="LP314" s="6"/>
      <c r="LQ314" s="6"/>
      <c r="LR314" s="6"/>
      <c r="LS314" s="6"/>
      <c r="LT314" s="6"/>
      <c r="LU314" s="6"/>
      <c r="LV314" s="6"/>
      <c r="LW314" s="6"/>
      <c r="LX314" s="6"/>
      <c r="LY314" s="6"/>
      <c r="LZ314" s="6"/>
      <c r="MA314" s="6"/>
      <c r="MB314" s="6"/>
      <c r="MC314" s="6"/>
      <c r="MD314" s="6"/>
      <c r="ME314" s="6"/>
      <c r="MF314" s="6"/>
      <c r="MG314" s="6"/>
      <c r="MH314" s="6"/>
      <c r="MI314" s="6"/>
      <c r="MJ314" s="6"/>
      <c r="MK314" s="6"/>
      <c r="ML314" s="6"/>
      <c r="MM314" s="6"/>
      <c r="MN314" s="6"/>
      <c r="MO314" s="6"/>
      <c r="MP314" s="6"/>
      <c r="MQ314" s="6"/>
      <c r="MR314" s="6"/>
      <c r="MS314" s="6"/>
      <c r="MT314" s="6"/>
      <c r="MU314" s="6"/>
      <c r="MV314" s="6"/>
      <c r="MW314" s="6"/>
      <c r="MX314" s="6"/>
      <c r="MY314" s="6"/>
      <c r="MZ314" s="6"/>
      <c r="NA314" s="6"/>
      <c r="NB314" s="6"/>
      <c r="NC314" s="6"/>
      <c r="ND314" s="6"/>
      <c r="NE314" s="6"/>
      <c r="NF314" s="6"/>
      <c r="NG314" s="6"/>
      <c r="NH314" s="6"/>
      <c r="NI314" s="6"/>
      <c r="NJ314" s="6"/>
      <c r="NK314" s="6"/>
      <c r="NL314" s="6"/>
      <c r="NM314" s="6"/>
      <c r="NN314" s="6"/>
      <c r="NO314" s="6"/>
      <c r="NP314" s="6"/>
      <c r="NQ314" s="6"/>
      <c r="NR314" s="6"/>
      <c r="NS314" s="6"/>
      <c r="NT314" s="6"/>
      <c r="NU314" s="6"/>
      <c r="NV314" s="6"/>
    </row>
    <row r="315" spans="1:386" s="19" customFormat="1" ht="20.100000000000001" customHeight="1" x14ac:dyDescent="0.35">
      <c r="A315" s="1"/>
      <c r="B315" s="2"/>
      <c r="C315" s="3"/>
      <c r="D315" s="2"/>
      <c r="E315" s="2"/>
      <c r="F315" s="4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9"/>
      <c r="FL315" s="9"/>
      <c r="FM315" s="9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135"/>
      <c r="IK315" s="135"/>
      <c r="IL315" s="135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6"/>
      <c r="KZ315" s="6"/>
      <c r="LA315" s="6"/>
      <c r="LB315" s="6"/>
      <c r="LC315" s="6"/>
      <c r="LD315" s="6"/>
      <c r="LE315" s="6"/>
      <c r="LF315" s="6"/>
      <c r="LG315" s="6"/>
      <c r="LH315" s="6"/>
      <c r="LI315" s="6"/>
      <c r="LJ315" s="6"/>
      <c r="LK315" s="6"/>
      <c r="LL315" s="6"/>
      <c r="LM315" s="6"/>
      <c r="LN315" s="6"/>
      <c r="LO315" s="6"/>
      <c r="LP315" s="6"/>
      <c r="LQ315" s="6"/>
      <c r="LR315" s="6"/>
      <c r="LS315" s="6"/>
      <c r="LT315" s="6"/>
      <c r="LU315" s="6"/>
      <c r="LV315" s="6"/>
      <c r="LW315" s="6"/>
      <c r="LX315" s="6"/>
      <c r="LY315" s="6"/>
      <c r="LZ315" s="6"/>
      <c r="MA315" s="6"/>
      <c r="MB315" s="6"/>
      <c r="MC315" s="6"/>
      <c r="MD315" s="6"/>
      <c r="ME315" s="6"/>
      <c r="MF315" s="6"/>
      <c r="MG315" s="6"/>
      <c r="MH315" s="6"/>
      <c r="MI315" s="6"/>
      <c r="MJ315" s="6"/>
      <c r="MK315" s="6"/>
      <c r="ML315" s="6"/>
      <c r="MM315" s="6"/>
      <c r="MN315" s="6"/>
      <c r="MO315" s="6"/>
      <c r="MP315" s="6"/>
      <c r="MQ315" s="6"/>
      <c r="MR315" s="6"/>
      <c r="MS315" s="6"/>
      <c r="MT315" s="6"/>
      <c r="MU315" s="6"/>
      <c r="MV315" s="6"/>
      <c r="MW315" s="6"/>
      <c r="MX315" s="6"/>
      <c r="MY315" s="6"/>
      <c r="MZ315" s="6"/>
      <c r="NA315" s="6"/>
      <c r="NB315" s="6"/>
      <c r="NC315" s="6"/>
      <c r="ND315" s="6"/>
      <c r="NE315" s="6"/>
      <c r="NF315" s="6"/>
      <c r="NG315" s="6"/>
      <c r="NH315" s="6"/>
      <c r="NI315" s="6"/>
      <c r="NJ315" s="6"/>
      <c r="NK315" s="6"/>
      <c r="NL315" s="6"/>
      <c r="NM315" s="6"/>
      <c r="NN315" s="6"/>
      <c r="NO315" s="6"/>
      <c r="NP315" s="6"/>
      <c r="NQ315" s="6"/>
      <c r="NR315" s="6"/>
      <c r="NS315" s="6"/>
      <c r="NT315" s="6"/>
      <c r="NU315" s="6"/>
      <c r="NV315" s="6"/>
    </row>
    <row r="316" spans="1:386" s="19" customFormat="1" ht="20.100000000000001" customHeight="1" x14ac:dyDescent="0.35">
      <c r="A316" s="1"/>
      <c r="B316" s="2"/>
      <c r="C316" s="3"/>
      <c r="D316" s="2"/>
      <c r="E316" s="2"/>
      <c r="F316" s="4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9"/>
      <c r="FL316" s="9"/>
      <c r="FM316" s="9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135"/>
      <c r="IK316" s="135"/>
      <c r="IL316" s="135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6"/>
      <c r="KZ316" s="6"/>
      <c r="LA316" s="6"/>
      <c r="LB316" s="6"/>
      <c r="LC316" s="6"/>
      <c r="LD316" s="6"/>
      <c r="LE316" s="6"/>
      <c r="LF316" s="6"/>
      <c r="LG316" s="6"/>
      <c r="LH316" s="6"/>
      <c r="LI316" s="6"/>
      <c r="LJ316" s="6"/>
      <c r="LK316" s="6"/>
      <c r="LL316" s="6"/>
      <c r="LM316" s="6"/>
      <c r="LN316" s="6"/>
      <c r="LO316" s="6"/>
      <c r="LP316" s="6"/>
      <c r="LQ316" s="6"/>
      <c r="LR316" s="6"/>
      <c r="LS316" s="6"/>
      <c r="LT316" s="6"/>
      <c r="LU316" s="6"/>
      <c r="LV316" s="6"/>
      <c r="LW316" s="6"/>
      <c r="LX316" s="6"/>
      <c r="LY316" s="6"/>
      <c r="LZ316" s="6"/>
      <c r="MA316" s="6"/>
      <c r="MB316" s="6"/>
      <c r="MC316" s="6"/>
      <c r="MD316" s="6"/>
      <c r="ME316" s="6"/>
      <c r="MF316" s="6"/>
      <c r="MG316" s="6"/>
      <c r="MH316" s="6"/>
      <c r="MI316" s="6"/>
      <c r="MJ316" s="6"/>
      <c r="MK316" s="6"/>
      <c r="ML316" s="6"/>
      <c r="MM316" s="6"/>
      <c r="MN316" s="6"/>
      <c r="MO316" s="6"/>
      <c r="MP316" s="6"/>
      <c r="MQ316" s="6"/>
      <c r="MR316" s="6"/>
      <c r="MS316" s="6"/>
      <c r="MT316" s="6"/>
      <c r="MU316" s="6"/>
      <c r="MV316" s="6"/>
      <c r="MW316" s="6"/>
      <c r="MX316" s="6"/>
      <c r="MY316" s="6"/>
      <c r="MZ316" s="6"/>
      <c r="NA316" s="6"/>
      <c r="NB316" s="6"/>
      <c r="NC316" s="6"/>
      <c r="ND316" s="6"/>
      <c r="NE316" s="6"/>
      <c r="NF316" s="6"/>
      <c r="NG316" s="6"/>
      <c r="NH316" s="6"/>
      <c r="NI316" s="6"/>
      <c r="NJ316" s="6"/>
      <c r="NK316" s="6"/>
      <c r="NL316" s="6"/>
      <c r="NM316" s="6"/>
      <c r="NN316" s="6"/>
      <c r="NO316" s="6"/>
      <c r="NP316" s="6"/>
      <c r="NQ316" s="6"/>
      <c r="NR316" s="6"/>
      <c r="NS316" s="6"/>
      <c r="NT316" s="6"/>
      <c r="NU316" s="6"/>
      <c r="NV316" s="6"/>
    </row>
    <row r="317" spans="1:386" s="19" customFormat="1" ht="20.100000000000001" customHeight="1" x14ac:dyDescent="0.35">
      <c r="A317" s="1"/>
      <c r="B317" s="2"/>
      <c r="C317" s="3"/>
      <c r="D317" s="2"/>
      <c r="E317" s="2"/>
      <c r="F317" s="4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9"/>
      <c r="FL317" s="9"/>
      <c r="FM317" s="9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135"/>
      <c r="IK317" s="135"/>
      <c r="IL317" s="135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6"/>
      <c r="KZ317" s="6"/>
      <c r="LA317" s="6"/>
      <c r="LB317" s="6"/>
      <c r="LC317" s="6"/>
      <c r="LD317" s="6"/>
      <c r="LE317" s="6"/>
      <c r="LF317" s="6"/>
      <c r="LG317" s="6"/>
      <c r="LH317" s="6"/>
      <c r="LI317" s="6"/>
      <c r="LJ317" s="6"/>
      <c r="LK317" s="6"/>
      <c r="LL317" s="6"/>
      <c r="LM317" s="6"/>
      <c r="LN317" s="6"/>
      <c r="LO317" s="6"/>
      <c r="LP317" s="6"/>
      <c r="LQ317" s="6"/>
      <c r="LR317" s="6"/>
      <c r="LS317" s="6"/>
      <c r="LT317" s="6"/>
      <c r="LU317" s="6"/>
      <c r="LV317" s="6"/>
      <c r="LW317" s="6"/>
      <c r="LX317" s="6"/>
      <c r="LY317" s="6"/>
      <c r="LZ317" s="6"/>
      <c r="MA317" s="6"/>
      <c r="MB317" s="6"/>
      <c r="MC317" s="6"/>
      <c r="MD317" s="6"/>
      <c r="ME317" s="6"/>
      <c r="MF317" s="6"/>
      <c r="MG317" s="6"/>
      <c r="MH317" s="6"/>
      <c r="MI317" s="6"/>
      <c r="MJ317" s="6"/>
      <c r="MK317" s="6"/>
      <c r="ML317" s="6"/>
      <c r="MM317" s="6"/>
      <c r="MN317" s="6"/>
      <c r="MO317" s="6"/>
      <c r="MP317" s="6"/>
      <c r="MQ317" s="6"/>
      <c r="MR317" s="6"/>
      <c r="MS317" s="6"/>
      <c r="MT317" s="6"/>
      <c r="MU317" s="6"/>
      <c r="MV317" s="6"/>
      <c r="MW317" s="6"/>
      <c r="MX317" s="6"/>
      <c r="MY317" s="6"/>
      <c r="MZ317" s="6"/>
      <c r="NA317" s="6"/>
      <c r="NB317" s="6"/>
      <c r="NC317" s="6"/>
      <c r="ND317" s="6"/>
      <c r="NE317" s="6"/>
      <c r="NF317" s="6"/>
      <c r="NG317" s="6"/>
      <c r="NH317" s="6"/>
      <c r="NI317" s="6"/>
      <c r="NJ317" s="6"/>
      <c r="NK317" s="6"/>
      <c r="NL317" s="6"/>
      <c r="NM317" s="6"/>
      <c r="NN317" s="6"/>
      <c r="NO317" s="6"/>
      <c r="NP317" s="6"/>
      <c r="NQ317" s="6"/>
      <c r="NR317" s="6"/>
      <c r="NS317" s="6"/>
      <c r="NT317" s="6"/>
      <c r="NU317" s="6"/>
      <c r="NV317" s="6"/>
    </row>
    <row r="318" spans="1:386" s="19" customFormat="1" ht="20.100000000000001" customHeight="1" x14ac:dyDescent="0.35">
      <c r="A318" s="1"/>
      <c r="B318" s="2"/>
      <c r="C318" s="3"/>
      <c r="D318" s="2"/>
      <c r="E318" s="2"/>
      <c r="F318" s="4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9"/>
      <c r="FL318" s="9"/>
      <c r="FM318" s="9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135"/>
      <c r="IK318" s="135"/>
      <c r="IL318" s="135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6"/>
      <c r="KZ318" s="6"/>
      <c r="LA318" s="6"/>
      <c r="LB318" s="6"/>
      <c r="LC318" s="6"/>
      <c r="LD318" s="6"/>
      <c r="LE318" s="6"/>
      <c r="LF318" s="6"/>
      <c r="LG318" s="6"/>
      <c r="LH318" s="6"/>
      <c r="LI318" s="6"/>
      <c r="LJ318" s="6"/>
      <c r="LK318" s="6"/>
      <c r="LL318" s="6"/>
      <c r="LM318" s="6"/>
      <c r="LN318" s="6"/>
      <c r="LO318" s="6"/>
      <c r="LP318" s="6"/>
      <c r="LQ318" s="6"/>
      <c r="LR318" s="6"/>
      <c r="LS318" s="6"/>
      <c r="LT318" s="6"/>
      <c r="LU318" s="6"/>
      <c r="LV318" s="6"/>
      <c r="LW318" s="6"/>
      <c r="LX318" s="6"/>
      <c r="LY318" s="6"/>
      <c r="LZ318" s="6"/>
      <c r="MA318" s="6"/>
      <c r="MB318" s="6"/>
      <c r="MC318" s="6"/>
      <c r="MD318" s="6"/>
      <c r="ME318" s="6"/>
      <c r="MF318" s="6"/>
      <c r="MG318" s="6"/>
      <c r="MH318" s="6"/>
      <c r="MI318" s="6"/>
      <c r="MJ318" s="6"/>
      <c r="MK318" s="6"/>
      <c r="ML318" s="6"/>
      <c r="MM318" s="6"/>
      <c r="MN318" s="6"/>
      <c r="MO318" s="6"/>
      <c r="MP318" s="6"/>
      <c r="MQ318" s="6"/>
      <c r="MR318" s="6"/>
      <c r="MS318" s="6"/>
      <c r="MT318" s="6"/>
      <c r="MU318" s="6"/>
      <c r="MV318" s="6"/>
      <c r="MW318" s="6"/>
      <c r="MX318" s="6"/>
      <c r="MY318" s="6"/>
      <c r="MZ318" s="6"/>
      <c r="NA318" s="6"/>
      <c r="NB318" s="6"/>
      <c r="NC318" s="6"/>
      <c r="ND318" s="6"/>
      <c r="NE318" s="6"/>
      <c r="NF318" s="6"/>
      <c r="NG318" s="6"/>
      <c r="NH318" s="6"/>
      <c r="NI318" s="6"/>
      <c r="NJ318" s="6"/>
      <c r="NK318" s="6"/>
      <c r="NL318" s="6"/>
      <c r="NM318" s="6"/>
      <c r="NN318" s="6"/>
      <c r="NO318" s="6"/>
      <c r="NP318" s="6"/>
      <c r="NQ318" s="6"/>
      <c r="NR318" s="6"/>
      <c r="NS318" s="6"/>
      <c r="NT318" s="6"/>
      <c r="NU318" s="6"/>
      <c r="NV318" s="6"/>
    </row>
    <row r="319" spans="1:386" s="19" customFormat="1" ht="20.100000000000001" customHeight="1" x14ac:dyDescent="0.35">
      <c r="A319" s="1"/>
      <c r="B319" s="2"/>
      <c r="C319" s="3"/>
      <c r="D319" s="2"/>
      <c r="E319" s="2"/>
      <c r="F319" s="4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9"/>
      <c r="FL319" s="9"/>
      <c r="FM319" s="9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135"/>
      <c r="IK319" s="135"/>
      <c r="IL319" s="135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6"/>
      <c r="KZ319" s="6"/>
      <c r="LA319" s="6"/>
      <c r="LB319" s="6"/>
      <c r="LC319" s="6"/>
      <c r="LD319" s="6"/>
      <c r="LE319" s="6"/>
      <c r="LF319" s="6"/>
      <c r="LG319" s="6"/>
      <c r="LH319" s="6"/>
      <c r="LI319" s="6"/>
      <c r="LJ319" s="6"/>
      <c r="LK319" s="6"/>
      <c r="LL319" s="6"/>
      <c r="LM319" s="6"/>
      <c r="LN319" s="6"/>
      <c r="LO319" s="6"/>
      <c r="LP319" s="6"/>
      <c r="LQ319" s="6"/>
      <c r="LR319" s="6"/>
      <c r="LS319" s="6"/>
      <c r="LT319" s="6"/>
      <c r="LU319" s="6"/>
      <c r="LV319" s="6"/>
      <c r="LW319" s="6"/>
      <c r="LX319" s="6"/>
      <c r="LY319" s="6"/>
      <c r="LZ319" s="6"/>
      <c r="MA319" s="6"/>
      <c r="MB319" s="6"/>
      <c r="MC319" s="6"/>
      <c r="MD319" s="6"/>
      <c r="ME319" s="6"/>
      <c r="MF319" s="6"/>
      <c r="MG319" s="6"/>
      <c r="MH319" s="6"/>
      <c r="MI319" s="6"/>
      <c r="MJ319" s="6"/>
      <c r="MK319" s="6"/>
      <c r="ML319" s="6"/>
      <c r="MM319" s="6"/>
      <c r="MN319" s="6"/>
      <c r="MO319" s="6"/>
      <c r="MP319" s="6"/>
      <c r="MQ319" s="6"/>
      <c r="MR319" s="6"/>
      <c r="MS319" s="6"/>
      <c r="MT319" s="6"/>
      <c r="MU319" s="6"/>
      <c r="MV319" s="6"/>
      <c r="MW319" s="6"/>
      <c r="MX319" s="6"/>
      <c r="MY319" s="6"/>
      <c r="MZ319" s="6"/>
      <c r="NA319" s="6"/>
      <c r="NB319" s="6"/>
      <c r="NC319" s="6"/>
      <c r="ND319" s="6"/>
      <c r="NE319" s="6"/>
      <c r="NF319" s="6"/>
      <c r="NG319" s="6"/>
      <c r="NH319" s="6"/>
      <c r="NI319" s="6"/>
      <c r="NJ319" s="6"/>
      <c r="NK319" s="6"/>
      <c r="NL319" s="6"/>
      <c r="NM319" s="6"/>
      <c r="NN319" s="6"/>
      <c r="NO319" s="6"/>
      <c r="NP319" s="6"/>
      <c r="NQ319" s="6"/>
      <c r="NR319" s="6"/>
      <c r="NS319" s="6"/>
      <c r="NT319" s="6"/>
      <c r="NU319" s="6"/>
      <c r="NV319" s="6"/>
    </row>
    <row r="320" spans="1:386" s="19" customFormat="1" ht="20.100000000000001" customHeight="1" x14ac:dyDescent="0.35">
      <c r="A320" s="1"/>
      <c r="B320" s="2"/>
      <c r="C320" s="3"/>
      <c r="D320" s="2"/>
      <c r="E320" s="2"/>
      <c r="F320" s="4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9"/>
      <c r="FL320" s="9"/>
      <c r="FM320" s="9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135"/>
      <c r="IK320" s="135"/>
      <c r="IL320" s="135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6"/>
      <c r="KZ320" s="6"/>
      <c r="LA320" s="6"/>
      <c r="LB320" s="6"/>
      <c r="LC320" s="6"/>
      <c r="LD320" s="6"/>
      <c r="LE320" s="6"/>
      <c r="LF320" s="6"/>
      <c r="LG320" s="6"/>
      <c r="LH320" s="6"/>
      <c r="LI320" s="6"/>
      <c r="LJ320" s="6"/>
      <c r="LK320" s="6"/>
      <c r="LL320" s="6"/>
      <c r="LM320" s="6"/>
      <c r="LN320" s="6"/>
      <c r="LO320" s="6"/>
      <c r="LP320" s="6"/>
      <c r="LQ320" s="6"/>
      <c r="LR320" s="6"/>
      <c r="LS320" s="6"/>
      <c r="LT320" s="6"/>
      <c r="LU320" s="6"/>
      <c r="LV320" s="6"/>
      <c r="LW320" s="6"/>
      <c r="LX320" s="6"/>
      <c r="LY320" s="6"/>
      <c r="LZ320" s="6"/>
      <c r="MA320" s="6"/>
      <c r="MB320" s="6"/>
      <c r="MC320" s="6"/>
      <c r="MD320" s="6"/>
      <c r="ME320" s="6"/>
      <c r="MF320" s="6"/>
      <c r="MG320" s="6"/>
      <c r="MH320" s="6"/>
      <c r="MI320" s="6"/>
      <c r="MJ320" s="6"/>
      <c r="MK320" s="6"/>
      <c r="ML320" s="6"/>
      <c r="MM320" s="6"/>
      <c r="MN320" s="6"/>
      <c r="MO320" s="6"/>
      <c r="MP320" s="6"/>
      <c r="MQ320" s="6"/>
      <c r="MR320" s="6"/>
      <c r="MS320" s="6"/>
      <c r="MT320" s="6"/>
      <c r="MU320" s="6"/>
      <c r="MV320" s="6"/>
      <c r="MW320" s="6"/>
      <c r="MX320" s="6"/>
      <c r="MY320" s="6"/>
      <c r="MZ320" s="6"/>
      <c r="NA320" s="6"/>
      <c r="NB320" s="6"/>
      <c r="NC320" s="6"/>
      <c r="ND320" s="6"/>
      <c r="NE320" s="6"/>
      <c r="NF320" s="6"/>
      <c r="NG320" s="6"/>
      <c r="NH320" s="6"/>
      <c r="NI320" s="6"/>
      <c r="NJ320" s="6"/>
      <c r="NK320" s="6"/>
      <c r="NL320" s="6"/>
      <c r="NM320" s="6"/>
      <c r="NN320" s="6"/>
      <c r="NO320" s="6"/>
      <c r="NP320" s="6"/>
      <c r="NQ320" s="6"/>
      <c r="NR320" s="6"/>
      <c r="NS320" s="6"/>
      <c r="NT320" s="6"/>
      <c r="NU320" s="6"/>
      <c r="NV320" s="6"/>
    </row>
    <row r="321" spans="1:386" s="19" customFormat="1" ht="20.100000000000001" customHeight="1" x14ac:dyDescent="0.35">
      <c r="A321" s="1"/>
      <c r="B321" s="2"/>
      <c r="C321" s="3"/>
      <c r="D321" s="2"/>
      <c r="E321" s="2"/>
      <c r="F321" s="4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9"/>
      <c r="FL321" s="9"/>
      <c r="FM321" s="9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135"/>
      <c r="IK321" s="135"/>
      <c r="IL321" s="135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J321" s="6"/>
      <c r="JK321" s="6"/>
      <c r="JL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6"/>
      <c r="KZ321" s="6"/>
      <c r="LA321" s="6"/>
      <c r="LB321" s="6"/>
      <c r="LC321" s="6"/>
      <c r="LD321" s="6"/>
      <c r="LE321" s="6"/>
      <c r="LF321" s="6"/>
      <c r="LG321" s="6"/>
      <c r="LH321" s="6"/>
      <c r="LI321" s="6"/>
      <c r="LJ321" s="6"/>
      <c r="LK321" s="6"/>
      <c r="LL321" s="6"/>
      <c r="LM321" s="6"/>
      <c r="LN321" s="6"/>
      <c r="LO321" s="6"/>
      <c r="LP321" s="6"/>
      <c r="LQ321" s="6"/>
      <c r="LR321" s="6"/>
      <c r="LS321" s="6"/>
      <c r="LT321" s="6"/>
      <c r="LU321" s="6"/>
      <c r="LV321" s="6"/>
      <c r="LW321" s="6"/>
      <c r="LX321" s="6"/>
      <c r="LY321" s="6"/>
      <c r="LZ321" s="6"/>
      <c r="MA321" s="6"/>
      <c r="MB321" s="6"/>
      <c r="MC321" s="6"/>
      <c r="MD321" s="6"/>
      <c r="ME321" s="6"/>
      <c r="MF321" s="6"/>
      <c r="MG321" s="6"/>
      <c r="MH321" s="6"/>
      <c r="MI321" s="6"/>
      <c r="MJ321" s="6"/>
      <c r="MK321" s="6"/>
      <c r="ML321" s="6"/>
      <c r="MM321" s="6"/>
      <c r="MN321" s="6"/>
      <c r="MO321" s="6"/>
      <c r="MP321" s="6"/>
      <c r="MQ321" s="6"/>
      <c r="MR321" s="6"/>
      <c r="MS321" s="6"/>
      <c r="MT321" s="6"/>
      <c r="MU321" s="6"/>
      <c r="MV321" s="6"/>
      <c r="MW321" s="6"/>
      <c r="MX321" s="6"/>
      <c r="MY321" s="6"/>
      <c r="MZ321" s="6"/>
      <c r="NA321" s="6"/>
      <c r="NB321" s="6"/>
      <c r="NC321" s="6"/>
      <c r="ND321" s="6"/>
      <c r="NE321" s="6"/>
      <c r="NF321" s="6"/>
      <c r="NG321" s="6"/>
      <c r="NH321" s="6"/>
      <c r="NI321" s="6"/>
      <c r="NJ321" s="6"/>
      <c r="NK321" s="6"/>
      <c r="NL321" s="6"/>
      <c r="NM321" s="6"/>
      <c r="NN321" s="6"/>
      <c r="NO321" s="6"/>
      <c r="NP321" s="6"/>
      <c r="NQ321" s="6"/>
      <c r="NR321" s="6"/>
      <c r="NS321" s="6"/>
      <c r="NT321" s="6"/>
      <c r="NU321" s="6"/>
      <c r="NV321" s="6"/>
    </row>
    <row r="322" spans="1:386" s="19" customFormat="1" ht="20.100000000000001" customHeight="1" x14ac:dyDescent="0.35">
      <c r="A322" s="1"/>
      <c r="B322" s="2"/>
      <c r="C322" s="3"/>
      <c r="D322" s="2"/>
      <c r="E322" s="2"/>
      <c r="F322" s="4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9"/>
      <c r="FL322" s="9"/>
      <c r="FM322" s="9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135"/>
      <c r="IK322" s="135"/>
      <c r="IL322" s="135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6"/>
      <c r="KZ322" s="6"/>
      <c r="LA322" s="6"/>
      <c r="LB322" s="6"/>
      <c r="LC322" s="6"/>
      <c r="LD322" s="6"/>
      <c r="LE322" s="6"/>
      <c r="LF322" s="6"/>
      <c r="LG322" s="6"/>
      <c r="LH322" s="6"/>
      <c r="LI322" s="6"/>
      <c r="LJ322" s="6"/>
      <c r="LK322" s="6"/>
      <c r="LL322" s="6"/>
      <c r="LM322" s="6"/>
      <c r="LN322" s="6"/>
      <c r="LO322" s="6"/>
      <c r="LP322" s="6"/>
      <c r="LQ322" s="6"/>
      <c r="LR322" s="6"/>
      <c r="LS322" s="6"/>
      <c r="LT322" s="6"/>
      <c r="LU322" s="6"/>
      <c r="LV322" s="6"/>
      <c r="LW322" s="6"/>
      <c r="LX322" s="6"/>
      <c r="LY322" s="6"/>
      <c r="LZ322" s="6"/>
      <c r="MA322" s="6"/>
      <c r="MB322" s="6"/>
      <c r="MC322" s="6"/>
      <c r="MD322" s="6"/>
      <c r="ME322" s="6"/>
      <c r="MF322" s="6"/>
      <c r="MG322" s="6"/>
      <c r="MH322" s="6"/>
      <c r="MI322" s="6"/>
      <c r="MJ322" s="6"/>
      <c r="MK322" s="6"/>
      <c r="ML322" s="6"/>
      <c r="MM322" s="6"/>
      <c r="MN322" s="6"/>
      <c r="MO322" s="6"/>
      <c r="MP322" s="6"/>
      <c r="MQ322" s="6"/>
      <c r="MR322" s="6"/>
      <c r="MS322" s="6"/>
      <c r="MT322" s="6"/>
      <c r="MU322" s="6"/>
      <c r="MV322" s="6"/>
      <c r="MW322" s="6"/>
      <c r="MX322" s="6"/>
      <c r="MY322" s="6"/>
      <c r="MZ322" s="6"/>
      <c r="NA322" s="6"/>
      <c r="NB322" s="6"/>
      <c r="NC322" s="6"/>
      <c r="ND322" s="6"/>
      <c r="NE322" s="6"/>
      <c r="NF322" s="6"/>
      <c r="NG322" s="6"/>
      <c r="NH322" s="6"/>
      <c r="NI322" s="6"/>
      <c r="NJ322" s="6"/>
      <c r="NK322" s="6"/>
      <c r="NL322" s="6"/>
      <c r="NM322" s="6"/>
      <c r="NN322" s="6"/>
      <c r="NO322" s="6"/>
      <c r="NP322" s="6"/>
      <c r="NQ322" s="6"/>
      <c r="NR322" s="6"/>
      <c r="NS322" s="6"/>
      <c r="NT322" s="6"/>
      <c r="NU322" s="6"/>
      <c r="NV322" s="6"/>
    </row>
    <row r="323" spans="1:386" s="19" customFormat="1" ht="20.100000000000001" customHeight="1" x14ac:dyDescent="0.35">
      <c r="A323" s="1"/>
      <c r="B323" s="2"/>
      <c r="C323" s="3"/>
      <c r="D323" s="2"/>
      <c r="E323" s="2"/>
      <c r="F323" s="4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9"/>
      <c r="FL323" s="9"/>
      <c r="FM323" s="9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135"/>
      <c r="IK323" s="135"/>
      <c r="IL323" s="135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6"/>
      <c r="KZ323" s="6"/>
      <c r="LA323" s="6"/>
      <c r="LB323" s="6"/>
      <c r="LC323" s="6"/>
      <c r="LD323" s="6"/>
      <c r="LE323" s="6"/>
      <c r="LF323" s="6"/>
      <c r="LG323" s="6"/>
      <c r="LH323" s="6"/>
      <c r="LI323" s="6"/>
      <c r="LJ323" s="6"/>
      <c r="LK323" s="6"/>
      <c r="LL323" s="6"/>
      <c r="LM323" s="6"/>
      <c r="LN323" s="6"/>
      <c r="LO323" s="6"/>
      <c r="LP323" s="6"/>
      <c r="LQ323" s="6"/>
      <c r="LR323" s="6"/>
      <c r="LS323" s="6"/>
      <c r="LT323" s="6"/>
      <c r="LU323" s="6"/>
      <c r="LV323" s="6"/>
      <c r="LW323" s="6"/>
      <c r="LX323" s="6"/>
      <c r="LY323" s="6"/>
      <c r="LZ323" s="6"/>
      <c r="MA323" s="6"/>
      <c r="MB323" s="6"/>
      <c r="MC323" s="6"/>
      <c r="MD323" s="6"/>
      <c r="ME323" s="6"/>
      <c r="MF323" s="6"/>
      <c r="MG323" s="6"/>
      <c r="MH323" s="6"/>
      <c r="MI323" s="6"/>
      <c r="MJ323" s="6"/>
      <c r="MK323" s="6"/>
      <c r="ML323" s="6"/>
      <c r="MM323" s="6"/>
      <c r="MN323" s="6"/>
      <c r="MO323" s="6"/>
      <c r="MP323" s="6"/>
      <c r="MQ323" s="6"/>
      <c r="MR323" s="6"/>
      <c r="MS323" s="6"/>
      <c r="MT323" s="6"/>
      <c r="MU323" s="6"/>
      <c r="MV323" s="6"/>
      <c r="MW323" s="6"/>
      <c r="MX323" s="6"/>
      <c r="MY323" s="6"/>
      <c r="MZ323" s="6"/>
      <c r="NA323" s="6"/>
      <c r="NB323" s="6"/>
      <c r="NC323" s="6"/>
      <c r="ND323" s="6"/>
      <c r="NE323" s="6"/>
      <c r="NF323" s="6"/>
      <c r="NG323" s="6"/>
      <c r="NH323" s="6"/>
      <c r="NI323" s="6"/>
      <c r="NJ323" s="6"/>
      <c r="NK323" s="6"/>
      <c r="NL323" s="6"/>
      <c r="NM323" s="6"/>
      <c r="NN323" s="6"/>
      <c r="NO323" s="6"/>
      <c r="NP323" s="6"/>
      <c r="NQ323" s="6"/>
      <c r="NR323" s="6"/>
      <c r="NS323" s="6"/>
      <c r="NT323" s="6"/>
      <c r="NU323" s="6"/>
      <c r="NV323" s="6"/>
    </row>
    <row r="324" spans="1:386" s="19" customFormat="1" ht="20.100000000000001" customHeight="1" x14ac:dyDescent="0.35">
      <c r="A324" s="1"/>
      <c r="B324" s="2"/>
      <c r="C324" s="3"/>
      <c r="D324" s="2"/>
      <c r="E324" s="2"/>
      <c r="F324" s="4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9"/>
      <c r="FL324" s="9"/>
      <c r="FM324" s="9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135"/>
      <c r="IK324" s="135"/>
      <c r="IL324" s="135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6"/>
      <c r="KZ324" s="6"/>
      <c r="LA324" s="6"/>
      <c r="LB324" s="6"/>
      <c r="LC324" s="6"/>
      <c r="LD324" s="6"/>
      <c r="LE324" s="6"/>
      <c r="LF324" s="6"/>
      <c r="LG324" s="6"/>
      <c r="LH324" s="6"/>
      <c r="LI324" s="6"/>
      <c r="LJ324" s="6"/>
      <c r="LK324" s="6"/>
      <c r="LL324" s="6"/>
      <c r="LM324" s="6"/>
      <c r="LN324" s="6"/>
      <c r="LO324" s="6"/>
      <c r="LP324" s="6"/>
      <c r="LQ324" s="6"/>
      <c r="LR324" s="6"/>
      <c r="LS324" s="6"/>
      <c r="LT324" s="6"/>
      <c r="LU324" s="6"/>
      <c r="LV324" s="6"/>
      <c r="LW324" s="6"/>
      <c r="LX324" s="6"/>
      <c r="LY324" s="6"/>
      <c r="LZ324" s="6"/>
      <c r="MA324" s="6"/>
      <c r="MB324" s="6"/>
      <c r="MC324" s="6"/>
      <c r="MD324" s="6"/>
      <c r="ME324" s="6"/>
      <c r="MF324" s="6"/>
      <c r="MG324" s="6"/>
      <c r="MH324" s="6"/>
      <c r="MI324" s="6"/>
      <c r="MJ324" s="6"/>
      <c r="MK324" s="6"/>
      <c r="ML324" s="6"/>
      <c r="MM324" s="6"/>
      <c r="MN324" s="6"/>
      <c r="MO324" s="6"/>
      <c r="MP324" s="6"/>
      <c r="MQ324" s="6"/>
      <c r="MR324" s="6"/>
      <c r="MS324" s="6"/>
      <c r="MT324" s="6"/>
      <c r="MU324" s="6"/>
      <c r="MV324" s="6"/>
      <c r="MW324" s="6"/>
      <c r="MX324" s="6"/>
      <c r="MY324" s="6"/>
      <c r="MZ324" s="6"/>
      <c r="NA324" s="6"/>
      <c r="NB324" s="6"/>
      <c r="NC324" s="6"/>
      <c r="ND324" s="6"/>
      <c r="NE324" s="6"/>
      <c r="NF324" s="6"/>
      <c r="NG324" s="6"/>
      <c r="NH324" s="6"/>
      <c r="NI324" s="6"/>
      <c r="NJ324" s="6"/>
      <c r="NK324" s="6"/>
      <c r="NL324" s="6"/>
      <c r="NM324" s="6"/>
      <c r="NN324" s="6"/>
      <c r="NO324" s="6"/>
      <c r="NP324" s="6"/>
      <c r="NQ324" s="6"/>
      <c r="NR324" s="6"/>
      <c r="NS324" s="6"/>
      <c r="NT324" s="6"/>
      <c r="NU324" s="6"/>
      <c r="NV324" s="6"/>
    </row>
    <row r="325" spans="1:386" s="19" customFormat="1" ht="20.100000000000001" customHeight="1" x14ac:dyDescent="0.35">
      <c r="A325" s="1"/>
      <c r="B325" s="2"/>
      <c r="C325" s="3"/>
      <c r="D325" s="2"/>
      <c r="E325" s="2"/>
      <c r="F325" s="4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9"/>
      <c r="FL325" s="9"/>
      <c r="FM325" s="9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135"/>
      <c r="IK325" s="135"/>
      <c r="IL325" s="135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6"/>
      <c r="KZ325" s="6"/>
      <c r="LA325" s="6"/>
      <c r="LB325" s="6"/>
      <c r="LC325" s="6"/>
      <c r="LD325" s="6"/>
      <c r="LE325" s="6"/>
      <c r="LF325" s="6"/>
      <c r="LG325" s="6"/>
      <c r="LH325" s="6"/>
      <c r="LI325" s="6"/>
      <c r="LJ325" s="6"/>
      <c r="LK325" s="6"/>
      <c r="LL325" s="6"/>
      <c r="LM325" s="6"/>
      <c r="LN325" s="6"/>
      <c r="LO325" s="6"/>
      <c r="LP325" s="6"/>
      <c r="LQ325" s="6"/>
      <c r="LR325" s="6"/>
      <c r="LS325" s="6"/>
      <c r="LT325" s="6"/>
      <c r="LU325" s="6"/>
      <c r="LV325" s="6"/>
      <c r="LW325" s="6"/>
      <c r="LX325" s="6"/>
      <c r="LY325" s="6"/>
      <c r="LZ325" s="6"/>
      <c r="MA325" s="6"/>
      <c r="MB325" s="6"/>
      <c r="MC325" s="6"/>
      <c r="MD325" s="6"/>
      <c r="ME325" s="6"/>
      <c r="MF325" s="6"/>
      <c r="MG325" s="6"/>
      <c r="MH325" s="6"/>
      <c r="MI325" s="6"/>
      <c r="MJ325" s="6"/>
      <c r="MK325" s="6"/>
      <c r="ML325" s="6"/>
      <c r="MM325" s="6"/>
      <c r="MN325" s="6"/>
      <c r="MO325" s="6"/>
      <c r="MP325" s="6"/>
      <c r="MQ325" s="6"/>
      <c r="MR325" s="6"/>
      <c r="MS325" s="6"/>
      <c r="MT325" s="6"/>
      <c r="MU325" s="6"/>
      <c r="MV325" s="6"/>
      <c r="MW325" s="6"/>
      <c r="MX325" s="6"/>
      <c r="MY325" s="6"/>
      <c r="MZ325" s="6"/>
      <c r="NA325" s="6"/>
      <c r="NB325" s="6"/>
      <c r="NC325" s="6"/>
      <c r="ND325" s="6"/>
      <c r="NE325" s="6"/>
      <c r="NF325" s="6"/>
      <c r="NG325" s="6"/>
      <c r="NH325" s="6"/>
      <c r="NI325" s="6"/>
      <c r="NJ325" s="6"/>
      <c r="NK325" s="6"/>
      <c r="NL325" s="6"/>
      <c r="NM325" s="6"/>
      <c r="NN325" s="6"/>
      <c r="NO325" s="6"/>
      <c r="NP325" s="6"/>
      <c r="NQ325" s="6"/>
      <c r="NR325" s="6"/>
      <c r="NS325" s="6"/>
      <c r="NT325" s="6"/>
      <c r="NU325" s="6"/>
      <c r="NV325" s="6"/>
    </row>
    <row r="326" spans="1:386" s="19" customFormat="1" ht="20.100000000000001" customHeight="1" x14ac:dyDescent="0.35">
      <c r="A326" s="1"/>
      <c r="B326" s="2"/>
      <c r="C326" s="3"/>
      <c r="D326" s="2"/>
      <c r="E326" s="2"/>
      <c r="F326" s="4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9"/>
      <c r="FL326" s="9"/>
      <c r="FM326" s="9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135"/>
      <c r="IK326" s="135"/>
      <c r="IL326" s="135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6"/>
      <c r="KZ326" s="6"/>
      <c r="LA326" s="6"/>
      <c r="LB326" s="6"/>
      <c r="LC326" s="6"/>
      <c r="LD326" s="6"/>
      <c r="LE326" s="6"/>
      <c r="LF326" s="6"/>
      <c r="LG326" s="6"/>
      <c r="LH326" s="6"/>
      <c r="LI326" s="6"/>
      <c r="LJ326" s="6"/>
      <c r="LK326" s="6"/>
      <c r="LL326" s="6"/>
      <c r="LM326" s="6"/>
      <c r="LN326" s="6"/>
      <c r="LO326" s="6"/>
      <c r="LP326" s="6"/>
      <c r="LQ326" s="6"/>
      <c r="LR326" s="6"/>
      <c r="LS326" s="6"/>
      <c r="LT326" s="6"/>
      <c r="LU326" s="6"/>
      <c r="LV326" s="6"/>
      <c r="LW326" s="6"/>
      <c r="LX326" s="6"/>
      <c r="LY326" s="6"/>
      <c r="LZ326" s="6"/>
      <c r="MA326" s="6"/>
      <c r="MB326" s="6"/>
      <c r="MC326" s="6"/>
      <c r="MD326" s="6"/>
      <c r="ME326" s="6"/>
      <c r="MF326" s="6"/>
      <c r="MG326" s="6"/>
      <c r="MH326" s="6"/>
      <c r="MI326" s="6"/>
      <c r="MJ326" s="6"/>
      <c r="MK326" s="6"/>
      <c r="ML326" s="6"/>
      <c r="MM326" s="6"/>
      <c r="MN326" s="6"/>
      <c r="MO326" s="6"/>
      <c r="MP326" s="6"/>
      <c r="MQ326" s="6"/>
      <c r="MR326" s="6"/>
      <c r="MS326" s="6"/>
      <c r="MT326" s="6"/>
      <c r="MU326" s="6"/>
      <c r="MV326" s="6"/>
      <c r="MW326" s="6"/>
      <c r="MX326" s="6"/>
      <c r="MY326" s="6"/>
      <c r="MZ326" s="6"/>
      <c r="NA326" s="6"/>
      <c r="NB326" s="6"/>
      <c r="NC326" s="6"/>
      <c r="ND326" s="6"/>
      <c r="NE326" s="6"/>
      <c r="NF326" s="6"/>
      <c r="NG326" s="6"/>
      <c r="NH326" s="6"/>
      <c r="NI326" s="6"/>
      <c r="NJ326" s="6"/>
      <c r="NK326" s="6"/>
      <c r="NL326" s="6"/>
      <c r="NM326" s="6"/>
      <c r="NN326" s="6"/>
      <c r="NO326" s="6"/>
      <c r="NP326" s="6"/>
      <c r="NQ326" s="6"/>
      <c r="NR326" s="6"/>
      <c r="NS326" s="6"/>
      <c r="NT326" s="6"/>
      <c r="NU326" s="6"/>
      <c r="NV326" s="6"/>
    </row>
    <row r="327" spans="1:386" s="19" customFormat="1" ht="20.100000000000001" customHeight="1" x14ac:dyDescent="0.35">
      <c r="A327" s="1"/>
      <c r="B327" s="2"/>
      <c r="C327" s="3"/>
      <c r="D327" s="2"/>
      <c r="E327" s="2"/>
      <c r="F327" s="4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9"/>
      <c r="FL327" s="9"/>
      <c r="FM327" s="9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135"/>
      <c r="IK327" s="135"/>
      <c r="IL327" s="135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6"/>
      <c r="KZ327" s="6"/>
      <c r="LA327" s="6"/>
      <c r="LB327" s="6"/>
      <c r="LC327" s="6"/>
      <c r="LD327" s="6"/>
      <c r="LE327" s="6"/>
      <c r="LF327" s="6"/>
      <c r="LG327" s="6"/>
      <c r="LH327" s="6"/>
      <c r="LI327" s="6"/>
      <c r="LJ327" s="6"/>
      <c r="LK327" s="6"/>
      <c r="LL327" s="6"/>
      <c r="LM327" s="6"/>
      <c r="LN327" s="6"/>
      <c r="LO327" s="6"/>
      <c r="LP327" s="6"/>
      <c r="LQ327" s="6"/>
      <c r="LR327" s="6"/>
      <c r="LS327" s="6"/>
      <c r="LT327" s="6"/>
      <c r="LU327" s="6"/>
      <c r="LV327" s="6"/>
      <c r="LW327" s="6"/>
      <c r="LX327" s="6"/>
      <c r="LY327" s="6"/>
      <c r="LZ327" s="6"/>
      <c r="MA327" s="6"/>
      <c r="MB327" s="6"/>
      <c r="MC327" s="6"/>
      <c r="MD327" s="6"/>
      <c r="ME327" s="6"/>
      <c r="MF327" s="6"/>
      <c r="MG327" s="6"/>
      <c r="MH327" s="6"/>
      <c r="MI327" s="6"/>
      <c r="MJ327" s="6"/>
      <c r="MK327" s="6"/>
      <c r="ML327" s="6"/>
      <c r="MM327" s="6"/>
      <c r="MN327" s="6"/>
      <c r="MO327" s="6"/>
      <c r="MP327" s="6"/>
      <c r="MQ327" s="6"/>
      <c r="MR327" s="6"/>
      <c r="MS327" s="6"/>
      <c r="MT327" s="6"/>
      <c r="MU327" s="6"/>
      <c r="MV327" s="6"/>
      <c r="MW327" s="6"/>
      <c r="MX327" s="6"/>
      <c r="MY327" s="6"/>
      <c r="MZ327" s="6"/>
      <c r="NA327" s="6"/>
      <c r="NB327" s="6"/>
      <c r="NC327" s="6"/>
      <c r="ND327" s="6"/>
      <c r="NE327" s="6"/>
      <c r="NF327" s="6"/>
      <c r="NG327" s="6"/>
      <c r="NH327" s="6"/>
      <c r="NI327" s="6"/>
      <c r="NJ327" s="6"/>
      <c r="NK327" s="6"/>
      <c r="NL327" s="6"/>
      <c r="NM327" s="6"/>
      <c r="NN327" s="6"/>
      <c r="NO327" s="6"/>
      <c r="NP327" s="6"/>
      <c r="NQ327" s="6"/>
      <c r="NR327" s="6"/>
      <c r="NS327" s="6"/>
      <c r="NT327" s="6"/>
      <c r="NU327" s="6"/>
      <c r="NV327" s="6"/>
    </row>
    <row r="328" spans="1:386" s="19" customFormat="1" ht="20.100000000000001" customHeight="1" x14ac:dyDescent="0.35">
      <c r="A328" s="1"/>
      <c r="B328" s="2"/>
      <c r="C328" s="3"/>
      <c r="D328" s="2"/>
      <c r="E328" s="2"/>
      <c r="F328" s="4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9"/>
      <c r="FL328" s="9"/>
      <c r="FM328" s="9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135"/>
      <c r="IK328" s="135"/>
      <c r="IL328" s="135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6"/>
      <c r="KZ328" s="6"/>
      <c r="LA328" s="6"/>
      <c r="LB328" s="6"/>
      <c r="LC328" s="6"/>
      <c r="LD328" s="6"/>
      <c r="LE328" s="6"/>
      <c r="LF328" s="6"/>
      <c r="LG328" s="6"/>
      <c r="LH328" s="6"/>
      <c r="LI328" s="6"/>
      <c r="LJ328" s="6"/>
      <c r="LK328" s="6"/>
      <c r="LL328" s="6"/>
      <c r="LM328" s="6"/>
      <c r="LN328" s="6"/>
      <c r="LO328" s="6"/>
      <c r="LP328" s="6"/>
      <c r="LQ328" s="6"/>
      <c r="LR328" s="6"/>
      <c r="LS328" s="6"/>
      <c r="LT328" s="6"/>
      <c r="LU328" s="6"/>
      <c r="LV328" s="6"/>
      <c r="LW328" s="6"/>
      <c r="LX328" s="6"/>
      <c r="LY328" s="6"/>
      <c r="LZ328" s="6"/>
      <c r="MA328" s="6"/>
      <c r="MB328" s="6"/>
      <c r="MC328" s="6"/>
      <c r="MD328" s="6"/>
      <c r="ME328" s="6"/>
      <c r="MF328" s="6"/>
      <c r="MG328" s="6"/>
      <c r="MH328" s="6"/>
      <c r="MI328" s="6"/>
      <c r="MJ328" s="6"/>
      <c r="MK328" s="6"/>
      <c r="ML328" s="6"/>
      <c r="MM328" s="6"/>
      <c r="MN328" s="6"/>
      <c r="MO328" s="6"/>
      <c r="MP328" s="6"/>
      <c r="MQ328" s="6"/>
      <c r="MR328" s="6"/>
      <c r="MS328" s="6"/>
      <c r="MT328" s="6"/>
      <c r="MU328" s="6"/>
      <c r="MV328" s="6"/>
      <c r="MW328" s="6"/>
      <c r="MX328" s="6"/>
      <c r="MY328" s="6"/>
      <c r="MZ328" s="6"/>
      <c r="NA328" s="6"/>
      <c r="NB328" s="6"/>
      <c r="NC328" s="6"/>
      <c r="ND328" s="6"/>
      <c r="NE328" s="6"/>
      <c r="NF328" s="6"/>
      <c r="NG328" s="6"/>
      <c r="NH328" s="6"/>
      <c r="NI328" s="6"/>
      <c r="NJ328" s="6"/>
      <c r="NK328" s="6"/>
      <c r="NL328" s="6"/>
      <c r="NM328" s="6"/>
      <c r="NN328" s="6"/>
      <c r="NO328" s="6"/>
      <c r="NP328" s="6"/>
      <c r="NQ328" s="6"/>
      <c r="NR328" s="6"/>
      <c r="NS328" s="6"/>
      <c r="NT328" s="6"/>
      <c r="NU328" s="6"/>
      <c r="NV328" s="6"/>
    </row>
    <row r="329" spans="1:386" s="19" customFormat="1" ht="20.100000000000001" customHeight="1" x14ac:dyDescent="0.35">
      <c r="A329" s="1"/>
      <c r="B329" s="2"/>
      <c r="C329" s="3"/>
      <c r="D329" s="2"/>
      <c r="E329" s="2"/>
      <c r="F329" s="4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9"/>
      <c r="FL329" s="9"/>
      <c r="FM329" s="9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135"/>
      <c r="IK329" s="135"/>
      <c r="IL329" s="135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6"/>
      <c r="KZ329" s="6"/>
      <c r="LA329" s="6"/>
      <c r="LB329" s="6"/>
      <c r="LC329" s="6"/>
      <c r="LD329" s="6"/>
      <c r="LE329" s="6"/>
      <c r="LF329" s="6"/>
      <c r="LG329" s="6"/>
      <c r="LH329" s="6"/>
      <c r="LI329" s="6"/>
      <c r="LJ329" s="6"/>
      <c r="LK329" s="6"/>
      <c r="LL329" s="6"/>
      <c r="LM329" s="6"/>
      <c r="LN329" s="6"/>
      <c r="LO329" s="6"/>
      <c r="LP329" s="6"/>
      <c r="LQ329" s="6"/>
      <c r="LR329" s="6"/>
      <c r="LS329" s="6"/>
      <c r="LT329" s="6"/>
      <c r="LU329" s="6"/>
      <c r="LV329" s="6"/>
      <c r="LW329" s="6"/>
      <c r="LX329" s="6"/>
      <c r="LY329" s="6"/>
      <c r="LZ329" s="6"/>
      <c r="MA329" s="6"/>
      <c r="MB329" s="6"/>
      <c r="MC329" s="6"/>
      <c r="MD329" s="6"/>
      <c r="ME329" s="6"/>
      <c r="MF329" s="6"/>
      <c r="MG329" s="6"/>
      <c r="MH329" s="6"/>
      <c r="MI329" s="6"/>
      <c r="MJ329" s="6"/>
      <c r="MK329" s="6"/>
      <c r="ML329" s="6"/>
      <c r="MM329" s="6"/>
      <c r="MN329" s="6"/>
      <c r="MO329" s="6"/>
      <c r="MP329" s="6"/>
      <c r="MQ329" s="6"/>
      <c r="MR329" s="6"/>
      <c r="MS329" s="6"/>
      <c r="MT329" s="6"/>
      <c r="MU329" s="6"/>
      <c r="MV329" s="6"/>
      <c r="MW329" s="6"/>
      <c r="MX329" s="6"/>
      <c r="MY329" s="6"/>
      <c r="MZ329" s="6"/>
      <c r="NA329" s="6"/>
      <c r="NB329" s="6"/>
      <c r="NC329" s="6"/>
      <c r="ND329" s="6"/>
      <c r="NE329" s="6"/>
      <c r="NF329" s="6"/>
      <c r="NG329" s="6"/>
      <c r="NH329" s="6"/>
      <c r="NI329" s="6"/>
      <c r="NJ329" s="6"/>
      <c r="NK329" s="6"/>
      <c r="NL329" s="6"/>
      <c r="NM329" s="6"/>
      <c r="NN329" s="6"/>
      <c r="NO329" s="6"/>
      <c r="NP329" s="6"/>
      <c r="NQ329" s="6"/>
      <c r="NR329" s="6"/>
      <c r="NS329" s="6"/>
      <c r="NT329" s="6"/>
      <c r="NU329" s="6"/>
      <c r="NV329" s="6"/>
    </row>
    <row r="330" spans="1:386" s="19" customFormat="1" ht="20.100000000000001" customHeight="1" x14ac:dyDescent="0.35">
      <c r="A330" s="1"/>
      <c r="B330" s="2"/>
      <c r="C330" s="3"/>
      <c r="D330" s="2"/>
      <c r="E330" s="2"/>
      <c r="F330" s="4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9"/>
      <c r="FL330" s="9"/>
      <c r="FM330" s="9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135"/>
      <c r="IK330" s="135"/>
      <c r="IL330" s="135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6"/>
      <c r="KZ330" s="6"/>
      <c r="LA330" s="6"/>
      <c r="LB330" s="6"/>
      <c r="LC330" s="6"/>
      <c r="LD330" s="6"/>
      <c r="LE330" s="6"/>
      <c r="LF330" s="6"/>
      <c r="LG330" s="6"/>
      <c r="LH330" s="6"/>
      <c r="LI330" s="6"/>
      <c r="LJ330" s="6"/>
      <c r="LK330" s="6"/>
      <c r="LL330" s="6"/>
      <c r="LM330" s="6"/>
      <c r="LN330" s="6"/>
      <c r="LO330" s="6"/>
      <c r="LP330" s="6"/>
      <c r="LQ330" s="6"/>
      <c r="LR330" s="6"/>
      <c r="LS330" s="6"/>
      <c r="LT330" s="6"/>
      <c r="LU330" s="6"/>
      <c r="LV330" s="6"/>
      <c r="LW330" s="6"/>
      <c r="LX330" s="6"/>
      <c r="LY330" s="6"/>
      <c r="LZ330" s="6"/>
      <c r="MA330" s="6"/>
      <c r="MB330" s="6"/>
      <c r="MC330" s="6"/>
      <c r="MD330" s="6"/>
      <c r="ME330" s="6"/>
      <c r="MF330" s="6"/>
      <c r="MG330" s="6"/>
      <c r="MH330" s="6"/>
      <c r="MI330" s="6"/>
      <c r="MJ330" s="6"/>
      <c r="MK330" s="6"/>
      <c r="ML330" s="6"/>
      <c r="MM330" s="6"/>
      <c r="MN330" s="6"/>
      <c r="MO330" s="6"/>
      <c r="MP330" s="6"/>
      <c r="MQ330" s="6"/>
      <c r="MR330" s="6"/>
      <c r="MS330" s="6"/>
      <c r="MT330" s="6"/>
      <c r="MU330" s="6"/>
      <c r="MV330" s="6"/>
      <c r="MW330" s="6"/>
      <c r="MX330" s="6"/>
      <c r="MY330" s="6"/>
      <c r="MZ330" s="6"/>
      <c r="NA330" s="6"/>
      <c r="NB330" s="6"/>
      <c r="NC330" s="6"/>
      <c r="ND330" s="6"/>
      <c r="NE330" s="6"/>
      <c r="NF330" s="6"/>
      <c r="NG330" s="6"/>
      <c r="NH330" s="6"/>
      <c r="NI330" s="6"/>
      <c r="NJ330" s="6"/>
      <c r="NK330" s="6"/>
      <c r="NL330" s="6"/>
      <c r="NM330" s="6"/>
      <c r="NN330" s="6"/>
      <c r="NO330" s="6"/>
      <c r="NP330" s="6"/>
      <c r="NQ330" s="6"/>
      <c r="NR330" s="6"/>
      <c r="NS330" s="6"/>
      <c r="NT330" s="6"/>
      <c r="NU330" s="6"/>
      <c r="NV330" s="6"/>
    </row>
    <row r="331" spans="1:386" s="19" customFormat="1" ht="20.100000000000001" customHeight="1" x14ac:dyDescent="0.35">
      <c r="A331" s="1"/>
      <c r="B331" s="2"/>
      <c r="C331" s="3"/>
      <c r="D331" s="2"/>
      <c r="E331" s="2"/>
      <c r="F331" s="4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9"/>
      <c r="FL331" s="9"/>
      <c r="FM331" s="9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135"/>
      <c r="IK331" s="135"/>
      <c r="IL331" s="135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6"/>
      <c r="KZ331" s="6"/>
      <c r="LA331" s="6"/>
      <c r="LB331" s="6"/>
      <c r="LC331" s="6"/>
      <c r="LD331" s="6"/>
      <c r="LE331" s="6"/>
      <c r="LF331" s="6"/>
      <c r="LG331" s="6"/>
      <c r="LH331" s="6"/>
      <c r="LI331" s="6"/>
      <c r="LJ331" s="6"/>
      <c r="LK331" s="6"/>
      <c r="LL331" s="6"/>
      <c r="LM331" s="6"/>
      <c r="LN331" s="6"/>
      <c r="LO331" s="6"/>
      <c r="LP331" s="6"/>
      <c r="LQ331" s="6"/>
      <c r="LR331" s="6"/>
      <c r="LS331" s="6"/>
      <c r="LT331" s="6"/>
      <c r="LU331" s="6"/>
      <c r="LV331" s="6"/>
      <c r="LW331" s="6"/>
      <c r="LX331" s="6"/>
      <c r="LY331" s="6"/>
      <c r="LZ331" s="6"/>
      <c r="MA331" s="6"/>
      <c r="MB331" s="6"/>
      <c r="MC331" s="6"/>
      <c r="MD331" s="6"/>
      <c r="ME331" s="6"/>
      <c r="MF331" s="6"/>
      <c r="MG331" s="6"/>
      <c r="MH331" s="6"/>
      <c r="MI331" s="6"/>
      <c r="MJ331" s="6"/>
      <c r="MK331" s="6"/>
      <c r="ML331" s="6"/>
      <c r="MM331" s="6"/>
      <c r="MN331" s="6"/>
      <c r="MO331" s="6"/>
      <c r="MP331" s="6"/>
      <c r="MQ331" s="6"/>
      <c r="MR331" s="6"/>
      <c r="MS331" s="6"/>
      <c r="MT331" s="6"/>
      <c r="MU331" s="6"/>
      <c r="MV331" s="6"/>
      <c r="MW331" s="6"/>
      <c r="MX331" s="6"/>
      <c r="MY331" s="6"/>
      <c r="MZ331" s="6"/>
      <c r="NA331" s="6"/>
      <c r="NB331" s="6"/>
      <c r="NC331" s="6"/>
      <c r="ND331" s="6"/>
      <c r="NE331" s="6"/>
      <c r="NF331" s="6"/>
      <c r="NG331" s="6"/>
      <c r="NH331" s="6"/>
      <c r="NI331" s="6"/>
      <c r="NJ331" s="6"/>
      <c r="NK331" s="6"/>
      <c r="NL331" s="6"/>
      <c r="NM331" s="6"/>
      <c r="NN331" s="6"/>
      <c r="NO331" s="6"/>
      <c r="NP331" s="6"/>
      <c r="NQ331" s="6"/>
      <c r="NR331" s="6"/>
      <c r="NS331" s="6"/>
      <c r="NT331" s="6"/>
      <c r="NU331" s="6"/>
      <c r="NV331" s="6"/>
    </row>
    <row r="332" spans="1:386" s="19" customFormat="1" ht="20.100000000000001" customHeight="1" x14ac:dyDescent="0.35">
      <c r="A332" s="1"/>
      <c r="B332" s="2"/>
      <c r="C332" s="3"/>
      <c r="D332" s="2"/>
      <c r="E332" s="2"/>
      <c r="F332" s="4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9"/>
      <c r="FL332" s="9"/>
      <c r="FM332" s="9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135"/>
      <c r="IK332" s="135"/>
      <c r="IL332" s="135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6"/>
      <c r="KZ332" s="6"/>
      <c r="LA332" s="6"/>
      <c r="LB332" s="6"/>
      <c r="LC332" s="6"/>
      <c r="LD332" s="6"/>
      <c r="LE332" s="6"/>
      <c r="LF332" s="6"/>
      <c r="LG332" s="6"/>
      <c r="LH332" s="6"/>
      <c r="LI332" s="6"/>
      <c r="LJ332" s="6"/>
      <c r="LK332" s="6"/>
      <c r="LL332" s="6"/>
      <c r="LM332" s="6"/>
      <c r="LN332" s="6"/>
      <c r="LO332" s="6"/>
      <c r="LP332" s="6"/>
      <c r="LQ332" s="6"/>
      <c r="LR332" s="6"/>
      <c r="LS332" s="6"/>
      <c r="LT332" s="6"/>
      <c r="LU332" s="6"/>
      <c r="LV332" s="6"/>
      <c r="LW332" s="6"/>
      <c r="LX332" s="6"/>
      <c r="LY332" s="6"/>
      <c r="LZ332" s="6"/>
      <c r="MA332" s="6"/>
      <c r="MB332" s="6"/>
      <c r="MC332" s="6"/>
      <c r="MD332" s="6"/>
      <c r="ME332" s="6"/>
      <c r="MF332" s="6"/>
      <c r="MG332" s="6"/>
      <c r="MH332" s="6"/>
      <c r="MI332" s="6"/>
      <c r="MJ332" s="6"/>
      <c r="MK332" s="6"/>
      <c r="ML332" s="6"/>
      <c r="MM332" s="6"/>
      <c r="MN332" s="6"/>
      <c r="MO332" s="6"/>
      <c r="MP332" s="6"/>
      <c r="MQ332" s="6"/>
      <c r="MR332" s="6"/>
      <c r="MS332" s="6"/>
      <c r="MT332" s="6"/>
      <c r="MU332" s="6"/>
      <c r="MV332" s="6"/>
      <c r="MW332" s="6"/>
      <c r="MX332" s="6"/>
      <c r="MY332" s="6"/>
      <c r="MZ332" s="6"/>
      <c r="NA332" s="6"/>
      <c r="NB332" s="6"/>
      <c r="NC332" s="6"/>
      <c r="ND332" s="6"/>
      <c r="NE332" s="6"/>
      <c r="NF332" s="6"/>
      <c r="NG332" s="6"/>
      <c r="NH332" s="6"/>
      <c r="NI332" s="6"/>
      <c r="NJ332" s="6"/>
      <c r="NK332" s="6"/>
      <c r="NL332" s="6"/>
      <c r="NM332" s="6"/>
      <c r="NN332" s="6"/>
      <c r="NO332" s="6"/>
      <c r="NP332" s="6"/>
      <c r="NQ332" s="6"/>
      <c r="NR332" s="6"/>
      <c r="NS332" s="6"/>
      <c r="NT332" s="6"/>
      <c r="NU332" s="6"/>
      <c r="NV332" s="6"/>
    </row>
    <row r="333" spans="1:386" s="19" customFormat="1" ht="20.100000000000001" customHeight="1" x14ac:dyDescent="0.35">
      <c r="A333" s="1"/>
      <c r="B333" s="2"/>
      <c r="C333" s="3"/>
      <c r="D333" s="2"/>
      <c r="E333" s="2"/>
      <c r="F333" s="4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9"/>
      <c r="FL333" s="9"/>
      <c r="FM333" s="9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135"/>
      <c r="IK333" s="135"/>
      <c r="IL333" s="135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6"/>
      <c r="KZ333" s="6"/>
      <c r="LA333" s="6"/>
      <c r="LB333" s="6"/>
      <c r="LC333" s="6"/>
      <c r="LD333" s="6"/>
      <c r="LE333" s="6"/>
      <c r="LF333" s="6"/>
      <c r="LG333" s="6"/>
      <c r="LH333" s="6"/>
      <c r="LI333" s="6"/>
      <c r="LJ333" s="6"/>
      <c r="LK333" s="6"/>
      <c r="LL333" s="6"/>
      <c r="LM333" s="6"/>
      <c r="LN333" s="6"/>
      <c r="LO333" s="6"/>
      <c r="LP333" s="6"/>
      <c r="LQ333" s="6"/>
      <c r="LR333" s="6"/>
      <c r="LS333" s="6"/>
      <c r="LT333" s="6"/>
      <c r="LU333" s="6"/>
      <c r="LV333" s="6"/>
      <c r="LW333" s="6"/>
      <c r="LX333" s="6"/>
      <c r="LY333" s="6"/>
      <c r="LZ333" s="6"/>
      <c r="MA333" s="6"/>
      <c r="MB333" s="6"/>
      <c r="MC333" s="6"/>
      <c r="MD333" s="6"/>
      <c r="ME333" s="6"/>
      <c r="MF333" s="6"/>
      <c r="MG333" s="6"/>
      <c r="MH333" s="6"/>
      <c r="MI333" s="6"/>
      <c r="MJ333" s="6"/>
      <c r="MK333" s="6"/>
      <c r="ML333" s="6"/>
      <c r="MM333" s="6"/>
      <c r="MN333" s="6"/>
      <c r="MO333" s="6"/>
      <c r="MP333" s="6"/>
      <c r="MQ333" s="6"/>
      <c r="MR333" s="6"/>
      <c r="MS333" s="6"/>
      <c r="MT333" s="6"/>
      <c r="MU333" s="6"/>
      <c r="MV333" s="6"/>
      <c r="MW333" s="6"/>
      <c r="MX333" s="6"/>
      <c r="MY333" s="6"/>
      <c r="MZ333" s="6"/>
      <c r="NA333" s="6"/>
      <c r="NB333" s="6"/>
      <c r="NC333" s="6"/>
      <c r="ND333" s="6"/>
      <c r="NE333" s="6"/>
      <c r="NF333" s="6"/>
      <c r="NG333" s="6"/>
      <c r="NH333" s="6"/>
      <c r="NI333" s="6"/>
      <c r="NJ333" s="6"/>
      <c r="NK333" s="6"/>
      <c r="NL333" s="6"/>
      <c r="NM333" s="6"/>
      <c r="NN333" s="6"/>
      <c r="NO333" s="6"/>
      <c r="NP333" s="6"/>
      <c r="NQ333" s="6"/>
      <c r="NR333" s="6"/>
      <c r="NS333" s="6"/>
      <c r="NT333" s="6"/>
      <c r="NU333" s="6"/>
      <c r="NV333" s="6"/>
    </row>
    <row r="334" spans="1:386" s="19" customFormat="1" ht="20.100000000000001" customHeight="1" x14ac:dyDescent="0.35">
      <c r="A334" s="1"/>
      <c r="B334" s="2"/>
      <c r="C334" s="3"/>
      <c r="D334" s="2"/>
      <c r="E334" s="2"/>
      <c r="F334" s="4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9"/>
      <c r="FL334" s="9"/>
      <c r="FM334" s="9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135"/>
      <c r="IK334" s="135"/>
      <c r="IL334" s="135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6"/>
      <c r="KZ334" s="6"/>
      <c r="LA334" s="6"/>
      <c r="LB334" s="6"/>
      <c r="LC334" s="6"/>
      <c r="LD334" s="6"/>
      <c r="LE334" s="6"/>
      <c r="LF334" s="6"/>
      <c r="LG334" s="6"/>
      <c r="LH334" s="6"/>
      <c r="LI334" s="6"/>
      <c r="LJ334" s="6"/>
      <c r="LK334" s="6"/>
      <c r="LL334" s="6"/>
      <c r="LM334" s="6"/>
      <c r="LN334" s="6"/>
      <c r="LO334" s="6"/>
      <c r="LP334" s="6"/>
      <c r="LQ334" s="6"/>
      <c r="LR334" s="6"/>
      <c r="LS334" s="6"/>
      <c r="LT334" s="6"/>
      <c r="LU334" s="6"/>
      <c r="LV334" s="6"/>
      <c r="LW334" s="6"/>
      <c r="LX334" s="6"/>
      <c r="LY334" s="6"/>
      <c r="LZ334" s="6"/>
      <c r="MA334" s="6"/>
      <c r="MB334" s="6"/>
      <c r="MC334" s="6"/>
      <c r="MD334" s="6"/>
      <c r="ME334" s="6"/>
      <c r="MF334" s="6"/>
      <c r="MG334" s="6"/>
      <c r="MH334" s="6"/>
      <c r="MI334" s="6"/>
      <c r="MJ334" s="6"/>
      <c r="MK334" s="6"/>
      <c r="ML334" s="6"/>
      <c r="MM334" s="6"/>
      <c r="MN334" s="6"/>
      <c r="MO334" s="6"/>
      <c r="MP334" s="6"/>
      <c r="MQ334" s="6"/>
      <c r="MR334" s="6"/>
      <c r="MS334" s="6"/>
      <c r="MT334" s="6"/>
      <c r="MU334" s="6"/>
      <c r="MV334" s="6"/>
      <c r="MW334" s="6"/>
      <c r="MX334" s="6"/>
      <c r="MY334" s="6"/>
      <c r="MZ334" s="6"/>
      <c r="NA334" s="6"/>
      <c r="NB334" s="6"/>
      <c r="NC334" s="6"/>
      <c r="ND334" s="6"/>
      <c r="NE334" s="6"/>
      <c r="NF334" s="6"/>
      <c r="NG334" s="6"/>
      <c r="NH334" s="6"/>
      <c r="NI334" s="6"/>
      <c r="NJ334" s="6"/>
      <c r="NK334" s="6"/>
      <c r="NL334" s="6"/>
      <c r="NM334" s="6"/>
      <c r="NN334" s="6"/>
      <c r="NO334" s="6"/>
      <c r="NP334" s="6"/>
      <c r="NQ334" s="6"/>
      <c r="NR334" s="6"/>
      <c r="NS334" s="6"/>
      <c r="NT334" s="6"/>
      <c r="NU334" s="6"/>
      <c r="NV334" s="6"/>
    </row>
    <row r="335" spans="1:386" s="19" customFormat="1" ht="20.100000000000001" customHeight="1" x14ac:dyDescent="0.35">
      <c r="A335" s="1"/>
      <c r="B335" s="2"/>
      <c r="C335" s="3"/>
      <c r="D335" s="2"/>
      <c r="E335" s="2"/>
      <c r="F335" s="4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9"/>
      <c r="FL335" s="9"/>
      <c r="FM335" s="9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135"/>
      <c r="IK335" s="135"/>
      <c r="IL335" s="135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J335" s="6"/>
      <c r="JK335" s="6"/>
      <c r="JL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6"/>
      <c r="KZ335" s="6"/>
      <c r="LA335" s="6"/>
      <c r="LB335" s="6"/>
      <c r="LC335" s="6"/>
      <c r="LD335" s="6"/>
      <c r="LE335" s="6"/>
      <c r="LF335" s="6"/>
      <c r="LG335" s="6"/>
      <c r="LH335" s="6"/>
      <c r="LI335" s="6"/>
      <c r="LJ335" s="6"/>
      <c r="LK335" s="6"/>
      <c r="LL335" s="6"/>
      <c r="LM335" s="6"/>
      <c r="LN335" s="6"/>
      <c r="LO335" s="6"/>
      <c r="LP335" s="6"/>
      <c r="LQ335" s="6"/>
      <c r="LR335" s="6"/>
      <c r="LS335" s="6"/>
      <c r="LT335" s="6"/>
      <c r="LU335" s="6"/>
      <c r="LV335" s="6"/>
      <c r="LW335" s="6"/>
      <c r="LX335" s="6"/>
      <c r="LY335" s="6"/>
      <c r="LZ335" s="6"/>
      <c r="MA335" s="6"/>
      <c r="MB335" s="6"/>
      <c r="MC335" s="6"/>
      <c r="MD335" s="6"/>
      <c r="ME335" s="6"/>
      <c r="MF335" s="6"/>
      <c r="MG335" s="6"/>
      <c r="MH335" s="6"/>
      <c r="MI335" s="6"/>
      <c r="MJ335" s="6"/>
      <c r="MK335" s="6"/>
      <c r="ML335" s="6"/>
      <c r="MM335" s="6"/>
      <c r="MN335" s="6"/>
      <c r="MO335" s="6"/>
      <c r="MP335" s="6"/>
      <c r="MQ335" s="6"/>
      <c r="MR335" s="6"/>
      <c r="MS335" s="6"/>
      <c r="MT335" s="6"/>
      <c r="MU335" s="6"/>
      <c r="MV335" s="6"/>
      <c r="MW335" s="6"/>
      <c r="MX335" s="6"/>
      <c r="MY335" s="6"/>
      <c r="MZ335" s="6"/>
      <c r="NA335" s="6"/>
      <c r="NB335" s="6"/>
      <c r="NC335" s="6"/>
      <c r="ND335" s="6"/>
      <c r="NE335" s="6"/>
      <c r="NF335" s="6"/>
      <c r="NG335" s="6"/>
      <c r="NH335" s="6"/>
      <c r="NI335" s="6"/>
      <c r="NJ335" s="6"/>
      <c r="NK335" s="6"/>
      <c r="NL335" s="6"/>
      <c r="NM335" s="6"/>
      <c r="NN335" s="6"/>
      <c r="NO335" s="6"/>
      <c r="NP335" s="6"/>
      <c r="NQ335" s="6"/>
      <c r="NR335" s="6"/>
      <c r="NS335" s="6"/>
      <c r="NT335" s="6"/>
      <c r="NU335" s="6"/>
      <c r="NV335" s="6"/>
    </row>
    <row r="336" spans="1:386" s="19" customFormat="1" ht="20.100000000000001" customHeight="1" x14ac:dyDescent="0.35">
      <c r="A336" s="1"/>
      <c r="B336" s="2"/>
      <c r="C336" s="3"/>
      <c r="D336" s="2"/>
      <c r="E336" s="2"/>
      <c r="F336" s="4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9"/>
      <c r="FL336" s="9"/>
      <c r="FM336" s="9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135"/>
      <c r="IK336" s="135"/>
      <c r="IL336" s="135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6"/>
      <c r="KZ336" s="6"/>
      <c r="LA336" s="6"/>
      <c r="LB336" s="6"/>
      <c r="LC336" s="6"/>
      <c r="LD336" s="6"/>
      <c r="LE336" s="6"/>
      <c r="LF336" s="6"/>
      <c r="LG336" s="6"/>
      <c r="LH336" s="6"/>
      <c r="LI336" s="6"/>
      <c r="LJ336" s="6"/>
      <c r="LK336" s="6"/>
      <c r="LL336" s="6"/>
      <c r="LM336" s="6"/>
      <c r="LN336" s="6"/>
      <c r="LO336" s="6"/>
      <c r="LP336" s="6"/>
      <c r="LQ336" s="6"/>
      <c r="LR336" s="6"/>
      <c r="LS336" s="6"/>
      <c r="LT336" s="6"/>
      <c r="LU336" s="6"/>
      <c r="LV336" s="6"/>
      <c r="LW336" s="6"/>
      <c r="LX336" s="6"/>
      <c r="LY336" s="6"/>
      <c r="LZ336" s="6"/>
      <c r="MA336" s="6"/>
      <c r="MB336" s="6"/>
      <c r="MC336" s="6"/>
      <c r="MD336" s="6"/>
      <c r="ME336" s="6"/>
      <c r="MF336" s="6"/>
      <c r="MG336" s="6"/>
      <c r="MH336" s="6"/>
      <c r="MI336" s="6"/>
      <c r="MJ336" s="6"/>
      <c r="MK336" s="6"/>
      <c r="ML336" s="6"/>
      <c r="MM336" s="6"/>
      <c r="MN336" s="6"/>
      <c r="MO336" s="6"/>
      <c r="MP336" s="6"/>
      <c r="MQ336" s="6"/>
      <c r="MR336" s="6"/>
      <c r="MS336" s="6"/>
      <c r="MT336" s="6"/>
      <c r="MU336" s="6"/>
      <c r="MV336" s="6"/>
      <c r="MW336" s="6"/>
      <c r="MX336" s="6"/>
      <c r="MY336" s="6"/>
      <c r="MZ336" s="6"/>
      <c r="NA336" s="6"/>
      <c r="NB336" s="6"/>
      <c r="NC336" s="6"/>
      <c r="ND336" s="6"/>
      <c r="NE336" s="6"/>
      <c r="NF336" s="6"/>
      <c r="NG336" s="6"/>
      <c r="NH336" s="6"/>
      <c r="NI336" s="6"/>
      <c r="NJ336" s="6"/>
      <c r="NK336" s="6"/>
      <c r="NL336" s="6"/>
      <c r="NM336" s="6"/>
      <c r="NN336" s="6"/>
      <c r="NO336" s="6"/>
      <c r="NP336" s="6"/>
      <c r="NQ336" s="6"/>
      <c r="NR336" s="6"/>
      <c r="NS336" s="6"/>
      <c r="NT336" s="6"/>
      <c r="NU336" s="6"/>
      <c r="NV336" s="6"/>
    </row>
    <row r="337" spans="1:386" s="19" customFormat="1" ht="20.100000000000001" customHeight="1" x14ac:dyDescent="0.35">
      <c r="A337" s="1"/>
      <c r="B337" s="2"/>
      <c r="C337" s="3"/>
      <c r="D337" s="2"/>
      <c r="E337" s="2"/>
      <c r="F337" s="4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9"/>
      <c r="FL337" s="9"/>
      <c r="FM337" s="9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135"/>
      <c r="IK337" s="135"/>
      <c r="IL337" s="135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6"/>
      <c r="KZ337" s="6"/>
      <c r="LA337" s="6"/>
      <c r="LB337" s="6"/>
      <c r="LC337" s="6"/>
      <c r="LD337" s="6"/>
      <c r="LE337" s="6"/>
      <c r="LF337" s="6"/>
      <c r="LG337" s="6"/>
      <c r="LH337" s="6"/>
      <c r="LI337" s="6"/>
      <c r="LJ337" s="6"/>
      <c r="LK337" s="6"/>
      <c r="LL337" s="6"/>
      <c r="LM337" s="6"/>
      <c r="LN337" s="6"/>
      <c r="LO337" s="6"/>
      <c r="LP337" s="6"/>
      <c r="LQ337" s="6"/>
      <c r="LR337" s="6"/>
      <c r="LS337" s="6"/>
      <c r="LT337" s="6"/>
      <c r="LU337" s="6"/>
      <c r="LV337" s="6"/>
      <c r="LW337" s="6"/>
      <c r="LX337" s="6"/>
      <c r="LY337" s="6"/>
      <c r="LZ337" s="6"/>
      <c r="MA337" s="6"/>
      <c r="MB337" s="6"/>
      <c r="MC337" s="6"/>
      <c r="MD337" s="6"/>
      <c r="ME337" s="6"/>
      <c r="MF337" s="6"/>
      <c r="MG337" s="6"/>
      <c r="MH337" s="6"/>
      <c r="MI337" s="6"/>
      <c r="MJ337" s="6"/>
      <c r="MK337" s="6"/>
      <c r="ML337" s="6"/>
      <c r="MM337" s="6"/>
      <c r="MN337" s="6"/>
      <c r="MO337" s="6"/>
      <c r="MP337" s="6"/>
      <c r="MQ337" s="6"/>
      <c r="MR337" s="6"/>
      <c r="MS337" s="6"/>
      <c r="MT337" s="6"/>
      <c r="MU337" s="6"/>
      <c r="MV337" s="6"/>
      <c r="MW337" s="6"/>
      <c r="MX337" s="6"/>
      <c r="MY337" s="6"/>
      <c r="MZ337" s="6"/>
      <c r="NA337" s="6"/>
      <c r="NB337" s="6"/>
      <c r="NC337" s="6"/>
      <c r="ND337" s="6"/>
      <c r="NE337" s="6"/>
      <c r="NF337" s="6"/>
      <c r="NG337" s="6"/>
      <c r="NH337" s="6"/>
      <c r="NI337" s="6"/>
      <c r="NJ337" s="6"/>
      <c r="NK337" s="6"/>
      <c r="NL337" s="6"/>
      <c r="NM337" s="6"/>
      <c r="NN337" s="6"/>
      <c r="NO337" s="6"/>
      <c r="NP337" s="6"/>
      <c r="NQ337" s="6"/>
      <c r="NR337" s="6"/>
      <c r="NS337" s="6"/>
      <c r="NT337" s="6"/>
      <c r="NU337" s="6"/>
      <c r="NV337" s="6"/>
    </row>
    <row r="338" spans="1:386" s="19" customFormat="1" ht="20.100000000000001" customHeight="1" x14ac:dyDescent="0.35">
      <c r="A338" s="1"/>
      <c r="B338" s="2"/>
      <c r="C338" s="3"/>
      <c r="D338" s="2"/>
      <c r="E338" s="2"/>
      <c r="F338" s="4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9"/>
      <c r="FL338" s="9"/>
      <c r="FM338" s="9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135"/>
      <c r="IK338" s="135"/>
      <c r="IL338" s="135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6"/>
      <c r="KZ338" s="6"/>
      <c r="LA338" s="6"/>
      <c r="LB338" s="6"/>
      <c r="LC338" s="6"/>
      <c r="LD338" s="6"/>
      <c r="LE338" s="6"/>
      <c r="LF338" s="6"/>
      <c r="LG338" s="6"/>
      <c r="LH338" s="6"/>
      <c r="LI338" s="6"/>
      <c r="LJ338" s="6"/>
      <c r="LK338" s="6"/>
      <c r="LL338" s="6"/>
      <c r="LM338" s="6"/>
      <c r="LN338" s="6"/>
      <c r="LO338" s="6"/>
      <c r="LP338" s="6"/>
      <c r="LQ338" s="6"/>
      <c r="LR338" s="6"/>
      <c r="LS338" s="6"/>
      <c r="LT338" s="6"/>
      <c r="LU338" s="6"/>
      <c r="LV338" s="6"/>
      <c r="LW338" s="6"/>
      <c r="LX338" s="6"/>
      <c r="LY338" s="6"/>
      <c r="LZ338" s="6"/>
      <c r="MA338" s="6"/>
      <c r="MB338" s="6"/>
      <c r="MC338" s="6"/>
      <c r="MD338" s="6"/>
      <c r="ME338" s="6"/>
      <c r="MF338" s="6"/>
      <c r="MG338" s="6"/>
      <c r="MH338" s="6"/>
      <c r="MI338" s="6"/>
      <c r="MJ338" s="6"/>
      <c r="MK338" s="6"/>
      <c r="ML338" s="6"/>
      <c r="MM338" s="6"/>
      <c r="MN338" s="6"/>
      <c r="MO338" s="6"/>
      <c r="MP338" s="6"/>
      <c r="MQ338" s="6"/>
      <c r="MR338" s="6"/>
      <c r="MS338" s="6"/>
      <c r="MT338" s="6"/>
      <c r="MU338" s="6"/>
      <c r="MV338" s="6"/>
      <c r="MW338" s="6"/>
      <c r="MX338" s="6"/>
      <c r="MY338" s="6"/>
      <c r="MZ338" s="6"/>
      <c r="NA338" s="6"/>
      <c r="NB338" s="6"/>
      <c r="NC338" s="6"/>
      <c r="ND338" s="6"/>
      <c r="NE338" s="6"/>
      <c r="NF338" s="6"/>
      <c r="NG338" s="6"/>
      <c r="NH338" s="6"/>
      <c r="NI338" s="6"/>
      <c r="NJ338" s="6"/>
      <c r="NK338" s="6"/>
      <c r="NL338" s="6"/>
      <c r="NM338" s="6"/>
      <c r="NN338" s="6"/>
      <c r="NO338" s="6"/>
      <c r="NP338" s="6"/>
      <c r="NQ338" s="6"/>
      <c r="NR338" s="6"/>
      <c r="NS338" s="6"/>
      <c r="NT338" s="6"/>
      <c r="NU338" s="6"/>
      <c r="NV338" s="6"/>
    </row>
    <row r="339" spans="1:386" s="19" customFormat="1" ht="20.100000000000001" customHeight="1" x14ac:dyDescent="0.35">
      <c r="A339" s="1"/>
      <c r="B339" s="2"/>
      <c r="C339" s="3"/>
      <c r="D339" s="2"/>
      <c r="E339" s="2"/>
      <c r="F339" s="4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9"/>
      <c r="FL339" s="9"/>
      <c r="FM339" s="9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135"/>
      <c r="IK339" s="135"/>
      <c r="IL339" s="135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6"/>
      <c r="KZ339" s="6"/>
      <c r="LA339" s="6"/>
      <c r="LB339" s="6"/>
      <c r="LC339" s="6"/>
      <c r="LD339" s="6"/>
      <c r="LE339" s="6"/>
      <c r="LF339" s="6"/>
      <c r="LG339" s="6"/>
      <c r="LH339" s="6"/>
      <c r="LI339" s="6"/>
      <c r="LJ339" s="6"/>
      <c r="LK339" s="6"/>
      <c r="LL339" s="6"/>
      <c r="LM339" s="6"/>
      <c r="LN339" s="6"/>
      <c r="LO339" s="6"/>
      <c r="LP339" s="6"/>
      <c r="LQ339" s="6"/>
      <c r="LR339" s="6"/>
      <c r="LS339" s="6"/>
      <c r="LT339" s="6"/>
      <c r="LU339" s="6"/>
      <c r="LV339" s="6"/>
      <c r="LW339" s="6"/>
      <c r="LX339" s="6"/>
      <c r="LY339" s="6"/>
      <c r="LZ339" s="6"/>
      <c r="MA339" s="6"/>
      <c r="MB339" s="6"/>
      <c r="MC339" s="6"/>
      <c r="MD339" s="6"/>
      <c r="ME339" s="6"/>
      <c r="MF339" s="6"/>
      <c r="MG339" s="6"/>
      <c r="MH339" s="6"/>
      <c r="MI339" s="6"/>
      <c r="MJ339" s="6"/>
      <c r="MK339" s="6"/>
      <c r="ML339" s="6"/>
      <c r="MM339" s="6"/>
      <c r="MN339" s="6"/>
      <c r="MO339" s="6"/>
      <c r="MP339" s="6"/>
      <c r="MQ339" s="6"/>
      <c r="MR339" s="6"/>
      <c r="MS339" s="6"/>
      <c r="MT339" s="6"/>
      <c r="MU339" s="6"/>
      <c r="MV339" s="6"/>
      <c r="MW339" s="6"/>
      <c r="MX339" s="6"/>
      <c r="MY339" s="6"/>
      <c r="MZ339" s="6"/>
      <c r="NA339" s="6"/>
      <c r="NB339" s="6"/>
      <c r="NC339" s="6"/>
      <c r="ND339" s="6"/>
      <c r="NE339" s="6"/>
      <c r="NF339" s="6"/>
      <c r="NG339" s="6"/>
      <c r="NH339" s="6"/>
      <c r="NI339" s="6"/>
      <c r="NJ339" s="6"/>
      <c r="NK339" s="6"/>
      <c r="NL339" s="6"/>
      <c r="NM339" s="6"/>
      <c r="NN339" s="6"/>
      <c r="NO339" s="6"/>
      <c r="NP339" s="6"/>
      <c r="NQ339" s="6"/>
      <c r="NR339" s="6"/>
      <c r="NS339" s="6"/>
      <c r="NT339" s="6"/>
      <c r="NU339" s="6"/>
      <c r="NV339" s="6"/>
    </row>
    <row r="340" spans="1:386" s="19" customFormat="1" ht="20.100000000000001" customHeight="1" x14ac:dyDescent="0.35">
      <c r="A340" s="1"/>
      <c r="B340" s="2"/>
      <c r="C340" s="3"/>
      <c r="D340" s="2"/>
      <c r="E340" s="2"/>
      <c r="F340" s="4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9"/>
      <c r="FL340" s="9"/>
      <c r="FM340" s="9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135"/>
      <c r="IK340" s="135"/>
      <c r="IL340" s="135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6"/>
      <c r="KZ340" s="6"/>
      <c r="LA340" s="6"/>
      <c r="LB340" s="6"/>
      <c r="LC340" s="6"/>
      <c r="LD340" s="6"/>
      <c r="LE340" s="6"/>
      <c r="LF340" s="6"/>
      <c r="LG340" s="6"/>
      <c r="LH340" s="6"/>
      <c r="LI340" s="6"/>
      <c r="LJ340" s="6"/>
      <c r="LK340" s="6"/>
      <c r="LL340" s="6"/>
      <c r="LM340" s="6"/>
      <c r="LN340" s="6"/>
      <c r="LO340" s="6"/>
      <c r="LP340" s="6"/>
      <c r="LQ340" s="6"/>
      <c r="LR340" s="6"/>
      <c r="LS340" s="6"/>
      <c r="LT340" s="6"/>
      <c r="LU340" s="6"/>
      <c r="LV340" s="6"/>
      <c r="LW340" s="6"/>
      <c r="LX340" s="6"/>
      <c r="LY340" s="6"/>
      <c r="LZ340" s="6"/>
      <c r="MA340" s="6"/>
      <c r="MB340" s="6"/>
      <c r="MC340" s="6"/>
      <c r="MD340" s="6"/>
      <c r="ME340" s="6"/>
      <c r="MF340" s="6"/>
      <c r="MG340" s="6"/>
      <c r="MH340" s="6"/>
      <c r="MI340" s="6"/>
      <c r="MJ340" s="6"/>
      <c r="MK340" s="6"/>
      <c r="ML340" s="6"/>
      <c r="MM340" s="6"/>
      <c r="MN340" s="6"/>
      <c r="MO340" s="6"/>
      <c r="MP340" s="6"/>
      <c r="MQ340" s="6"/>
      <c r="MR340" s="6"/>
      <c r="MS340" s="6"/>
      <c r="MT340" s="6"/>
      <c r="MU340" s="6"/>
      <c r="MV340" s="6"/>
      <c r="MW340" s="6"/>
      <c r="MX340" s="6"/>
      <c r="MY340" s="6"/>
      <c r="MZ340" s="6"/>
      <c r="NA340" s="6"/>
      <c r="NB340" s="6"/>
      <c r="NC340" s="6"/>
      <c r="ND340" s="6"/>
      <c r="NE340" s="6"/>
      <c r="NF340" s="6"/>
      <c r="NG340" s="6"/>
      <c r="NH340" s="6"/>
      <c r="NI340" s="6"/>
      <c r="NJ340" s="6"/>
      <c r="NK340" s="6"/>
      <c r="NL340" s="6"/>
      <c r="NM340" s="6"/>
      <c r="NN340" s="6"/>
      <c r="NO340" s="6"/>
      <c r="NP340" s="6"/>
      <c r="NQ340" s="6"/>
      <c r="NR340" s="6"/>
      <c r="NS340" s="6"/>
      <c r="NT340" s="6"/>
      <c r="NU340" s="6"/>
      <c r="NV340" s="6"/>
    </row>
    <row r="341" spans="1:386" s="19" customFormat="1" ht="20.100000000000001" customHeight="1" x14ac:dyDescent="0.35">
      <c r="A341" s="1"/>
      <c r="B341" s="2"/>
      <c r="C341" s="3"/>
      <c r="D341" s="2"/>
      <c r="E341" s="2"/>
      <c r="F341" s="4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9"/>
      <c r="FL341" s="9"/>
      <c r="FM341" s="9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135"/>
      <c r="IK341" s="135"/>
      <c r="IL341" s="135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6"/>
      <c r="KZ341" s="6"/>
      <c r="LA341" s="6"/>
      <c r="LB341" s="6"/>
      <c r="LC341" s="6"/>
      <c r="LD341" s="6"/>
      <c r="LE341" s="6"/>
      <c r="LF341" s="6"/>
      <c r="LG341" s="6"/>
      <c r="LH341" s="6"/>
      <c r="LI341" s="6"/>
      <c r="LJ341" s="6"/>
      <c r="LK341" s="6"/>
      <c r="LL341" s="6"/>
      <c r="LM341" s="6"/>
      <c r="LN341" s="6"/>
      <c r="LO341" s="6"/>
      <c r="LP341" s="6"/>
      <c r="LQ341" s="6"/>
      <c r="LR341" s="6"/>
      <c r="LS341" s="6"/>
      <c r="LT341" s="6"/>
      <c r="LU341" s="6"/>
      <c r="LV341" s="6"/>
      <c r="LW341" s="6"/>
      <c r="LX341" s="6"/>
      <c r="LY341" s="6"/>
      <c r="LZ341" s="6"/>
      <c r="MA341" s="6"/>
      <c r="MB341" s="6"/>
      <c r="MC341" s="6"/>
      <c r="MD341" s="6"/>
      <c r="ME341" s="6"/>
      <c r="MF341" s="6"/>
      <c r="MG341" s="6"/>
      <c r="MH341" s="6"/>
      <c r="MI341" s="6"/>
      <c r="MJ341" s="6"/>
      <c r="MK341" s="6"/>
      <c r="ML341" s="6"/>
      <c r="MM341" s="6"/>
      <c r="MN341" s="6"/>
      <c r="MO341" s="6"/>
      <c r="MP341" s="6"/>
      <c r="MQ341" s="6"/>
      <c r="MR341" s="6"/>
      <c r="MS341" s="6"/>
      <c r="MT341" s="6"/>
      <c r="MU341" s="6"/>
      <c r="MV341" s="6"/>
      <c r="MW341" s="6"/>
      <c r="MX341" s="6"/>
      <c r="MY341" s="6"/>
      <c r="MZ341" s="6"/>
      <c r="NA341" s="6"/>
      <c r="NB341" s="6"/>
      <c r="NC341" s="6"/>
      <c r="ND341" s="6"/>
      <c r="NE341" s="6"/>
      <c r="NF341" s="6"/>
      <c r="NG341" s="6"/>
      <c r="NH341" s="6"/>
      <c r="NI341" s="6"/>
      <c r="NJ341" s="6"/>
      <c r="NK341" s="6"/>
      <c r="NL341" s="6"/>
      <c r="NM341" s="6"/>
      <c r="NN341" s="6"/>
      <c r="NO341" s="6"/>
      <c r="NP341" s="6"/>
      <c r="NQ341" s="6"/>
      <c r="NR341" s="6"/>
      <c r="NS341" s="6"/>
      <c r="NT341" s="6"/>
      <c r="NU341" s="6"/>
      <c r="NV341" s="6"/>
    </row>
    <row r="342" spans="1:386" s="19" customFormat="1" ht="20.100000000000001" customHeight="1" x14ac:dyDescent="0.35">
      <c r="A342" s="1"/>
      <c r="B342" s="2"/>
      <c r="C342" s="3"/>
      <c r="D342" s="2"/>
      <c r="E342" s="2"/>
      <c r="F342" s="4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9"/>
      <c r="FL342" s="9"/>
      <c r="FM342" s="9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135"/>
      <c r="IK342" s="135"/>
      <c r="IL342" s="135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J342" s="6"/>
      <c r="JK342" s="6"/>
      <c r="JL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6"/>
      <c r="KZ342" s="6"/>
      <c r="LA342" s="6"/>
      <c r="LB342" s="6"/>
      <c r="LC342" s="6"/>
      <c r="LD342" s="6"/>
      <c r="LE342" s="6"/>
      <c r="LF342" s="6"/>
      <c r="LG342" s="6"/>
      <c r="LH342" s="6"/>
      <c r="LI342" s="6"/>
      <c r="LJ342" s="6"/>
      <c r="LK342" s="6"/>
      <c r="LL342" s="6"/>
      <c r="LM342" s="6"/>
      <c r="LN342" s="6"/>
      <c r="LO342" s="6"/>
      <c r="LP342" s="6"/>
      <c r="LQ342" s="6"/>
      <c r="LR342" s="6"/>
      <c r="LS342" s="6"/>
      <c r="LT342" s="6"/>
      <c r="LU342" s="6"/>
      <c r="LV342" s="6"/>
      <c r="LW342" s="6"/>
      <c r="LX342" s="6"/>
      <c r="LY342" s="6"/>
      <c r="LZ342" s="6"/>
      <c r="MA342" s="6"/>
      <c r="MB342" s="6"/>
      <c r="MC342" s="6"/>
      <c r="MD342" s="6"/>
      <c r="ME342" s="6"/>
      <c r="MF342" s="6"/>
      <c r="MG342" s="6"/>
      <c r="MH342" s="6"/>
      <c r="MI342" s="6"/>
      <c r="MJ342" s="6"/>
      <c r="MK342" s="6"/>
      <c r="ML342" s="6"/>
      <c r="MM342" s="6"/>
      <c r="MN342" s="6"/>
      <c r="MO342" s="6"/>
      <c r="MP342" s="6"/>
      <c r="MQ342" s="6"/>
      <c r="MR342" s="6"/>
      <c r="MS342" s="6"/>
      <c r="MT342" s="6"/>
      <c r="MU342" s="6"/>
      <c r="MV342" s="6"/>
      <c r="MW342" s="6"/>
      <c r="MX342" s="6"/>
      <c r="MY342" s="6"/>
      <c r="MZ342" s="6"/>
      <c r="NA342" s="6"/>
      <c r="NB342" s="6"/>
      <c r="NC342" s="6"/>
      <c r="ND342" s="6"/>
      <c r="NE342" s="6"/>
      <c r="NF342" s="6"/>
      <c r="NG342" s="6"/>
      <c r="NH342" s="6"/>
      <c r="NI342" s="6"/>
      <c r="NJ342" s="6"/>
      <c r="NK342" s="6"/>
      <c r="NL342" s="6"/>
      <c r="NM342" s="6"/>
      <c r="NN342" s="6"/>
      <c r="NO342" s="6"/>
      <c r="NP342" s="6"/>
      <c r="NQ342" s="6"/>
      <c r="NR342" s="6"/>
      <c r="NS342" s="6"/>
      <c r="NT342" s="6"/>
      <c r="NU342" s="6"/>
      <c r="NV342" s="6"/>
    </row>
    <row r="343" spans="1:386" s="19" customFormat="1" ht="20.100000000000001" customHeight="1" x14ac:dyDescent="0.35">
      <c r="A343" s="1"/>
      <c r="B343" s="2"/>
      <c r="C343" s="3"/>
      <c r="D343" s="2"/>
      <c r="E343" s="2"/>
      <c r="F343" s="4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9"/>
      <c r="FL343" s="9"/>
      <c r="FM343" s="9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135"/>
      <c r="IK343" s="135"/>
      <c r="IL343" s="135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6"/>
      <c r="KZ343" s="6"/>
      <c r="LA343" s="6"/>
      <c r="LB343" s="6"/>
      <c r="LC343" s="6"/>
      <c r="LD343" s="6"/>
      <c r="LE343" s="6"/>
      <c r="LF343" s="6"/>
      <c r="LG343" s="6"/>
      <c r="LH343" s="6"/>
      <c r="LI343" s="6"/>
      <c r="LJ343" s="6"/>
      <c r="LK343" s="6"/>
      <c r="LL343" s="6"/>
      <c r="LM343" s="6"/>
      <c r="LN343" s="6"/>
      <c r="LO343" s="6"/>
      <c r="LP343" s="6"/>
      <c r="LQ343" s="6"/>
      <c r="LR343" s="6"/>
      <c r="LS343" s="6"/>
      <c r="LT343" s="6"/>
      <c r="LU343" s="6"/>
      <c r="LV343" s="6"/>
      <c r="LW343" s="6"/>
      <c r="LX343" s="6"/>
      <c r="LY343" s="6"/>
      <c r="LZ343" s="6"/>
      <c r="MA343" s="6"/>
      <c r="MB343" s="6"/>
      <c r="MC343" s="6"/>
      <c r="MD343" s="6"/>
      <c r="ME343" s="6"/>
      <c r="MF343" s="6"/>
      <c r="MG343" s="6"/>
      <c r="MH343" s="6"/>
      <c r="MI343" s="6"/>
      <c r="MJ343" s="6"/>
      <c r="MK343" s="6"/>
      <c r="ML343" s="6"/>
      <c r="MM343" s="6"/>
      <c r="MN343" s="6"/>
      <c r="MO343" s="6"/>
      <c r="MP343" s="6"/>
      <c r="MQ343" s="6"/>
      <c r="MR343" s="6"/>
      <c r="MS343" s="6"/>
      <c r="MT343" s="6"/>
      <c r="MU343" s="6"/>
      <c r="MV343" s="6"/>
      <c r="MW343" s="6"/>
      <c r="MX343" s="6"/>
      <c r="MY343" s="6"/>
      <c r="MZ343" s="6"/>
      <c r="NA343" s="6"/>
      <c r="NB343" s="6"/>
      <c r="NC343" s="6"/>
      <c r="ND343" s="6"/>
      <c r="NE343" s="6"/>
      <c r="NF343" s="6"/>
      <c r="NG343" s="6"/>
      <c r="NH343" s="6"/>
      <c r="NI343" s="6"/>
      <c r="NJ343" s="6"/>
      <c r="NK343" s="6"/>
      <c r="NL343" s="6"/>
      <c r="NM343" s="6"/>
      <c r="NN343" s="6"/>
      <c r="NO343" s="6"/>
      <c r="NP343" s="6"/>
      <c r="NQ343" s="6"/>
      <c r="NR343" s="6"/>
      <c r="NS343" s="6"/>
      <c r="NT343" s="6"/>
      <c r="NU343" s="6"/>
      <c r="NV343" s="6"/>
    </row>
    <row r="344" spans="1:386" s="19" customFormat="1" ht="20.100000000000001" customHeight="1" x14ac:dyDescent="0.35">
      <c r="A344" s="1"/>
      <c r="B344" s="2"/>
      <c r="C344" s="3"/>
      <c r="D344" s="2"/>
      <c r="E344" s="2"/>
      <c r="F344" s="4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9"/>
      <c r="FL344" s="9"/>
      <c r="FM344" s="9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135"/>
      <c r="IK344" s="135"/>
      <c r="IL344" s="135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6"/>
      <c r="KZ344" s="6"/>
      <c r="LA344" s="6"/>
      <c r="LB344" s="6"/>
      <c r="LC344" s="6"/>
      <c r="LD344" s="6"/>
      <c r="LE344" s="6"/>
      <c r="LF344" s="6"/>
      <c r="LG344" s="6"/>
      <c r="LH344" s="6"/>
      <c r="LI344" s="6"/>
      <c r="LJ344" s="6"/>
      <c r="LK344" s="6"/>
      <c r="LL344" s="6"/>
      <c r="LM344" s="6"/>
      <c r="LN344" s="6"/>
      <c r="LO344" s="6"/>
      <c r="LP344" s="6"/>
      <c r="LQ344" s="6"/>
      <c r="LR344" s="6"/>
      <c r="LS344" s="6"/>
      <c r="LT344" s="6"/>
      <c r="LU344" s="6"/>
      <c r="LV344" s="6"/>
      <c r="LW344" s="6"/>
      <c r="LX344" s="6"/>
      <c r="LY344" s="6"/>
      <c r="LZ344" s="6"/>
      <c r="MA344" s="6"/>
      <c r="MB344" s="6"/>
      <c r="MC344" s="6"/>
      <c r="MD344" s="6"/>
      <c r="ME344" s="6"/>
      <c r="MF344" s="6"/>
      <c r="MG344" s="6"/>
      <c r="MH344" s="6"/>
      <c r="MI344" s="6"/>
      <c r="MJ344" s="6"/>
      <c r="MK344" s="6"/>
      <c r="ML344" s="6"/>
      <c r="MM344" s="6"/>
      <c r="MN344" s="6"/>
      <c r="MO344" s="6"/>
      <c r="MP344" s="6"/>
      <c r="MQ344" s="6"/>
      <c r="MR344" s="6"/>
      <c r="MS344" s="6"/>
      <c r="MT344" s="6"/>
      <c r="MU344" s="6"/>
      <c r="MV344" s="6"/>
      <c r="MW344" s="6"/>
      <c r="MX344" s="6"/>
      <c r="MY344" s="6"/>
      <c r="MZ344" s="6"/>
      <c r="NA344" s="6"/>
      <c r="NB344" s="6"/>
      <c r="NC344" s="6"/>
      <c r="ND344" s="6"/>
      <c r="NE344" s="6"/>
      <c r="NF344" s="6"/>
      <c r="NG344" s="6"/>
      <c r="NH344" s="6"/>
      <c r="NI344" s="6"/>
      <c r="NJ344" s="6"/>
      <c r="NK344" s="6"/>
      <c r="NL344" s="6"/>
      <c r="NM344" s="6"/>
      <c r="NN344" s="6"/>
      <c r="NO344" s="6"/>
      <c r="NP344" s="6"/>
      <c r="NQ344" s="6"/>
      <c r="NR344" s="6"/>
      <c r="NS344" s="6"/>
      <c r="NT344" s="6"/>
      <c r="NU344" s="6"/>
      <c r="NV344" s="6"/>
    </row>
    <row r="345" spans="1:386" s="19" customFormat="1" ht="20.100000000000001" customHeight="1" x14ac:dyDescent="0.35">
      <c r="A345" s="1"/>
      <c r="B345" s="2"/>
      <c r="C345" s="3"/>
      <c r="D345" s="2"/>
      <c r="E345" s="2"/>
      <c r="F345" s="4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9"/>
      <c r="FL345" s="9"/>
      <c r="FM345" s="9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135"/>
      <c r="IK345" s="135"/>
      <c r="IL345" s="135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6"/>
      <c r="KZ345" s="6"/>
      <c r="LA345" s="6"/>
      <c r="LB345" s="6"/>
      <c r="LC345" s="6"/>
      <c r="LD345" s="6"/>
      <c r="LE345" s="6"/>
      <c r="LF345" s="6"/>
      <c r="LG345" s="6"/>
      <c r="LH345" s="6"/>
      <c r="LI345" s="6"/>
      <c r="LJ345" s="6"/>
      <c r="LK345" s="6"/>
      <c r="LL345" s="6"/>
      <c r="LM345" s="6"/>
      <c r="LN345" s="6"/>
      <c r="LO345" s="6"/>
      <c r="LP345" s="6"/>
      <c r="LQ345" s="6"/>
      <c r="LR345" s="6"/>
      <c r="LS345" s="6"/>
      <c r="LT345" s="6"/>
      <c r="LU345" s="6"/>
      <c r="LV345" s="6"/>
      <c r="LW345" s="6"/>
      <c r="LX345" s="6"/>
      <c r="LY345" s="6"/>
      <c r="LZ345" s="6"/>
      <c r="MA345" s="6"/>
      <c r="MB345" s="6"/>
      <c r="MC345" s="6"/>
      <c r="MD345" s="6"/>
      <c r="ME345" s="6"/>
      <c r="MF345" s="6"/>
      <c r="MG345" s="6"/>
      <c r="MH345" s="6"/>
      <c r="MI345" s="6"/>
      <c r="MJ345" s="6"/>
      <c r="MK345" s="6"/>
      <c r="ML345" s="6"/>
      <c r="MM345" s="6"/>
      <c r="MN345" s="6"/>
      <c r="MO345" s="6"/>
      <c r="MP345" s="6"/>
      <c r="MQ345" s="6"/>
      <c r="MR345" s="6"/>
      <c r="MS345" s="6"/>
      <c r="MT345" s="6"/>
      <c r="MU345" s="6"/>
      <c r="MV345" s="6"/>
      <c r="MW345" s="6"/>
      <c r="MX345" s="6"/>
      <c r="MY345" s="6"/>
      <c r="MZ345" s="6"/>
      <c r="NA345" s="6"/>
      <c r="NB345" s="6"/>
      <c r="NC345" s="6"/>
      <c r="ND345" s="6"/>
      <c r="NE345" s="6"/>
      <c r="NF345" s="6"/>
      <c r="NG345" s="6"/>
      <c r="NH345" s="6"/>
      <c r="NI345" s="6"/>
      <c r="NJ345" s="6"/>
      <c r="NK345" s="6"/>
      <c r="NL345" s="6"/>
      <c r="NM345" s="6"/>
      <c r="NN345" s="6"/>
      <c r="NO345" s="6"/>
      <c r="NP345" s="6"/>
      <c r="NQ345" s="6"/>
      <c r="NR345" s="6"/>
      <c r="NS345" s="6"/>
      <c r="NT345" s="6"/>
      <c r="NU345" s="6"/>
      <c r="NV345" s="6"/>
    </row>
    <row r="346" spans="1:386" s="19" customFormat="1" ht="20.100000000000001" customHeight="1" x14ac:dyDescent="0.35">
      <c r="A346" s="1"/>
      <c r="B346" s="2"/>
      <c r="C346" s="3"/>
      <c r="D346" s="2"/>
      <c r="E346" s="2"/>
      <c r="F346" s="4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9"/>
      <c r="FL346" s="9"/>
      <c r="FM346" s="9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135"/>
      <c r="IK346" s="135"/>
      <c r="IL346" s="135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6"/>
      <c r="KZ346" s="6"/>
      <c r="LA346" s="6"/>
      <c r="LB346" s="6"/>
      <c r="LC346" s="6"/>
      <c r="LD346" s="6"/>
      <c r="LE346" s="6"/>
      <c r="LF346" s="6"/>
      <c r="LG346" s="6"/>
      <c r="LH346" s="6"/>
      <c r="LI346" s="6"/>
      <c r="LJ346" s="6"/>
      <c r="LK346" s="6"/>
      <c r="LL346" s="6"/>
      <c r="LM346" s="6"/>
      <c r="LN346" s="6"/>
      <c r="LO346" s="6"/>
      <c r="LP346" s="6"/>
      <c r="LQ346" s="6"/>
      <c r="LR346" s="6"/>
      <c r="LS346" s="6"/>
      <c r="LT346" s="6"/>
      <c r="LU346" s="6"/>
      <c r="LV346" s="6"/>
      <c r="LW346" s="6"/>
      <c r="LX346" s="6"/>
      <c r="LY346" s="6"/>
      <c r="LZ346" s="6"/>
      <c r="MA346" s="6"/>
      <c r="MB346" s="6"/>
      <c r="MC346" s="6"/>
      <c r="MD346" s="6"/>
      <c r="ME346" s="6"/>
      <c r="MF346" s="6"/>
      <c r="MG346" s="6"/>
      <c r="MH346" s="6"/>
      <c r="MI346" s="6"/>
      <c r="MJ346" s="6"/>
      <c r="MK346" s="6"/>
      <c r="ML346" s="6"/>
      <c r="MM346" s="6"/>
      <c r="MN346" s="6"/>
      <c r="MO346" s="6"/>
      <c r="MP346" s="6"/>
      <c r="MQ346" s="6"/>
      <c r="MR346" s="6"/>
      <c r="MS346" s="6"/>
      <c r="MT346" s="6"/>
      <c r="MU346" s="6"/>
      <c r="MV346" s="6"/>
      <c r="MW346" s="6"/>
      <c r="MX346" s="6"/>
      <c r="MY346" s="6"/>
      <c r="MZ346" s="6"/>
      <c r="NA346" s="6"/>
      <c r="NB346" s="6"/>
      <c r="NC346" s="6"/>
      <c r="ND346" s="6"/>
      <c r="NE346" s="6"/>
      <c r="NF346" s="6"/>
      <c r="NG346" s="6"/>
      <c r="NH346" s="6"/>
      <c r="NI346" s="6"/>
      <c r="NJ346" s="6"/>
      <c r="NK346" s="6"/>
      <c r="NL346" s="6"/>
      <c r="NM346" s="6"/>
      <c r="NN346" s="6"/>
      <c r="NO346" s="6"/>
      <c r="NP346" s="6"/>
      <c r="NQ346" s="6"/>
      <c r="NR346" s="6"/>
      <c r="NS346" s="6"/>
      <c r="NT346" s="6"/>
      <c r="NU346" s="6"/>
      <c r="NV346" s="6"/>
    </row>
    <row r="347" spans="1:386" s="19" customFormat="1" ht="20.100000000000001" customHeight="1" x14ac:dyDescent="0.35">
      <c r="A347" s="1"/>
      <c r="B347" s="2"/>
      <c r="C347" s="3"/>
      <c r="D347" s="2"/>
      <c r="E347" s="2"/>
      <c r="F347" s="4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9"/>
      <c r="FL347" s="9"/>
      <c r="FM347" s="9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135"/>
      <c r="IK347" s="135"/>
      <c r="IL347" s="135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6"/>
      <c r="KZ347" s="6"/>
      <c r="LA347" s="6"/>
      <c r="LB347" s="6"/>
      <c r="LC347" s="6"/>
      <c r="LD347" s="6"/>
      <c r="LE347" s="6"/>
      <c r="LF347" s="6"/>
      <c r="LG347" s="6"/>
      <c r="LH347" s="6"/>
      <c r="LI347" s="6"/>
      <c r="LJ347" s="6"/>
      <c r="LK347" s="6"/>
      <c r="LL347" s="6"/>
      <c r="LM347" s="6"/>
      <c r="LN347" s="6"/>
      <c r="LO347" s="6"/>
      <c r="LP347" s="6"/>
      <c r="LQ347" s="6"/>
      <c r="LR347" s="6"/>
      <c r="LS347" s="6"/>
      <c r="LT347" s="6"/>
      <c r="LU347" s="6"/>
      <c r="LV347" s="6"/>
      <c r="LW347" s="6"/>
      <c r="LX347" s="6"/>
      <c r="LY347" s="6"/>
      <c r="LZ347" s="6"/>
      <c r="MA347" s="6"/>
      <c r="MB347" s="6"/>
      <c r="MC347" s="6"/>
      <c r="MD347" s="6"/>
      <c r="ME347" s="6"/>
      <c r="MF347" s="6"/>
      <c r="MG347" s="6"/>
      <c r="MH347" s="6"/>
      <c r="MI347" s="6"/>
      <c r="MJ347" s="6"/>
      <c r="MK347" s="6"/>
      <c r="ML347" s="6"/>
      <c r="MM347" s="6"/>
      <c r="MN347" s="6"/>
      <c r="MO347" s="6"/>
      <c r="MP347" s="6"/>
      <c r="MQ347" s="6"/>
      <c r="MR347" s="6"/>
      <c r="MS347" s="6"/>
      <c r="MT347" s="6"/>
      <c r="MU347" s="6"/>
      <c r="MV347" s="6"/>
      <c r="MW347" s="6"/>
      <c r="MX347" s="6"/>
      <c r="MY347" s="6"/>
      <c r="MZ347" s="6"/>
      <c r="NA347" s="6"/>
      <c r="NB347" s="6"/>
      <c r="NC347" s="6"/>
      <c r="ND347" s="6"/>
      <c r="NE347" s="6"/>
      <c r="NF347" s="6"/>
      <c r="NG347" s="6"/>
      <c r="NH347" s="6"/>
      <c r="NI347" s="6"/>
      <c r="NJ347" s="6"/>
      <c r="NK347" s="6"/>
      <c r="NL347" s="6"/>
      <c r="NM347" s="6"/>
      <c r="NN347" s="6"/>
      <c r="NO347" s="6"/>
      <c r="NP347" s="6"/>
      <c r="NQ347" s="6"/>
      <c r="NR347" s="6"/>
      <c r="NS347" s="6"/>
      <c r="NT347" s="6"/>
      <c r="NU347" s="6"/>
      <c r="NV347" s="6"/>
    </row>
    <row r="348" spans="1:386" s="19" customFormat="1" ht="20.100000000000001" customHeight="1" x14ac:dyDescent="0.35">
      <c r="A348" s="1"/>
      <c r="B348" s="2"/>
      <c r="C348" s="3"/>
      <c r="D348" s="2"/>
      <c r="E348" s="2"/>
      <c r="F348" s="4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9"/>
      <c r="FL348" s="9"/>
      <c r="FM348" s="9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135"/>
      <c r="IK348" s="135"/>
      <c r="IL348" s="135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6"/>
      <c r="KZ348" s="6"/>
      <c r="LA348" s="6"/>
      <c r="LB348" s="6"/>
      <c r="LC348" s="6"/>
      <c r="LD348" s="6"/>
      <c r="LE348" s="6"/>
      <c r="LF348" s="6"/>
      <c r="LG348" s="6"/>
      <c r="LH348" s="6"/>
      <c r="LI348" s="6"/>
      <c r="LJ348" s="6"/>
      <c r="LK348" s="6"/>
      <c r="LL348" s="6"/>
      <c r="LM348" s="6"/>
      <c r="LN348" s="6"/>
      <c r="LO348" s="6"/>
      <c r="LP348" s="6"/>
      <c r="LQ348" s="6"/>
      <c r="LR348" s="6"/>
      <c r="LS348" s="6"/>
      <c r="LT348" s="6"/>
      <c r="LU348" s="6"/>
      <c r="LV348" s="6"/>
      <c r="LW348" s="6"/>
      <c r="LX348" s="6"/>
      <c r="LY348" s="6"/>
      <c r="LZ348" s="6"/>
      <c r="MA348" s="6"/>
      <c r="MB348" s="6"/>
      <c r="MC348" s="6"/>
      <c r="MD348" s="6"/>
      <c r="ME348" s="6"/>
      <c r="MF348" s="6"/>
      <c r="MG348" s="6"/>
      <c r="MH348" s="6"/>
      <c r="MI348" s="6"/>
      <c r="MJ348" s="6"/>
      <c r="MK348" s="6"/>
      <c r="ML348" s="6"/>
      <c r="MM348" s="6"/>
      <c r="MN348" s="6"/>
      <c r="MO348" s="6"/>
      <c r="MP348" s="6"/>
      <c r="MQ348" s="6"/>
      <c r="MR348" s="6"/>
      <c r="MS348" s="6"/>
      <c r="MT348" s="6"/>
      <c r="MU348" s="6"/>
      <c r="MV348" s="6"/>
      <c r="MW348" s="6"/>
      <c r="MX348" s="6"/>
      <c r="MY348" s="6"/>
      <c r="MZ348" s="6"/>
      <c r="NA348" s="6"/>
      <c r="NB348" s="6"/>
      <c r="NC348" s="6"/>
      <c r="ND348" s="6"/>
      <c r="NE348" s="6"/>
      <c r="NF348" s="6"/>
      <c r="NG348" s="6"/>
      <c r="NH348" s="6"/>
      <c r="NI348" s="6"/>
      <c r="NJ348" s="6"/>
      <c r="NK348" s="6"/>
      <c r="NL348" s="6"/>
      <c r="NM348" s="6"/>
      <c r="NN348" s="6"/>
      <c r="NO348" s="6"/>
      <c r="NP348" s="6"/>
      <c r="NQ348" s="6"/>
      <c r="NR348" s="6"/>
      <c r="NS348" s="6"/>
      <c r="NT348" s="6"/>
      <c r="NU348" s="6"/>
      <c r="NV348" s="6"/>
    </row>
    <row r="349" spans="1:386" s="19" customFormat="1" ht="20.100000000000001" customHeight="1" x14ac:dyDescent="0.35">
      <c r="A349" s="1"/>
      <c r="B349" s="2"/>
      <c r="C349" s="3"/>
      <c r="D349" s="2"/>
      <c r="E349" s="2"/>
      <c r="F349" s="4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9"/>
      <c r="FL349" s="9"/>
      <c r="FM349" s="9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135"/>
      <c r="IK349" s="135"/>
      <c r="IL349" s="135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L349" s="6"/>
      <c r="MM349" s="6"/>
      <c r="MN349" s="6"/>
      <c r="MO349" s="6"/>
      <c r="MP349" s="6"/>
      <c r="MQ349" s="6"/>
      <c r="MR349" s="6"/>
      <c r="MS349" s="6"/>
      <c r="MT349" s="6"/>
      <c r="MU349" s="6"/>
      <c r="MV349" s="6"/>
      <c r="MW349" s="6"/>
      <c r="MX349" s="6"/>
      <c r="MY349" s="6"/>
      <c r="MZ349" s="6"/>
      <c r="NA349" s="6"/>
      <c r="NB349" s="6"/>
      <c r="NC349" s="6"/>
      <c r="ND349" s="6"/>
      <c r="NE349" s="6"/>
      <c r="NF349" s="6"/>
      <c r="NG349" s="6"/>
      <c r="NH349" s="6"/>
      <c r="NI349" s="6"/>
      <c r="NJ349" s="6"/>
      <c r="NK349" s="6"/>
      <c r="NL349" s="6"/>
      <c r="NM349" s="6"/>
      <c r="NN349" s="6"/>
      <c r="NO349" s="6"/>
      <c r="NP349" s="6"/>
      <c r="NQ349" s="6"/>
      <c r="NR349" s="6"/>
      <c r="NS349" s="6"/>
      <c r="NT349" s="6"/>
      <c r="NU349" s="6"/>
      <c r="NV349" s="6"/>
    </row>
    <row r="350" spans="1:386" s="19" customFormat="1" ht="20.100000000000001" customHeight="1" x14ac:dyDescent="0.35">
      <c r="A350" s="1"/>
      <c r="B350" s="2"/>
      <c r="C350" s="3"/>
      <c r="D350" s="2"/>
      <c r="E350" s="2"/>
      <c r="F350" s="4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9"/>
      <c r="FL350" s="9"/>
      <c r="FM350" s="9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135"/>
      <c r="IK350" s="135"/>
      <c r="IL350" s="135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L350" s="6"/>
      <c r="MM350" s="6"/>
      <c r="MN350" s="6"/>
      <c r="MO350" s="6"/>
      <c r="MP350" s="6"/>
      <c r="MQ350" s="6"/>
      <c r="MR350" s="6"/>
      <c r="MS350" s="6"/>
      <c r="MT350" s="6"/>
      <c r="MU350" s="6"/>
      <c r="MV350" s="6"/>
      <c r="MW350" s="6"/>
      <c r="MX350" s="6"/>
      <c r="MY350" s="6"/>
      <c r="MZ350" s="6"/>
      <c r="NA350" s="6"/>
      <c r="NB350" s="6"/>
      <c r="NC350" s="6"/>
      <c r="ND350" s="6"/>
      <c r="NE350" s="6"/>
      <c r="NF350" s="6"/>
      <c r="NG350" s="6"/>
      <c r="NH350" s="6"/>
      <c r="NI350" s="6"/>
      <c r="NJ350" s="6"/>
      <c r="NK350" s="6"/>
      <c r="NL350" s="6"/>
      <c r="NM350" s="6"/>
      <c r="NN350" s="6"/>
      <c r="NO350" s="6"/>
      <c r="NP350" s="6"/>
      <c r="NQ350" s="6"/>
      <c r="NR350" s="6"/>
      <c r="NS350" s="6"/>
      <c r="NT350" s="6"/>
      <c r="NU350" s="6"/>
      <c r="NV350" s="6"/>
    </row>
    <row r="351" spans="1:386" s="19" customFormat="1" ht="20.100000000000001" customHeight="1" x14ac:dyDescent="0.35">
      <c r="A351" s="1"/>
      <c r="B351" s="2"/>
      <c r="C351" s="3"/>
      <c r="D351" s="2"/>
      <c r="E351" s="2"/>
      <c r="F351" s="4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9"/>
      <c r="FL351" s="9"/>
      <c r="FM351" s="9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135"/>
      <c r="IK351" s="135"/>
      <c r="IL351" s="135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L351" s="6"/>
      <c r="MM351" s="6"/>
      <c r="MN351" s="6"/>
      <c r="MO351" s="6"/>
      <c r="MP351" s="6"/>
      <c r="MQ351" s="6"/>
      <c r="MR351" s="6"/>
      <c r="MS351" s="6"/>
      <c r="MT351" s="6"/>
      <c r="MU351" s="6"/>
      <c r="MV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H351" s="6"/>
      <c r="NI351" s="6"/>
      <c r="NJ351" s="6"/>
      <c r="NK351" s="6"/>
      <c r="NL351" s="6"/>
      <c r="NM351" s="6"/>
      <c r="NN351" s="6"/>
      <c r="NO351" s="6"/>
      <c r="NP351" s="6"/>
      <c r="NQ351" s="6"/>
      <c r="NR351" s="6"/>
      <c r="NS351" s="6"/>
      <c r="NT351" s="6"/>
      <c r="NU351" s="6"/>
      <c r="NV351" s="6"/>
    </row>
    <row r="352" spans="1:386" s="19" customFormat="1" ht="20.100000000000001" customHeight="1" x14ac:dyDescent="0.35">
      <c r="A352" s="1"/>
      <c r="B352" s="2"/>
      <c r="C352" s="3"/>
      <c r="D352" s="2"/>
      <c r="E352" s="2"/>
      <c r="F352" s="4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9"/>
      <c r="FL352" s="9"/>
      <c r="FM352" s="9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135"/>
      <c r="IK352" s="135"/>
      <c r="IL352" s="135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6"/>
      <c r="LB352" s="6"/>
      <c r="LC352" s="6"/>
      <c r="LD352" s="6"/>
      <c r="LE352" s="6"/>
      <c r="LF352" s="6"/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/>
      <c r="LW352" s="6"/>
      <c r="LX352" s="6"/>
      <c r="LY352" s="6"/>
      <c r="LZ352" s="6"/>
      <c r="MA352" s="6"/>
      <c r="MB352" s="6"/>
      <c r="MC352" s="6"/>
      <c r="MD352" s="6"/>
      <c r="ME352" s="6"/>
      <c r="MF352" s="6"/>
      <c r="MG352" s="6"/>
      <c r="MH352" s="6"/>
      <c r="MI352" s="6"/>
      <c r="MJ352" s="6"/>
      <c r="MK352" s="6"/>
      <c r="ML352" s="6"/>
      <c r="MM352" s="6"/>
      <c r="MN352" s="6"/>
      <c r="MO352" s="6"/>
      <c r="MP352" s="6"/>
      <c r="MQ352" s="6"/>
      <c r="MR352" s="6"/>
      <c r="MS352" s="6"/>
      <c r="MT352" s="6"/>
      <c r="MU352" s="6"/>
      <c r="MV352" s="6"/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6"/>
      <c r="NH352" s="6"/>
      <c r="NI352" s="6"/>
      <c r="NJ352" s="6"/>
      <c r="NK352" s="6"/>
      <c r="NL352" s="6"/>
      <c r="NM352" s="6"/>
      <c r="NN352" s="6"/>
      <c r="NO352" s="6"/>
      <c r="NP352" s="6"/>
      <c r="NQ352" s="6"/>
      <c r="NR352" s="6"/>
      <c r="NS352" s="6"/>
      <c r="NT352" s="6"/>
      <c r="NU352" s="6"/>
      <c r="NV352" s="6"/>
    </row>
    <row r="353" spans="1:386" s="19" customFormat="1" ht="20.100000000000001" customHeight="1" x14ac:dyDescent="0.35">
      <c r="A353" s="1"/>
      <c r="B353" s="2"/>
      <c r="C353" s="3"/>
      <c r="D353" s="2"/>
      <c r="E353" s="2"/>
      <c r="F353" s="4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9"/>
      <c r="FL353" s="9"/>
      <c r="FM353" s="9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135"/>
      <c r="IK353" s="135"/>
      <c r="IL353" s="135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6"/>
      <c r="KZ353" s="6"/>
      <c r="LA353" s="6"/>
      <c r="LB353" s="6"/>
      <c r="LC353" s="6"/>
      <c r="LD353" s="6"/>
      <c r="LE353" s="6"/>
      <c r="LF353" s="6"/>
      <c r="LG353" s="6"/>
      <c r="LH353" s="6"/>
      <c r="LI353" s="6"/>
      <c r="LJ353" s="6"/>
      <c r="LK353" s="6"/>
      <c r="LL353" s="6"/>
      <c r="LM353" s="6"/>
      <c r="LN353" s="6"/>
      <c r="LO353" s="6"/>
      <c r="LP353" s="6"/>
      <c r="LQ353" s="6"/>
      <c r="LR353" s="6"/>
      <c r="LS353" s="6"/>
      <c r="LT353" s="6"/>
      <c r="LU353" s="6"/>
      <c r="LV353" s="6"/>
      <c r="LW353" s="6"/>
      <c r="LX353" s="6"/>
      <c r="LY353" s="6"/>
      <c r="LZ353" s="6"/>
      <c r="MA353" s="6"/>
      <c r="MB353" s="6"/>
      <c r="MC353" s="6"/>
      <c r="MD353" s="6"/>
      <c r="ME353" s="6"/>
      <c r="MF353" s="6"/>
      <c r="MG353" s="6"/>
      <c r="MH353" s="6"/>
      <c r="MI353" s="6"/>
      <c r="MJ353" s="6"/>
      <c r="MK353" s="6"/>
      <c r="ML353" s="6"/>
      <c r="MM353" s="6"/>
      <c r="MN353" s="6"/>
      <c r="MO353" s="6"/>
      <c r="MP353" s="6"/>
      <c r="MQ353" s="6"/>
      <c r="MR353" s="6"/>
      <c r="MS353" s="6"/>
      <c r="MT353" s="6"/>
      <c r="MU353" s="6"/>
      <c r="MV353" s="6"/>
      <c r="MW353" s="6"/>
      <c r="MX353" s="6"/>
      <c r="MY353" s="6"/>
      <c r="MZ353" s="6"/>
      <c r="NA353" s="6"/>
      <c r="NB353" s="6"/>
      <c r="NC353" s="6"/>
      <c r="ND353" s="6"/>
      <c r="NE353" s="6"/>
      <c r="NF353" s="6"/>
      <c r="NG353" s="6"/>
      <c r="NH353" s="6"/>
      <c r="NI353" s="6"/>
      <c r="NJ353" s="6"/>
      <c r="NK353" s="6"/>
      <c r="NL353" s="6"/>
      <c r="NM353" s="6"/>
      <c r="NN353" s="6"/>
      <c r="NO353" s="6"/>
      <c r="NP353" s="6"/>
      <c r="NQ353" s="6"/>
      <c r="NR353" s="6"/>
      <c r="NS353" s="6"/>
      <c r="NT353" s="6"/>
      <c r="NU353" s="6"/>
      <c r="NV353" s="6"/>
    </row>
    <row r="354" spans="1:386" s="19" customFormat="1" ht="20.100000000000001" customHeight="1" x14ac:dyDescent="0.35">
      <c r="A354" s="1"/>
      <c r="B354" s="2"/>
      <c r="C354" s="3"/>
      <c r="D354" s="2"/>
      <c r="E354" s="2"/>
      <c r="F354" s="4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9"/>
      <c r="FL354" s="9"/>
      <c r="FM354" s="9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135"/>
      <c r="IK354" s="135"/>
      <c r="IL354" s="135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6"/>
      <c r="KZ354" s="6"/>
      <c r="LA354" s="6"/>
      <c r="LB354" s="6"/>
      <c r="LC354" s="6"/>
      <c r="LD354" s="6"/>
      <c r="LE354" s="6"/>
      <c r="LF354" s="6"/>
      <c r="LG354" s="6"/>
      <c r="LH354" s="6"/>
      <c r="LI354" s="6"/>
      <c r="LJ354" s="6"/>
      <c r="LK354" s="6"/>
      <c r="LL354" s="6"/>
      <c r="LM354" s="6"/>
      <c r="LN354" s="6"/>
      <c r="LO354" s="6"/>
      <c r="LP354" s="6"/>
      <c r="LQ354" s="6"/>
      <c r="LR354" s="6"/>
      <c r="LS354" s="6"/>
      <c r="LT354" s="6"/>
      <c r="LU354" s="6"/>
      <c r="LV354" s="6"/>
      <c r="LW354" s="6"/>
      <c r="LX354" s="6"/>
      <c r="LY354" s="6"/>
      <c r="LZ354" s="6"/>
      <c r="MA354" s="6"/>
      <c r="MB354" s="6"/>
      <c r="MC354" s="6"/>
      <c r="MD354" s="6"/>
      <c r="ME354" s="6"/>
      <c r="MF354" s="6"/>
      <c r="MG354" s="6"/>
      <c r="MH354" s="6"/>
      <c r="MI354" s="6"/>
      <c r="MJ354" s="6"/>
      <c r="MK354" s="6"/>
      <c r="ML354" s="6"/>
      <c r="MM354" s="6"/>
      <c r="MN354" s="6"/>
      <c r="MO354" s="6"/>
      <c r="MP354" s="6"/>
      <c r="MQ354" s="6"/>
      <c r="MR354" s="6"/>
      <c r="MS354" s="6"/>
      <c r="MT354" s="6"/>
      <c r="MU354" s="6"/>
      <c r="MV354" s="6"/>
      <c r="MW354" s="6"/>
      <c r="MX354" s="6"/>
      <c r="MY354" s="6"/>
      <c r="MZ354" s="6"/>
      <c r="NA354" s="6"/>
      <c r="NB354" s="6"/>
      <c r="NC354" s="6"/>
      <c r="ND354" s="6"/>
      <c r="NE354" s="6"/>
      <c r="NF354" s="6"/>
      <c r="NG354" s="6"/>
      <c r="NH354" s="6"/>
      <c r="NI354" s="6"/>
      <c r="NJ354" s="6"/>
      <c r="NK354" s="6"/>
      <c r="NL354" s="6"/>
      <c r="NM354" s="6"/>
      <c r="NN354" s="6"/>
      <c r="NO354" s="6"/>
      <c r="NP354" s="6"/>
      <c r="NQ354" s="6"/>
      <c r="NR354" s="6"/>
      <c r="NS354" s="6"/>
      <c r="NT354" s="6"/>
      <c r="NU354" s="6"/>
      <c r="NV354" s="6"/>
    </row>
    <row r="355" spans="1:386" s="19" customFormat="1" ht="20.100000000000001" customHeight="1" x14ac:dyDescent="0.35">
      <c r="A355" s="1"/>
      <c r="B355" s="2"/>
      <c r="C355" s="3"/>
      <c r="D355" s="2"/>
      <c r="E355" s="2"/>
      <c r="F355" s="4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9"/>
      <c r="FL355" s="9"/>
      <c r="FM355" s="9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135"/>
      <c r="IK355" s="135"/>
      <c r="IL355" s="135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6"/>
      <c r="KZ355" s="6"/>
      <c r="LA355" s="6"/>
      <c r="LB355" s="6"/>
      <c r="LC355" s="6"/>
      <c r="LD355" s="6"/>
      <c r="LE355" s="6"/>
      <c r="LF355" s="6"/>
      <c r="LG355" s="6"/>
      <c r="LH355" s="6"/>
      <c r="LI355" s="6"/>
      <c r="LJ355" s="6"/>
      <c r="LK355" s="6"/>
      <c r="LL355" s="6"/>
      <c r="LM355" s="6"/>
      <c r="LN355" s="6"/>
      <c r="LO355" s="6"/>
      <c r="LP355" s="6"/>
      <c r="LQ355" s="6"/>
      <c r="LR355" s="6"/>
      <c r="LS355" s="6"/>
      <c r="LT355" s="6"/>
      <c r="LU355" s="6"/>
      <c r="LV355" s="6"/>
      <c r="LW355" s="6"/>
      <c r="LX355" s="6"/>
      <c r="LY355" s="6"/>
      <c r="LZ355" s="6"/>
      <c r="MA355" s="6"/>
      <c r="MB355" s="6"/>
      <c r="MC355" s="6"/>
      <c r="MD355" s="6"/>
      <c r="ME355" s="6"/>
      <c r="MF355" s="6"/>
      <c r="MG355" s="6"/>
      <c r="MH355" s="6"/>
      <c r="MI355" s="6"/>
      <c r="MJ355" s="6"/>
      <c r="MK355" s="6"/>
      <c r="ML355" s="6"/>
      <c r="MM355" s="6"/>
      <c r="MN355" s="6"/>
      <c r="MO355" s="6"/>
      <c r="MP355" s="6"/>
      <c r="MQ355" s="6"/>
      <c r="MR355" s="6"/>
      <c r="MS355" s="6"/>
      <c r="MT355" s="6"/>
      <c r="MU355" s="6"/>
      <c r="MV355" s="6"/>
      <c r="MW355" s="6"/>
      <c r="MX355" s="6"/>
      <c r="MY355" s="6"/>
      <c r="MZ355" s="6"/>
      <c r="NA355" s="6"/>
      <c r="NB355" s="6"/>
      <c r="NC355" s="6"/>
      <c r="ND355" s="6"/>
      <c r="NE355" s="6"/>
      <c r="NF355" s="6"/>
      <c r="NG355" s="6"/>
      <c r="NH355" s="6"/>
      <c r="NI355" s="6"/>
      <c r="NJ355" s="6"/>
      <c r="NK355" s="6"/>
      <c r="NL355" s="6"/>
      <c r="NM355" s="6"/>
      <c r="NN355" s="6"/>
      <c r="NO355" s="6"/>
      <c r="NP355" s="6"/>
      <c r="NQ355" s="6"/>
      <c r="NR355" s="6"/>
      <c r="NS355" s="6"/>
      <c r="NT355" s="6"/>
      <c r="NU355" s="6"/>
      <c r="NV355" s="6"/>
    </row>
    <row r="356" spans="1:386" s="19" customFormat="1" ht="20.100000000000001" customHeight="1" x14ac:dyDescent="0.35">
      <c r="A356" s="1"/>
      <c r="B356" s="2"/>
      <c r="C356" s="3"/>
      <c r="D356" s="2"/>
      <c r="E356" s="2"/>
      <c r="F356" s="4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9"/>
      <c r="FL356" s="9"/>
      <c r="FM356" s="9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135"/>
      <c r="IK356" s="135"/>
      <c r="IL356" s="135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6"/>
      <c r="KZ356" s="6"/>
      <c r="LA356" s="6"/>
      <c r="LB356" s="6"/>
      <c r="LC356" s="6"/>
      <c r="LD356" s="6"/>
      <c r="LE356" s="6"/>
      <c r="LF356" s="6"/>
      <c r="LG356" s="6"/>
      <c r="LH356" s="6"/>
      <c r="LI356" s="6"/>
      <c r="LJ356" s="6"/>
      <c r="LK356" s="6"/>
      <c r="LL356" s="6"/>
      <c r="LM356" s="6"/>
      <c r="LN356" s="6"/>
      <c r="LO356" s="6"/>
      <c r="LP356" s="6"/>
      <c r="LQ356" s="6"/>
      <c r="LR356" s="6"/>
      <c r="LS356" s="6"/>
      <c r="LT356" s="6"/>
      <c r="LU356" s="6"/>
      <c r="LV356" s="6"/>
      <c r="LW356" s="6"/>
      <c r="LX356" s="6"/>
      <c r="LY356" s="6"/>
      <c r="LZ356" s="6"/>
      <c r="MA356" s="6"/>
      <c r="MB356" s="6"/>
      <c r="MC356" s="6"/>
      <c r="MD356" s="6"/>
      <c r="ME356" s="6"/>
      <c r="MF356" s="6"/>
      <c r="MG356" s="6"/>
      <c r="MH356" s="6"/>
      <c r="MI356" s="6"/>
      <c r="MJ356" s="6"/>
      <c r="MK356" s="6"/>
      <c r="ML356" s="6"/>
      <c r="MM356" s="6"/>
      <c r="MN356" s="6"/>
      <c r="MO356" s="6"/>
      <c r="MP356" s="6"/>
      <c r="MQ356" s="6"/>
      <c r="MR356" s="6"/>
      <c r="MS356" s="6"/>
      <c r="MT356" s="6"/>
      <c r="MU356" s="6"/>
      <c r="MV356" s="6"/>
      <c r="MW356" s="6"/>
      <c r="MX356" s="6"/>
      <c r="MY356" s="6"/>
      <c r="MZ356" s="6"/>
      <c r="NA356" s="6"/>
      <c r="NB356" s="6"/>
      <c r="NC356" s="6"/>
      <c r="ND356" s="6"/>
      <c r="NE356" s="6"/>
      <c r="NF356" s="6"/>
      <c r="NG356" s="6"/>
      <c r="NH356" s="6"/>
      <c r="NI356" s="6"/>
      <c r="NJ356" s="6"/>
      <c r="NK356" s="6"/>
      <c r="NL356" s="6"/>
      <c r="NM356" s="6"/>
      <c r="NN356" s="6"/>
      <c r="NO356" s="6"/>
      <c r="NP356" s="6"/>
      <c r="NQ356" s="6"/>
      <c r="NR356" s="6"/>
      <c r="NS356" s="6"/>
      <c r="NT356" s="6"/>
      <c r="NU356" s="6"/>
      <c r="NV356" s="6"/>
    </row>
    <row r="357" spans="1:386" s="19" customFormat="1" ht="20.100000000000001" customHeight="1" x14ac:dyDescent="0.35">
      <c r="A357" s="1"/>
      <c r="B357" s="2"/>
      <c r="C357" s="3"/>
      <c r="D357" s="2"/>
      <c r="E357" s="2"/>
      <c r="F357" s="4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9"/>
      <c r="FL357" s="9"/>
      <c r="FM357" s="9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135"/>
      <c r="IK357" s="135"/>
      <c r="IL357" s="135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6"/>
      <c r="KZ357" s="6"/>
      <c r="LA357" s="6"/>
      <c r="LB357" s="6"/>
      <c r="LC357" s="6"/>
      <c r="LD357" s="6"/>
      <c r="LE357" s="6"/>
      <c r="LF357" s="6"/>
      <c r="LG357" s="6"/>
      <c r="LH357" s="6"/>
      <c r="LI357" s="6"/>
      <c r="LJ357" s="6"/>
      <c r="LK357" s="6"/>
      <c r="LL357" s="6"/>
      <c r="LM357" s="6"/>
      <c r="LN357" s="6"/>
      <c r="LO357" s="6"/>
      <c r="LP357" s="6"/>
      <c r="LQ357" s="6"/>
      <c r="LR357" s="6"/>
      <c r="LS357" s="6"/>
      <c r="LT357" s="6"/>
      <c r="LU357" s="6"/>
      <c r="LV357" s="6"/>
      <c r="LW357" s="6"/>
      <c r="LX357" s="6"/>
      <c r="LY357" s="6"/>
      <c r="LZ357" s="6"/>
      <c r="MA357" s="6"/>
      <c r="MB357" s="6"/>
      <c r="MC357" s="6"/>
      <c r="MD357" s="6"/>
      <c r="ME357" s="6"/>
      <c r="MF357" s="6"/>
      <c r="MG357" s="6"/>
      <c r="MH357" s="6"/>
      <c r="MI357" s="6"/>
      <c r="MJ357" s="6"/>
      <c r="MK357" s="6"/>
      <c r="ML357" s="6"/>
      <c r="MM357" s="6"/>
      <c r="MN357" s="6"/>
      <c r="MO357" s="6"/>
      <c r="MP357" s="6"/>
      <c r="MQ357" s="6"/>
      <c r="MR357" s="6"/>
      <c r="MS357" s="6"/>
      <c r="MT357" s="6"/>
      <c r="MU357" s="6"/>
      <c r="MV357" s="6"/>
      <c r="MW357" s="6"/>
      <c r="MX357" s="6"/>
      <c r="MY357" s="6"/>
      <c r="MZ357" s="6"/>
      <c r="NA357" s="6"/>
      <c r="NB357" s="6"/>
      <c r="NC357" s="6"/>
      <c r="ND357" s="6"/>
      <c r="NE357" s="6"/>
      <c r="NF357" s="6"/>
      <c r="NG357" s="6"/>
      <c r="NH357" s="6"/>
      <c r="NI357" s="6"/>
      <c r="NJ357" s="6"/>
      <c r="NK357" s="6"/>
      <c r="NL357" s="6"/>
      <c r="NM357" s="6"/>
      <c r="NN357" s="6"/>
      <c r="NO357" s="6"/>
      <c r="NP357" s="6"/>
      <c r="NQ357" s="6"/>
      <c r="NR357" s="6"/>
      <c r="NS357" s="6"/>
      <c r="NT357" s="6"/>
      <c r="NU357" s="6"/>
      <c r="NV357" s="6"/>
    </row>
    <row r="358" spans="1:386" s="19" customFormat="1" ht="20.100000000000001" customHeight="1" x14ac:dyDescent="0.35">
      <c r="A358" s="1"/>
      <c r="B358" s="2"/>
      <c r="C358" s="3"/>
      <c r="D358" s="2"/>
      <c r="E358" s="2"/>
      <c r="F358" s="4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9"/>
      <c r="FL358" s="9"/>
      <c r="FM358" s="9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135"/>
      <c r="IK358" s="135"/>
      <c r="IL358" s="135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6"/>
      <c r="KZ358" s="6"/>
      <c r="LA358" s="6"/>
      <c r="LB358" s="6"/>
      <c r="LC358" s="6"/>
      <c r="LD358" s="6"/>
      <c r="LE358" s="6"/>
      <c r="LF358" s="6"/>
      <c r="LG358" s="6"/>
      <c r="LH358" s="6"/>
      <c r="LI358" s="6"/>
      <c r="LJ358" s="6"/>
      <c r="LK358" s="6"/>
      <c r="LL358" s="6"/>
      <c r="LM358" s="6"/>
      <c r="LN358" s="6"/>
      <c r="LO358" s="6"/>
      <c r="LP358" s="6"/>
      <c r="LQ358" s="6"/>
      <c r="LR358" s="6"/>
      <c r="LS358" s="6"/>
      <c r="LT358" s="6"/>
      <c r="LU358" s="6"/>
      <c r="LV358" s="6"/>
      <c r="LW358" s="6"/>
      <c r="LX358" s="6"/>
      <c r="LY358" s="6"/>
      <c r="LZ358" s="6"/>
      <c r="MA358" s="6"/>
      <c r="MB358" s="6"/>
      <c r="MC358" s="6"/>
      <c r="MD358" s="6"/>
      <c r="ME358" s="6"/>
      <c r="MF358" s="6"/>
      <c r="MG358" s="6"/>
      <c r="MH358" s="6"/>
      <c r="MI358" s="6"/>
      <c r="MJ358" s="6"/>
      <c r="MK358" s="6"/>
      <c r="ML358" s="6"/>
      <c r="MM358" s="6"/>
      <c r="MN358" s="6"/>
      <c r="MO358" s="6"/>
      <c r="MP358" s="6"/>
      <c r="MQ358" s="6"/>
      <c r="MR358" s="6"/>
      <c r="MS358" s="6"/>
      <c r="MT358" s="6"/>
      <c r="MU358" s="6"/>
      <c r="MV358" s="6"/>
      <c r="MW358" s="6"/>
      <c r="MX358" s="6"/>
      <c r="MY358" s="6"/>
      <c r="MZ358" s="6"/>
      <c r="NA358" s="6"/>
      <c r="NB358" s="6"/>
      <c r="NC358" s="6"/>
      <c r="ND358" s="6"/>
      <c r="NE358" s="6"/>
      <c r="NF358" s="6"/>
      <c r="NG358" s="6"/>
      <c r="NH358" s="6"/>
      <c r="NI358" s="6"/>
      <c r="NJ358" s="6"/>
      <c r="NK358" s="6"/>
      <c r="NL358" s="6"/>
      <c r="NM358" s="6"/>
      <c r="NN358" s="6"/>
      <c r="NO358" s="6"/>
      <c r="NP358" s="6"/>
      <c r="NQ358" s="6"/>
      <c r="NR358" s="6"/>
      <c r="NS358" s="6"/>
      <c r="NT358" s="6"/>
      <c r="NU358" s="6"/>
      <c r="NV358" s="6"/>
    </row>
    <row r="359" spans="1:386" s="19" customFormat="1" ht="20.100000000000001" customHeight="1" x14ac:dyDescent="0.35">
      <c r="A359" s="1"/>
      <c r="B359" s="2"/>
      <c r="C359" s="3"/>
      <c r="D359" s="2"/>
      <c r="E359" s="2"/>
      <c r="F359" s="4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9"/>
      <c r="FL359" s="9"/>
      <c r="FM359" s="9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135"/>
      <c r="IK359" s="135"/>
      <c r="IL359" s="135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6"/>
      <c r="KZ359" s="6"/>
      <c r="LA359" s="6"/>
      <c r="LB359" s="6"/>
      <c r="LC359" s="6"/>
      <c r="LD359" s="6"/>
      <c r="LE359" s="6"/>
      <c r="LF359" s="6"/>
      <c r="LG359" s="6"/>
      <c r="LH359" s="6"/>
      <c r="LI359" s="6"/>
      <c r="LJ359" s="6"/>
      <c r="LK359" s="6"/>
      <c r="LL359" s="6"/>
      <c r="LM359" s="6"/>
      <c r="LN359" s="6"/>
      <c r="LO359" s="6"/>
      <c r="LP359" s="6"/>
      <c r="LQ359" s="6"/>
      <c r="LR359" s="6"/>
      <c r="LS359" s="6"/>
      <c r="LT359" s="6"/>
      <c r="LU359" s="6"/>
      <c r="LV359" s="6"/>
      <c r="LW359" s="6"/>
      <c r="LX359" s="6"/>
      <c r="LY359" s="6"/>
      <c r="LZ359" s="6"/>
      <c r="MA359" s="6"/>
      <c r="MB359" s="6"/>
      <c r="MC359" s="6"/>
      <c r="MD359" s="6"/>
      <c r="ME359" s="6"/>
      <c r="MF359" s="6"/>
      <c r="MG359" s="6"/>
      <c r="MH359" s="6"/>
      <c r="MI359" s="6"/>
      <c r="MJ359" s="6"/>
      <c r="MK359" s="6"/>
      <c r="ML359" s="6"/>
      <c r="MM359" s="6"/>
      <c r="MN359" s="6"/>
      <c r="MO359" s="6"/>
      <c r="MP359" s="6"/>
      <c r="MQ359" s="6"/>
      <c r="MR359" s="6"/>
      <c r="MS359" s="6"/>
      <c r="MT359" s="6"/>
      <c r="MU359" s="6"/>
      <c r="MV359" s="6"/>
      <c r="MW359" s="6"/>
      <c r="MX359" s="6"/>
      <c r="MY359" s="6"/>
      <c r="MZ359" s="6"/>
      <c r="NA359" s="6"/>
      <c r="NB359" s="6"/>
      <c r="NC359" s="6"/>
      <c r="ND359" s="6"/>
      <c r="NE359" s="6"/>
      <c r="NF359" s="6"/>
      <c r="NG359" s="6"/>
      <c r="NH359" s="6"/>
      <c r="NI359" s="6"/>
      <c r="NJ359" s="6"/>
      <c r="NK359" s="6"/>
      <c r="NL359" s="6"/>
      <c r="NM359" s="6"/>
      <c r="NN359" s="6"/>
      <c r="NO359" s="6"/>
      <c r="NP359" s="6"/>
      <c r="NQ359" s="6"/>
      <c r="NR359" s="6"/>
      <c r="NS359" s="6"/>
      <c r="NT359" s="6"/>
      <c r="NU359" s="6"/>
      <c r="NV359" s="6"/>
    </row>
    <row r="360" spans="1:386" s="19" customFormat="1" ht="20.100000000000001" customHeight="1" x14ac:dyDescent="0.35">
      <c r="A360" s="1"/>
      <c r="B360" s="2"/>
      <c r="C360" s="3"/>
      <c r="D360" s="2"/>
      <c r="E360" s="2"/>
      <c r="F360" s="4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9"/>
      <c r="FL360" s="9"/>
      <c r="FM360" s="9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135"/>
      <c r="IK360" s="135"/>
      <c r="IL360" s="135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6"/>
      <c r="KZ360" s="6"/>
      <c r="LA360" s="6"/>
      <c r="LB360" s="6"/>
      <c r="LC360" s="6"/>
      <c r="LD360" s="6"/>
      <c r="LE360" s="6"/>
      <c r="LF360" s="6"/>
      <c r="LG360" s="6"/>
      <c r="LH360" s="6"/>
      <c r="LI360" s="6"/>
      <c r="LJ360" s="6"/>
      <c r="LK360" s="6"/>
      <c r="LL360" s="6"/>
      <c r="LM360" s="6"/>
      <c r="LN360" s="6"/>
      <c r="LO360" s="6"/>
      <c r="LP360" s="6"/>
      <c r="LQ360" s="6"/>
      <c r="LR360" s="6"/>
      <c r="LS360" s="6"/>
      <c r="LT360" s="6"/>
      <c r="LU360" s="6"/>
      <c r="LV360" s="6"/>
      <c r="LW360" s="6"/>
      <c r="LX360" s="6"/>
      <c r="LY360" s="6"/>
      <c r="LZ360" s="6"/>
      <c r="MA360" s="6"/>
      <c r="MB360" s="6"/>
      <c r="MC360" s="6"/>
      <c r="MD360" s="6"/>
      <c r="ME360" s="6"/>
      <c r="MF360" s="6"/>
      <c r="MG360" s="6"/>
      <c r="MH360" s="6"/>
      <c r="MI360" s="6"/>
      <c r="MJ360" s="6"/>
      <c r="MK360" s="6"/>
      <c r="ML360" s="6"/>
      <c r="MM360" s="6"/>
      <c r="MN360" s="6"/>
      <c r="MO360" s="6"/>
      <c r="MP360" s="6"/>
      <c r="MQ360" s="6"/>
      <c r="MR360" s="6"/>
      <c r="MS360" s="6"/>
      <c r="MT360" s="6"/>
      <c r="MU360" s="6"/>
      <c r="MV360" s="6"/>
      <c r="MW360" s="6"/>
      <c r="MX360" s="6"/>
      <c r="MY360" s="6"/>
      <c r="MZ360" s="6"/>
      <c r="NA360" s="6"/>
      <c r="NB360" s="6"/>
      <c r="NC360" s="6"/>
      <c r="ND360" s="6"/>
      <c r="NE360" s="6"/>
      <c r="NF360" s="6"/>
      <c r="NG360" s="6"/>
      <c r="NH360" s="6"/>
      <c r="NI360" s="6"/>
      <c r="NJ360" s="6"/>
      <c r="NK360" s="6"/>
      <c r="NL360" s="6"/>
      <c r="NM360" s="6"/>
      <c r="NN360" s="6"/>
      <c r="NO360" s="6"/>
      <c r="NP360" s="6"/>
      <c r="NQ360" s="6"/>
      <c r="NR360" s="6"/>
      <c r="NS360" s="6"/>
      <c r="NT360" s="6"/>
      <c r="NU360" s="6"/>
      <c r="NV360" s="6"/>
    </row>
    <row r="361" spans="1:386" s="19" customFormat="1" ht="20.100000000000001" customHeight="1" x14ac:dyDescent="0.35">
      <c r="A361" s="1"/>
      <c r="B361" s="2"/>
      <c r="C361" s="3"/>
      <c r="D361" s="2"/>
      <c r="E361" s="2"/>
      <c r="F361" s="4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9"/>
      <c r="FL361" s="9"/>
      <c r="FM361" s="9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135"/>
      <c r="IK361" s="135"/>
      <c r="IL361" s="135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6"/>
      <c r="KZ361" s="6"/>
      <c r="LA361" s="6"/>
      <c r="LB361" s="6"/>
      <c r="LC361" s="6"/>
      <c r="LD361" s="6"/>
      <c r="LE361" s="6"/>
      <c r="LF361" s="6"/>
      <c r="LG361" s="6"/>
      <c r="LH361" s="6"/>
      <c r="LI361" s="6"/>
      <c r="LJ361" s="6"/>
      <c r="LK361" s="6"/>
      <c r="LL361" s="6"/>
      <c r="LM361" s="6"/>
      <c r="LN361" s="6"/>
      <c r="LO361" s="6"/>
      <c r="LP361" s="6"/>
      <c r="LQ361" s="6"/>
      <c r="LR361" s="6"/>
      <c r="LS361" s="6"/>
      <c r="LT361" s="6"/>
      <c r="LU361" s="6"/>
      <c r="LV361" s="6"/>
      <c r="LW361" s="6"/>
      <c r="LX361" s="6"/>
      <c r="LY361" s="6"/>
      <c r="LZ361" s="6"/>
      <c r="MA361" s="6"/>
      <c r="MB361" s="6"/>
      <c r="MC361" s="6"/>
      <c r="MD361" s="6"/>
      <c r="ME361" s="6"/>
      <c r="MF361" s="6"/>
      <c r="MG361" s="6"/>
      <c r="MH361" s="6"/>
      <c r="MI361" s="6"/>
      <c r="MJ361" s="6"/>
      <c r="MK361" s="6"/>
      <c r="ML361" s="6"/>
      <c r="MM361" s="6"/>
      <c r="MN361" s="6"/>
      <c r="MO361" s="6"/>
      <c r="MP361" s="6"/>
      <c r="MQ361" s="6"/>
      <c r="MR361" s="6"/>
      <c r="MS361" s="6"/>
      <c r="MT361" s="6"/>
      <c r="MU361" s="6"/>
      <c r="MV361" s="6"/>
      <c r="MW361" s="6"/>
      <c r="MX361" s="6"/>
      <c r="MY361" s="6"/>
      <c r="MZ361" s="6"/>
      <c r="NA361" s="6"/>
      <c r="NB361" s="6"/>
      <c r="NC361" s="6"/>
      <c r="ND361" s="6"/>
      <c r="NE361" s="6"/>
      <c r="NF361" s="6"/>
      <c r="NG361" s="6"/>
      <c r="NH361" s="6"/>
      <c r="NI361" s="6"/>
      <c r="NJ361" s="6"/>
      <c r="NK361" s="6"/>
      <c r="NL361" s="6"/>
      <c r="NM361" s="6"/>
      <c r="NN361" s="6"/>
      <c r="NO361" s="6"/>
      <c r="NP361" s="6"/>
      <c r="NQ361" s="6"/>
      <c r="NR361" s="6"/>
      <c r="NS361" s="6"/>
      <c r="NT361" s="6"/>
      <c r="NU361" s="6"/>
      <c r="NV361" s="6"/>
    </row>
    <row r="362" spans="1:386" s="19" customFormat="1" ht="20.100000000000001" customHeight="1" x14ac:dyDescent="0.35">
      <c r="A362" s="1"/>
      <c r="B362" s="2"/>
      <c r="C362" s="3"/>
      <c r="D362" s="2"/>
      <c r="E362" s="2"/>
      <c r="F362" s="4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9"/>
      <c r="FL362" s="9"/>
      <c r="FM362" s="9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135"/>
      <c r="IK362" s="135"/>
      <c r="IL362" s="135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6"/>
      <c r="KZ362" s="6"/>
      <c r="LA362" s="6"/>
      <c r="LB362" s="6"/>
      <c r="LC362" s="6"/>
      <c r="LD362" s="6"/>
      <c r="LE362" s="6"/>
      <c r="LF362" s="6"/>
      <c r="LG362" s="6"/>
      <c r="LH362" s="6"/>
      <c r="LI362" s="6"/>
      <c r="LJ362" s="6"/>
      <c r="LK362" s="6"/>
      <c r="LL362" s="6"/>
      <c r="LM362" s="6"/>
      <c r="LN362" s="6"/>
      <c r="LO362" s="6"/>
      <c r="LP362" s="6"/>
      <c r="LQ362" s="6"/>
      <c r="LR362" s="6"/>
      <c r="LS362" s="6"/>
      <c r="LT362" s="6"/>
      <c r="LU362" s="6"/>
      <c r="LV362" s="6"/>
      <c r="LW362" s="6"/>
      <c r="LX362" s="6"/>
      <c r="LY362" s="6"/>
      <c r="LZ362" s="6"/>
      <c r="MA362" s="6"/>
      <c r="MB362" s="6"/>
      <c r="MC362" s="6"/>
      <c r="MD362" s="6"/>
      <c r="ME362" s="6"/>
      <c r="MF362" s="6"/>
      <c r="MG362" s="6"/>
      <c r="MH362" s="6"/>
      <c r="MI362" s="6"/>
      <c r="MJ362" s="6"/>
      <c r="MK362" s="6"/>
      <c r="ML362" s="6"/>
      <c r="MM362" s="6"/>
      <c r="MN362" s="6"/>
      <c r="MO362" s="6"/>
      <c r="MP362" s="6"/>
      <c r="MQ362" s="6"/>
      <c r="MR362" s="6"/>
      <c r="MS362" s="6"/>
      <c r="MT362" s="6"/>
      <c r="MU362" s="6"/>
      <c r="MV362" s="6"/>
      <c r="MW362" s="6"/>
      <c r="MX362" s="6"/>
      <c r="MY362" s="6"/>
      <c r="MZ362" s="6"/>
      <c r="NA362" s="6"/>
      <c r="NB362" s="6"/>
      <c r="NC362" s="6"/>
      <c r="ND362" s="6"/>
      <c r="NE362" s="6"/>
      <c r="NF362" s="6"/>
      <c r="NG362" s="6"/>
      <c r="NH362" s="6"/>
      <c r="NI362" s="6"/>
      <c r="NJ362" s="6"/>
      <c r="NK362" s="6"/>
      <c r="NL362" s="6"/>
      <c r="NM362" s="6"/>
      <c r="NN362" s="6"/>
      <c r="NO362" s="6"/>
      <c r="NP362" s="6"/>
      <c r="NQ362" s="6"/>
      <c r="NR362" s="6"/>
      <c r="NS362" s="6"/>
      <c r="NT362" s="6"/>
      <c r="NU362" s="6"/>
      <c r="NV362" s="6"/>
    </row>
    <row r="363" spans="1:386" s="19" customFormat="1" ht="20.100000000000001" customHeight="1" x14ac:dyDescent="0.35">
      <c r="A363" s="1"/>
      <c r="B363" s="2"/>
      <c r="C363" s="3"/>
      <c r="D363" s="2"/>
      <c r="E363" s="2"/>
      <c r="F363" s="4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9"/>
      <c r="FL363" s="9"/>
      <c r="FM363" s="9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135"/>
      <c r="IK363" s="135"/>
      <c r="IL363" s="135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6"/>
      <c r="KZ363" s="6"/>
      <c r="LA363" s="6"/>
      <c r="LB363" s="6"/>
      <c r="LC363" s="6"/>
      <c r="LD363" s="6"/>
      <c r="LE363" s="6"/>
      <c r="LF363" s="6"/>
      <c r="LG363" s="6"/>
      <c r="LH363" s="6"/>
      <c r="LI363" s="6"/>
      <c r="LJ363" s="6"/>
      <c r="LK363" s="6"/>
      <c r="LL363" s="6"/>
      <c r="LM363" s="6"/>
      <c r="LN363" s="6"/>
      <c r="LO363" s="6"/>
      <c r="LP363" s="6"/>
      <c r="LQ363" s="6"/>
      <c r="LR363" s="6"/>
      <c r="LS363" s="6"/>
      <c r="LT363" s="6"/>
      <c r="LU363" s="6"/>
      <c r="LV363" s="6"/>
      <c r="LW363" s="6"/>
      <c r="LX363" s="6"/>
      <c r="LY363" s="6"/>
      <c r="LZ363" s="6"/>
      <c r="MA363" s="6"/>
      <c r="MB363" s="6"/>
      <c r="MC363" s="6"/>
      <c r="MD363" s="6"/>
      <c r="ME363" s="6"/>
      <c r="MF363" s="6"/>
      <c r="MG363" s="6"/>
      <c r="MH363" s="6"/>
      <c r="MI363" s="6"/>
      <c r="MJ363" s="6"/>
      <c r="MK363" s="6"/>
      <c r="ML363" s="6"/>
      <c r="MM363" s="6"/>
      <c r="MN363" s="6"/>
      <c r="MO363" s="6"/>
      <c r="MP363" s="6"/>
      <c r="MQ363" s="6"/>
      <c r="MR363" s="6"/>
      <c r="MS363" s="6"/>
      <c r="MT363" s="6"/>
      <c r="MU363" s="6"/>
      <c r="MV363" s="6"/>
      <c r="MW363" s="6"/>
      <c r="MX363" s="6"/>
      <c r="MY363" s="6"/>
      <c r="MZ363" s="6"/>
      <c r="NA363" s="6"/>
      <c r="NB363" s="6"/>
      <c r="NC363" s="6"/>
      <c r="ND363" s="6"/>
      <c r="NE363" s="6"/>
      <c r="NF363" s="6"/>
      <c r="NG363" s="6"/>
      <c r="NH363" s="6"/>
      <c r="NI363" s="6"/>
      <c r="NJ363" s="6"/>
      <c r="NK363" s="6"/>
      <c r="NL363" s="6"/>
      <c r="NM363" s="6"/>
      <c r="NN363" s="6"/>
      <c r="NO363" s="6"/>
      <c r="NP363" s="6"/>
      <c r="NQ363" s="6"/>
      <c r="NR363" s="6"/>
      <c r="NS363" s="6"/>
      <c r="NT363" s="6"/>
      <c r="NU363" s="6"/>
      <c r="NV363" s="6"/>
    </row>
    <row r="364" spans="1:386" s="19" customFormat="1" ht="20.100000000000001" customHeight="1" x14ac:dyDescent="0.35">
      <c r="A364" s="1"/>
      <c r="B364" s="2"/>
      <c r="C364" s="3"/>
      <c r="D364" s="2"/>
      <c r="E364" s="2"/>
      <c r="F364" s="4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9"/>
      <c r="FL364" s="9"/>
      <c r="FM364" s="9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135"/>
      <c r="IK364" s="135"/>
      <c r="IL364" s="135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6"/>
      <c r="KZ364" s="6"/>
      <c r="LA364" s="6"/>
      <c r="LB364" s="6"/>
      <c r="LC364" s="6"/>
      <c r="LD364" s="6"/>
      <c r="LE364" s="6"/>
      <c r="LF364" s="6"/>
      <c r="LG364" s="6"/>
      <c r="LH364" s="6"/>
      <c r="LI364" s="6"/>
      <c r="LJ364" s="6"/>
      <c r="LK364" s="6"/>
      <c r="LL364" s="6"/>
      <c r="LM364" s="6"/>
      <c r="LN364" s="6"/>
      <c r="LO364" s="6"/>
      <c r="LP364" s="6"/>
      <c r="LQ364" s="6"/>
      <c r="LR364" s="6"/>
      <c r="LS364" s="6"/>
      <c r="LT364" s="6"/>
      <c r="LU364" s="6"/>
      <c r="LV364" s="6"/>
      <c r="LW364" s="6"/>
      <c r="LX364" s="6"/>
      <c r="LY364" s="6"/>
      <c r="LZ364" s="6"/>
      <c r="MA364" s="6"/>
      <c r="MB364" s="6"/>
      <c r="MC364" s="6"/>
      <c r="MD364" s="6"/>
      <c r="ME364" s="6"/>
      <c r="MF364" s="6"/>
      <c r="MG364" s="6"/>
      <c r="MH364" s="6"/>
      <c r="MI364" s="6"/>
      <c r="MJ364" s="6"/>
      <c r="MK364" s="6"/>
      <c r="ML364" s="6"/>
      <c r="MM364" s="6"/>
      <c r="MN364" s="6"/>
      <c r="MO364" s="6"/>
      <c r="MP364" s="6"/>
      <c r="MQ364" s="6"/>
      <c r="MR364" s="6"/>
      <c r="MS364" s="6"/>
      <c r="MT364" s="6"/>
      <c r="MU364" s="6"/>
      <c r="MV364" s="6"/>
      <c r="MW364" s="6"/>
      <c r="MX364" s="6"/>
      <c r="MY364" s="6"/>
      <c r="MZ364" s="6"/>
      <c r="NA364" s="6"/>
      <c r="NB364" s="6"/>
      <c r="NC364" s="6"/>
      <c r="ND364" s="6"/>
      <c r="NE364" s="6"/>
      <c r="NF364" s="6"/>
      <c r="NG364" s="6"/>
      <c r="NH364" s="6"/>
      <c r="NI364" s="6"/>
      <c r="NJ364" s="6"/>
      <c r="NK364" s="6"/>
      <c r="NL364" s="6"/>
      <c r="NM364" s="6"/>
      <c r="NN364" s="6"/>
      <c r="NO364" s="6"/>
      <c r="NP364" s="6"/>
      <c r="NQ364" s="6"/>
      <c r="NR364" s="6"/>
      <c r="NS364" s="6"/>
      <c r="NT364" s="6"/>
      <c r="NU364" s="6"/>
      <c r="NV364" s="6"/>
    </row>
    <row r="365" spans="1:386" s="19" customFormat="1" ht="20.100000000000001" customHeight="1" x14ac:dyDescent="0.35">
      <c r="A365" s="1"/>
      <c r="B365" s="2"/>
      <c r="C365" s="3"/>
      <c r="D365" s="2"/>
      <c r="E365" s="2"/>
      <c r="F365" s="4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9"/>
      <c r="FL365" s="9"/>
      <c r="FM365" s="9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135"/>
      <c r="IK365" s="135"/>
      <c r="IL365" s="135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6"/>
      <c r="KZ365" s="6"/>
      <c r="LA365" s="6"/>
      <c r="LB365" s="6"/>
      <c r="LC365" s="6"/>
      <c r="LD365" s="6"/>
      <c r="LE365" s="6"/>
      <c r="LF365" s="6"/>
      <c r="LG365" s="6"/>
      <c r="LH365" s="6"/>
      <c r="LI365" s="6"/>
      <c r="LJ365" s="6"/>
      <c r="LK365" s="6"/>
      <c r="LL365" s="6"/>
      <c r="LM365" s="6"/>
      <c r="LN365" s="6"/>
      <c r="LO365" s="6"/>
      <c r="LP365" s="6"/>
      <c r="LQ365" s="6"/>
      <c r="LR365" s="6"/>
      <c r="LS365" s="6"/>
      <c r="LT365" s="6"/>
      <c r="LU365" s="6"/>
      <c r="LV365" s="6"/>
      <c r="LW365" s="6"/>
      <c r="LX365" s="6"/>
      <c r="LY365" s="6"/>
      <c r="LZ365" s="6"/>
      <c r="MA365" s="6"/>
      <c r="MB365" s="6"/>
      <c r="MC365" s="6"/>
      <c r="MD365" s="6"/>
      <c r="ME365" s="6"/>
      <c r="MF365" s="6"/>
      <c r="MG365" s="6"/>
      <c r="MH365" s="6"/>
      <c r="MI365" s="6"/>
      <c r="MJ365" s="6"/>
      <c r="MK365" s="6"/>
      <c r="ML365" s="6"/>
      <c r="MM365" s="6"/>
      <c r="MN365" s="6"/>
      <c r="MO365" s="6"/>
      <c r="MP365" s="6"/>
      <c r="MQ365" s="6"/>
      <c r="MR365" s="6"/>
      <c r="MS365" s="6"/>
      <c r="MT365" s="6"/>
      <c r="MU365" s="6"/>
      <c r="MV365" s="6"/>
      <c r="MW365" s="6"/>
      <c r="MX365" s="6"/>
      <c r="MY365" s="6"/>
      <c r="MZ365" s="6"/>
      <c r="NA365" s="6"/>
      <c r="NB365" s="6"/>
      <c r="NC365" s="6"/>
      <c r="ND365" s="6"/>
      <c r="NE365" s="6"/>
      <c r="NF365" s="6"/>
      <c r="NG365" s="6"/>
      <c r="NH365" s="6"/>
      <c r="NI365" s="6"/>
      <c r="NJ365" s="6"/>
      <c r="NK365" s="6"/>
      <c r="NL365" s="6"/>
      <c r="NM365" s="6"/>
      <c r="NN365" s="6"/>
      <c r="NO365" s="6"/>
      <c r="NP365" s="6"/>
      <c r="NQ365" s="6"/>
      <c r="NR365" s="6"/>
      <c r="NS365" s="6"/>
      <c r="NT365" s="6"/>
      <c r="NU365" s="6"/>
      <c r="NV365" s="6"/>
    </row>
    <row r="366" spans="1:386" s="19" customFormat="1" ht="20.100000000000001" customHeight="1" x14ac:dyDescent="0.35">
      <c r="A366" s="1"/>
      <c r="B366" s="2"/>
      <c r="C366" s="3"/>
      <c r="D366" s="2"/>
      <c r="E366" s="2"/>
      <c r="F366" s="4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9"/>
      <c r="FL366" s="9"/>
      <c r="FM366" s="9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135"/>
      <c r="IK366" s="135"/>
      <c r="IL366" s="135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6"/>
      <c r="KZ366" s="6"/>
      <c r="LA366" s="6"/>
      <c r="LB366" s="6"/>
      <c r="LC366" s="6"/>
      <c r="LD366" s="6"/>
      <c r="LE366" s="6"/>
      <c r="LF366" s="6"/>
      <c r="LG366" s="6"/>
      <c r="LH366" s="6"/>
      <c r="LI366" s="6"/>
      <c r="LJ366" s="6"/>
      <c r="LK366" s="6"/>
      <c r="LL366" s="6"/>
      <c r="LM366" s="6"/>
      <c r="LN366" s="6"/>
      <c r="LO366" s="6"/>
      <c r="LP366" s="6"/>
      <c r="LQ366" s="6"/>
      <c r="LR366" s="6"/>
      <c r="LS366" s="6"/>
      <c r="LT366" s="6"/>
      <c r="LU366" s="6"/>
      <c r="LV366" s="6"/>
      <c r="LW366" s="6"/>
      <c r="LX366" s="6"/>
      <c r="LY366" s="6"/>
      <c r="LZ366" s="6"/>
      <c r="MA366" s="6"/>
      <c r="MB366" s="6"/>
      <c r="MC366" s="6"/>
      <c r="MD366" s="6"/>
      <c r="ME366" s="6"/>
      <c r="MF366" s="6"/>
      <c r="MG366" s="6"/>
      <c r="MH366" s="6"/>
      <c r="MI366" s="6"/>
      <c r="MJ366" s="6"/>
      <c r="MK366" s="6"/>
      <c r="ML366" s="6"/>
      <c r="MM366" s="6"/>
      <c r="MN366" s="6"/>
      <c r="MO366" s="6"/>
      <c r="MP366" s="6"/>
      <c r="MQ366" s="6"/>
      <c r="MR366" s="6"/>
      <c r="MS366" s="6"/>
      <c r="MT366" s="6"/>
      <c r="MU366" s="6"/>
      <c r="MV366" s="6"/>
      <c r="MW366" s="6"/>
      <c r="MX366" s="6"/>
      <c r="MY366" s="6"/>
      <c r="MZ366" s="6"/>
      <c r="NA366" s="6"/>
      <c r="NB366" s="6"/>
      <c r="NC366" s="6"/>
      <c r="ND366" s="6"/>
      <c r="NE366" s="6"/>
      <c r="NF366" s="6"/>
      <c r="NG366" s="6"/>
      <c r="NH366" s="6"/>
      <c r="NI366" s="6"/>
      <c r="NJ366" s="6"/>
      <c r="NK366" s="6"/>
      <c r="NL366" s="6"/>
      <c r="NM366" s="6"/>
      <c r="NN366" s="6"/>
      <c r="NO366" s="6"/>
      <c r="NP366" s="6"/>
      <c r="NQ366" s="6"/>
      <c r="NR366" s="6"/>
      <c r="NS366" s="6"/>
      <c r="NT366" s="6"/>
      <c r="NU366" s="6"/>
      <c r="NV366" s="6"/>
    </row>
    <row r="367" spans="1:386" s="19" customFormat="1" ht="20.100000000000001" customHeight="1" x14ac:dyDescent="0.35">
      <c r="A367" s="1"/>
      <c r="B367" s="2"/>
      <c r="C367" s="3"/>
      <c r="D367" s="2"/>
      <c r="E367" s="2"/>
      <c r="F367" s="4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9"/>
      <c r="FL367" s="9"/>
      <c r="FM367" s="9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135"/>
      <c r="IK367" s="135"/>
      <c r="IL367" s="135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6"/>
      <c r="KZ367" s="6"/>
      <c r="LA367" s="6"/>
      <c r="LB367" s="6"/>
      <c r="LC367" s="6"/>
      <c r="LD367" s="6"/>
      <c r="LE367" s="6"/>
      <c r="LF367" s="6"/>
      <c r="LG367" s="6"/>
      <c r="LH367" s="6"/>
      <c r="LI367" s="6"/>
      <c r="LJ367" s="6"/>
      <c r="LK367" s="6"/>
      <c r="LL367" s="6"/>
      <c r="LM367" s="6"/>
      <c r="LN367" s="6"/>
      <c r="LO367" s="6"/>
      <c r="LP367" s="6"/>
      <c r="LQ367" s="6"/>
      <c r="LR367" s="6"/>
      <c r="LS367" s="6"/>
      <c r="LT367" s="6"/>
      <c r="LU367" s="6"/>
      <c r="LV367" s="6"/>
      <c r="LW367" s="6"/>
      <c r="LX367" s="6"/>
      <c r="LY367" s="6"/>
      <c r="LZ367" s="6"/>
      <c r="MA367" s="6"/>
      <c r="MB367" s="6"/>
      <c r="MC367" s="6"/>
      <c r="MD367" s="6"/>
      <c r="ME367" s="6"/>
      <c r="MF367" s="6"/>
      <c r="MG367" s="6"/>
      <c r="MH367" s="6"/>
      <c r="MI367" s="6"/>
      <c r="MJ367" s="6"/>
      <c r="MK367" s="6"/>
      <c r="ML367" s="6"/>
      <c r="MM367" s="6"/>
      <c r="MN367" s="6"/>
      <c r="MO367" s="6"/>
      <c r="MP367" s="6"/>
      <c r="MQ367" s="6"/>
      <c r="MR367" s="6"/>
      <c r="MS367" s="6"/>
      <c r="MT367" s="6"/>
      <c r="MU367" s="6"/>
      <c r="MV367" s="6"/>
      <c r="MW367" s="6"/>
      <c r="MX367" s="6"/>
      <c r="MY367" s="6"/>
      <c r="MZ367" s="6"/>
      <c r="NA367" s="6"/>
      <c r="NB367" s="6"/>
      <c r="NC367" s="6"/>
      <c r="ND367" s="6"/>
      <c r="NE367" s="6"/>
      <c r="NF367" s="6"/>
      <c r="NG367" s="6"/>
      <c r="NH367" s="6"/>
      <c r="NI367" s="6"/>
      <c r="NJ367" s="6"/>
      <c r="NK367" s="6"/>
      <c r="NL367" s="6"/>
      <c r="NM367" s="6"/>
      <c r="NN367" s="6"/>
      <c r="NO367" s="6"/>
      <c r="NP367" s="6"/>
      <c r="NQ367" s="6"/>
      <c r="NR367" s="6"/>
      <c r="NS367" s="6"/>
      <c r="NT367" s="6"/>
      <c r="NU367" s="6"/>
      <c r="NV367" s="6"/>
    </row>
    <row r="368" spans="1:386" s="19" customFormat="1" ht="20.100000000000001" customHeight="1" x14ac:dyDescent="0.35">
      <c r="A368" s="1"/>
      <c r="B368" s="2"/>
      <c r="C368" s="3"/>
      <c r="D368" s="2"/>
      <c r="E368" s="2"/>
      <c r="F368" s="4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9"/>
      <c r="FL368" s="9"/>
      <c r="FM368" s="9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135"/>
      <c r="IK368" s="135"/>
      <c r="IL368" s="135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6"/>
      <c r="KZ368" s="6"/>
      <c r="LA368" s="6"/>
      <c r="LB368" s="6"/>
      <c r="LC368" s="6"/>
      <c r="LD368" s="6"/>
      <c r="LE368" s="6"/>
      <c r="LF368" s="6"/>
      <c r="LG368" s="6"/>
      <c r="LH368" s="6"/>
      <c r="LI368" s="6"/>
      <c r="LJ368" s="6"/>
      <c r="LK368" s="6"/>
      <c r="LL368" s="6"/>
      <c r="LM368" s="6"/>
      <c r="LN368" s="6"/>
      <c r="LO368" s="6"/>
      <c r="LP368" s="6"/>
      <c r="LQ368" s="6"/>
      <c r="LR368" s="6"/>
      <c r="LS368" s="6"/>
      <c r="LT368" s="6"/>
      <c r="LU368" s="6"/>
      <c r="LV368" s="6"/>
      <c r="LW368" s="6"/>
      <c r="LX368" s="6"/>
      <c r="LY368" s="6"/>
      <c r="LZ368" s="6"/>
      <c r="MA368" s="6"/>
      <c r="MB368" s="6"/>
      <c r="MC368" s="6"/>
      <c r="MD368" s="6"/>
      <c r="ME368" s="6"/>
      <c r="MF368" s="6"/>
      <c r="MG368" s="6"/>
      <c r="MH368" s="6"/>
      <c r="MI368" s="6"/>
      <c r="MJ368" s="6"/>
      <c r="MK368" s="6"/>
      <c r="ML368" s="6"/>
      <c r="MM368" s="6"/>
      <c r="MN368" s="6"/>
      <c r="MO368" s="6"/>
      <c r="MP368" s="6"/>
      <c r="MQ368" s="6"/>
      <c r="MR368" s="6"/>
      <c r="MS368" s="6"/>
      <c r="MT368" s="6"/>
      <c r="MU368" s="6"/>
      <c r="MV368" s="6"/>
      <c r="MW368" s="6"/>
      <c r="MX368" s="6"/>
      <c r="MY368" s="6"/>
      <c r="MZ368" s="6"/>
      <c r="NA368" s="6"/>
      <c r="NB368" s="6"/>
      <c r="NC368" s="6"/>
      <c r="ND368" s="6"/>
      <c r="NE368" s="6"/>
      <c r="NF368" s="6"/>
      <c r="NG368" s="6"/>
      <c r="NH368" s="6"/>
      <c r="NI368" s="6"/>
      <c r="NJ368" s="6"/>
      <c r="NK368" s="6"/>
      <c r="NL368" s="6"/>
      <c r="NM368" s="6"/>
      <c r="NN368" s="6"/>
      <c r="NO368" s="6"/>
      <c r="NP368" s="6"/>
      <c r="NQ368" s="6"/>
      <c r="NR368" s="6"/>
      <c r="NS368" s="6"/>
      <c r="NT368" s="6"/>
      <c r="NU368" s="6"/>
      <c r="NV368" s="6"/>
    </row>
    <row r="369" spans="1:386" s="19" customFormat="1" ht="20.100000000000001" customHeight="1" x14ac:dyDescent="0.35">
      <c r="A369" s="1"/>
      <c r="B369" s="2"/>
      <c r="C369" s="3"/>
      <c r="D369" s="2"/>
      <c r="E369" s="2"/>
      <c r="F369" s="4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9"/>
      <c r="FL369" s="9"/>
      <c r="FM369" s="9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135"/>
      <c r="IK369" s="135"/>
      <c r="IL369" s="135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J369" s="6"/>
      <c r="JK369" s="6"/>
      <c r="JL369" s="6"/>
      <c r="JM369" s="6"/>
      <c r="JN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6"/>
      <c r="KZ369" s="6"/>
      <c r="LA369" s="6"/>
      <c r="LB369" s="6"/>
      <c r="LC369" s="6"/>
      <c r="LD369" s="6"/>
      <c r="LE369" s="6"/>
      <c r="LF369" s="6"/>
      <c r="LG369" s="6"/>
      <c r="LH369" s="6"/>
      <c r="LI369" s="6"/>
      <c r="LJ369" s="6"/>
      <c r="LK369" s="6"/>
      <c r="LL369" s="6"/>
      <c r="LM369" s="6"/>
      <c r="LN369" s="6"/>
      <c r="LO369" s="6"/>
      <c r="LP369" s="6"/>
      <c r="LQ369" s="6"/>
      <c r="LR369" s="6"/>
      <c r="LS369" s="6"/>
      <c r="LT369" s="6"/>
      <c r="LU369" s="6"/>
      <c r="LV369" s="6"/>
      <c r="LW369" s="6"/>
      <c r="LX369" s="6"/>
      <c r="LY369" s="6"/>
      <c r="LZ369" s="6"/>
      <c r="MA369" s="6"/>
      <c r="MB369" s="6"/>
      <c r="MC369" s="6"/>
      <c r="MD369" s="6"/>
      <c r="ME369" s="6"/>
      <c r="MF369" s="6"/>
      <c r="MG369" s="6"/>
      <c r="MH369" s="6"/>
      <c r="MI369" s="6"/>
      <c r="MJ369" s="6"/>
      <c r="MK369" s="6"/>
      <c r="ML369" s="6"/>
      <c r="MM369" s="6"/>
      <c r="MN369" s="6"/>
      <c r="MO369" s="6"/>
      <c r="MP369" s="6"/>
      <c r="MQ369" s="6"/>
      <c r="MR369" s="6"/>
      <c r="MS369" s="6"/>
      <c r="MT369" s="6"/>
      <c r="MU369" s="6"/>
      <c r="MV369" s="6"/>
      <c r="MW369" s="6"/>
      <c r="MX369" s="6"/>
      <c r="MY369" s="6"/>
      <c r="MZ369" s="6"/>
      <c r="NA369" s="6"/>
      <c r="NB369" s="6"/>
      <c r="NC369" s="6"/>
      <c r="ND369" s="6"/>
      <c r="NE369" s="6"/>
      <c r="NF369" s="6"/>
      <c r="NG369" s="6"/>
      <c r="NH369" s="6"/>
      <c r="NI369" s="6"/>
      <c r="NJ369" s="6"/>
      <c r="NK369" s="6"/>
      <c r="NL369" s="6"/>
      <c r="NM369" s="6"/>
      <c r="NN369" s="6"/>
      <c r="NO369" s="6"/>
      <c r="NP369" s="6"/>
      <c r="NQ369" s="6"/>
      <c r="NR369" s="6"/>
      <c r="NS369" s="6"/>
      <c r="NT369" s="6"/>
      <c r="NU369" s="6"/>
      <c r="NV369" s="6"/>
    </row>
    <row r="370" spans="1:386" s="19" customFormat="1" ht="20.100000000000001" customHeight="1" x14ac:dyDescent="0.35">
      <c r="A370" s="1"/>
      <c r="B370" s="2"/>
      <c r="C370" s="3"/>
      <c r="D370" s="2"/>
      <c r="E370" s="2"/>
      <c r="F370" s="4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9"/>
      <c r="FL370" s="9"/>
      <c r="FM370" s="9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135"/>
      <c r="IK370" s="135"/>
      <c r="IL370" s="135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6"/>
      <c r="KZ370" s="6"/>
      <c r="LA370" s="6"/>
      <c r="LB370" s="6"/>
      <c r="LC370" s="6"/>
      <c r="LD370" s="6"/>
      <c r="LE370" s="6"/>
      <c r="LF370" s="6"/>
      <c r="LG370" s="6"/>
      <c r="LH370" s="6"/>
      <c r="LI370" s="6"/>
      <c r="LJ370" s="6"/>
      <c r="LK370" s="6"/>
      <c r="LL370" s="6"/>
      <c r="LM370" s="6"/>
      <c r="LN370" s="6"/>
      <c r="LO370" s="6"/>
      <c r="LP370" s="6"/>
      <c r="LQ370" s="6"/>
      <c r="LR370" s="6"/>
      <c r="LS370" s="6"/>
      <c r="LT370" s="6"/>
      <c r="LU370" s="6"/>
      <c r="LV370" s="6"/>
      <c r="LW370" s="6"/>
      <c r="LX370" s="6"/>
      <c r="LY370" s="6"/>
      <c r="LZ370" s="6"/>
      <c r="MA370" s="6"/>
      <c r="MB370" s="6"/>
      <c r="MC370" s="6"/>
      <c r="MD370" s="6"/>
      <c r="ME370" s="6"/>
      <c r="MF370" s="6"/>
      <c r="MG370" s="6"/>
      <c r="MH370" s="6"/>
      <c r="MI370" s="6"/>
      <c r="MJ370" s="6"/>
      <c r="MK370" s="6"/>
      <c r="ML370" s="6"/>
      <c r="MM370" s="6"/>
      <c r="MN370" s="6"/>
      <c r="MO370" s="6"/>
      <c r="MP370" s="6"/>
      <c r="MQ370" s="6"/>
      <c r="MR370" s="6"/>
      <c r="MS370" s="6"/>
      <c r="MT370" s="6"/>
      <c r="MU370" s="6"/>
      <c r="MV370" s="6"/>
      <c r="MW370" s="6"/>
      <c r="MX370" s="6"/>
      <c r="MY370" s="6"/>
      <c r="MZ370" s="6"/>
      <c r="NA370" s="6"/>
      <c r="NB370" s="6"/>
      <c r="NC370" s="6"/>
      <c r="ND370" s="6"/>
      <c r="NE370" s="6"/>
      <c r="NF370" s="6"/>
      <c r="NG370" s="6"/>
      <c r="NH370" s="6"/>
      <c r="NI370" s="6"/>
      <c r="NJ370" s="6"/>
      <c r="NK370" s="6"/>
      <c r="NL370" s="6"/>
      <c r="NM370" s="6"/>
      <c r="NN370" s="6"/>
      <c r="NO370" s="6"/>
      <c r="NP370" s="6"/>
      <c r="NQ370" s="6"/>
      <c r="NR370" s="6"/>
      <c r="NS370" s="6"/>
      <c r="NT370" s="6"/>
      <c r="NU370" s="6"/>
      <c r="NV370" s="6"/>
    </row>
    <row r="371" spans="1:386" s="19" customFormat="1" ht="20.100000000000001" customHeight="1" x14ac:dyDescent="0.35">
      <c r="A371" s="1"/>
      <c r="B371" s="2"/>
      <c r="C371" s="3"/>
      <c r="D371" s="2"/>
      <c r="E371" s="2"/>
      <c r="F371" s="4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9"/>
      <c r="FL371" s="9"/>
      <c r="FM371" s="9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135"/>
      <c r="IK371" s="135"/>
      <c r="IL371" s="135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6"/>
      <c r="KZ371" s="6"/>
      <c r="LA371" s="6"/>
      <c r="LB371" s="6"/>
      <c r="LC371" s="6"/>
      <c r="LD371" s="6"/>
      <c r="LE371" s="6"/>
      <c r="LF371" s="6"/>
      <c r="LG371" s="6"/>
      <c r="LH371" s="6"/>
      <c r="LI371" s="6"/>
      <c r="LJ371" s="6"/>
      <c r="LK371" s="6"/>
      <c r="LL371" s="6"/>
      <c r="LM371" s="6"/>
      <c r="LN371" s="6"/>
      <c r="LO371" s="6"/>
      <c r="LP371" s="6"/>
      <c r="LQ371" s="6"/>
      <c r="LR371" s="6"/>
      <c r="LS371" s="6"/>
      <c r="LT371" s="6"/>
      <c r="LU371" s="6"/>
      <c r="LV371" s="6"/>
      <c r="LW371" s="6"/>
      <c r="LX371" s="6"/>
      <c r="LY371" s="6"/>
      <c r="LZ371" s="6"/>
      <c r="MA371" s="6"/>
      <c r="MB371" s="6"/>
      <c r="MC371" s="6"/>
      <c r="MD371" s="6"/>
      <c r="ME371" s="6"/>
      <c r="MF371" s="6"/>
      <c r="MG371" s="6"/>
      <c r="MH371" s="6"/>
      <c r="MI371" s="6"/>
      <c r="MJ371" s="6"/>
      <c r="MK371" s="6"/>
      <c r="ML371" s="6"/>
      <c r="MM371" s="6"/>
      <c r="MN371" s="6"/>
      <c r="MO371" s="6"/>
      <c r="MP371" s="6"/>
      <c r="MQ371" s="6"/>
      <c r="MR371" s="6"/>
      <c r="MS371" s="6"/>
      <c r="MT371" s="6"/>
      <c r="MU371" s="6"/>
      <c r="MV371" s="6"/>
      <c r="MW371" s="6"/>
      <c r="MX371" s="6"/>
      <c r="MY371" s="6"/>
      <c r="MZ371" s="6"/>
      <c r="NA371" s="6"/>
      <c r="NB371" s="6"/>
      <c r="NC371" s="6"/>
      <c r="ND371" s="6"/>
      <c r="NE371" s="6"/>
      <c r="NF371" s="6"/>
      <c r="NG371" s="6"/>
      <c r="NH371" s="6"/>
      <c r="NI371" s="6"/>
      <c r="NJ371" s="6"/>
      <c r="NK371" s="6"/>
      <c r="NL371" s="6"/>
      <c r="NM371" s="6"/>
      <c r="NN371" s="6"/>
      <c r="NO371" s="6"/>
      <c r="NP371" s="6"/>
      <c r="NQ371" s="6"/>
      <c r="NR371" s="6"/>
      <c r="NS371" s="6"/>
      <c r="NT371" s="6"/>
      <c r="NU371" s="6"/>
      <c r="NV371" s="6"/>
    </row>
    <row r="372" spans="1:386" s="19" customFormat="1" ht="20.100000000000001" customHeight="1" x14ac:dyDescent="0.35">
      <c r="A372" s="1"/>
      <c r="B372" s="2"/>
      <c r="C372" s="3"/>
      <c r="D372" s="2"/>
      <c r="E372" s="2"/>
      <c r="F372" s="4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9"/>
      <c r="FL372" s="9"/>
      <c r="FM372" s="9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135"/>
      <c r="IK372" s="135"/>
      <c r="IL372" s="135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6"/>
      <c r="KZ372" s="6"/>
      <c r="LA372" s="6"/>
      <c r="LB372" s="6"/>
      <c r="LC372" s="6"/>
      <c r="LD372" s="6"/>
      <c r="LE372" s="6"/>
      <c r="LF372" s="6"/>
      <c r="LG372" s="6"/>
      <c r="LH372" s="6"/>
      <c r="LI372" s="6"/>
      <c r="LJ372" s="6"/>
      <c r="LK372" s="6"/>
      <c r="LL372" s="6"/>
      <c r="LM372" s="6"/>
      <c r="LN372" s="6"/>
      <c r="LO372" s="6"/>
      <c r="LP372" s="6"/>
      <c r="LQ372" s="6"/>
      <c r="LR372" s="6"/>
      <c r="LS372" s="6"/>
      <c r="LT372" s="6"/>
      <c r="LU372" s="6"/>
      <c r="LV372" s="6"/>
      <c r="LW372" s="6"/>
      <c r="LX372" s="6"/>
      <c r="LY372" s="6"/>
      <c r="LZ372" s="6"/>
      <c r="MA372" s="6"/>
      <c r="MB372" s="6"/>
      <c r="MC372" s="6"/>
      <c r="MD372" s="6"/>
      <c r="ME372" s="6"/>
      <c r="MF372" s="6"/>
      <c r="MG372" s="6"/>
      <c r="MH372" s="6"/>
      <c r="MI372" s="6"/>
      <c r="MJ372" s="6"/>
      <c r="MK372" s="6"/>
      <c r="ML372" s="6"/>
      <c r="MM372" s="6"/>
      <c r="MN372" s="6"/>
      <c r="MO372" s="6"/>
      <c r="MP372" s="6"/>
      <c r="MQ372" s="6"/>
      <c r="MR372" s="6"/>
      <c r="MS372" s="6"/>
      <c r="MT372" s="6"/>
      <c r="MU372" s="6"/>
      <c r="MV372" s="6"/>
      <c r="MW372" s="6"/>
      <c r="MX372" s="6"/>
      <c r="MY372" s="6"/>
      <c r="MZ372" s="6"/>
      <c r="NA372" s="6"/>
      <c r="NB372" s="6"/>
      <c r="NC372" s="6"/>
      <c r="ND372" s="6"/>
      <c r="NE372" s="6"/>
      <c r="NF372" s="6"/>
      <c r="NG372" s="6"/>
      <c r="NH372" s="6"/>
      <c r="NI372" s="6"/>
      <c r="NJ372" s="6"/>
      <c r="NK372" s="6"/>
      <c r="NL372" s="6"/>
      <c r="NM372" s="6"/>
      <c r="NN372" s="6"/>
      <c r="NO372" s="6"/>
      <c r="NP372" s="6"/>
      <c r="NQ372" s="6"/>
      <c r="NR372" s="6"/>
      <c r="NS372" s="6"/>
      <c r="NT372" s="6"/>
      <c r="NU372" s="6"/>
      <c r="NV372" s="6"/>
    </row>
    <row r="373" spans="1:386" s="19" customFormat="1" ht="20.100000000000001" customHeight="1" x14ac:dyDescent="0.35">
      <c r="A373" s="1"/>
      <c r="B373" s="2"/>
      <c r="C373" s="3"/>
      <c r="D373" s="2"/>
      <c r="E373" s="2"/>
      <c r="F373" s="4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9"/>
      <c r="FL373" s="9"/>
      <c r="FM373" s="9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135"/>
      <c r="IK373" s="135"/>
      <c r="IL373" s="135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6"/>
      <c r="KZ373" s="6"/>
      <c r="LA373" s="6"/>
      <c r="LB373" s="6"/>
      <c r="LC373" s="6"/>
      <c r="LD373" s="6"/>
      <c r="LE373" s="6"/>
      <c r="LF373" s="6"/>
      <c r="LG373" s="6"/>
      <c r="LH373" s="6"/>
      <c r="LI373" s="6"/>
      <c r="LJ373" s="6"/>
      <c r="LK373" s="6"/>
      <c r="LL373" s="6"/>
      <c r="LM373" s="6"/>
      <c r="LN373" s="6"/>
      <c r="LO373" s="6"/>
      <c r="LP373" s="6"/>
      <c r="LQ373" s="6"/>
      <c r="LR373" s="6"/>
      <c r="LS373" s="6"/>
      <c r="LT373" s="6"/>
      <c r="LU373" s="6"/>
      <c r="LV373" s="6"/>
      <c r="LW373" s="6"/>
      <c r="LX373" s="6"/>
      <c r="LY373" s="6"/>
      <c r="LZ373" s="6"/>
      <c r="MA373" s="6"/>
      <c r="MB373" s="6"/>
      <c r="MC373" s="6"/>
      <c r="MD373" s="6"/>
      <c r="ME373" s="6"/>
      <c r="MF373" s="6"/>
      <c r="MG373" s="6"/>
      <c r="MH373" s="6"/>
      <c r="MI373" s="6"/>
      <c r="MJ373" s="6"/>
      <c r="MK373" s="6"/>
      <c r="ML373" s="6"/>
      <c r="MM373" s="6"/>
      <c r="MN373" s="6"/>
      <c r="MO373" s="6"/>
      <c r="MP373" s="6"/>
      <c r="MQ373" s="6"/>
      <c r="MR373" s="6"/>
      <c r="MS373" s="6"/>
      <c r="MT373" s="6"/>
      <c r="MU373" s="6"/>
      <c r="MV373" s="6"/>
      <c r="MW373" s="6"/>
      <c r="MX373" s="6"/>
      <c r="MY373" s="6"/>
      <c r="MZ373" s="6"/>
      <c r="NA373" s="6"/>
      <c r="NB373" s="6"/>
      <c r="NC373" s="6"/>
      <c r="ND373" s="6"/>
      <c r="NE373" s="6"/>
      <c r="NF373" s="6"/>
      <c r="NG373" s="6"/>
      <c r="NH373" s="6"/>
      <c r="NI373" s="6"/>
      <c r="NJ373" s="6"/>
      <c r="NK373" s="6"/>
      <c r="NL373" s="6"/>
      <c r="NM373" s="6"/>
      <c r="NN373" s="6"/>
      <c r="NO373" s="6"/>
      <c r="NP373" s="6"/>
      <c r="NQ373" s="6"/>
      <c r="NR373" s="6"/>
      <c r="NS373" s="6"/>
      <c r="NT373" s="6"/>
      <c r="NU373" s="6"/>
      <c r="NV373" s="6"/>
    </row>
    <row r="374" spans="1:386" s="19" customFormat="1" ht="20.100000000000001" customHeight="1" x14ac:dyDescent="0.35">
      <c r="A374" s="1"/>
      <c r="B374" s="2"/>
      <c r="C374" s="3"/>
      <c r="D374" s="2"/>
      <c r="E374" s="2"/>
      <c r="F374" s="4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9"/>
      <c r="FL374" s="9"/>
      <c r="FM374" s="9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135"/>
      <c r="IK374" s="135"/>
      <c r="IL374" s="135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6"/>
      <c r="KZ374" s="6"/>
      <c r="LA374" s="6"/>
      <c r="LB374" s="6"/>
      <c r="LC374" s="6"/>
      <c r="LD374" s="6"/>
      <c r="LE374" s="6"/>
      <c r="LF374" s="6"/>
      <c r="LG374" s="6"/>
      <c r="LH374" s="6"/>
      <c r="LI374" s="6"/>
      <c r="LJ374" s="6"/>
      <c r="LK374" s="6"/>
      <c r="LL374" s="6"/>
      <c r="LM374" s="6"/>
      <c r="LN374" s="6"/>
      <c r="LO374" s="6"/>
      <c r="LP374" s="6"/>
      <c r="LQ374" s="6"/>
      <c r="LR374" s="6"/>
      <c r="LS374" s="6"/>
      <c r="LT374" s="6"/>
      <c r="LU374" s="6"/>
      <c r="LV374" s="6"/>
      <c r="LW374" s="6"/>
      <c r="LX374" s="6"/>
      <c r="LY374" s="6"/>
      <c r="LZ374" s="6"/>
      <c r="MA374" s="6"/>
      <c r="MB374" s="6"/>
      <c r="MC374" s="6"/>
      <c r="MD374" s="6"/>
      <c r="ME374" s="6"/>
      <c r="MF374" s="6"/>
      <c r="MG374" s="6"/>
      <c r="MH374" s="6"/>
      <c r="MI374" s="6"/>
      <c r="MJ374" s="6"/>
      <c r="MK374" s="6"/>
      <c r="ML374" s="6"/>
      <c r="MM374" s="6"/>
      <c r="MN374" s="6"/>
      <c r="MO374" s="6"/>
      <c r="MP374" s="6"/>
      <c r="MQ374" s="6"/>
      <c r="MR374" s="6"/>
      <c r="MS374" s="6"/>
      <c r="MT374" s="6"/>
      <c r="MU374" s="6"/>
      <c r="MV374" s="6"/>
      <c r="MW374" s="6"/>
      <c r="MX374" s="6"/>
      <c r="MY374" s="6"/>
      <c r="MZ374" s="6"/>
      <c r="NA374" s="6"/>
      <c r="NB374" s="6"/>
      <c r="NC374" s="6"/>
      <c r="ND374" s="6"/>
      <c r="NE374" s="6"/>
      <c r="NF374" s="6"/>
      <c r="NG374" s="6"/>
      <c r="NH374" s="6"/>
      <c r="NI374" s="6"/>
      <c r="NJ374" s="6"/>
      <c r="NK374" s="6"/>
      <c r="NL374" s="6"/>
      <c r="NM374" s="6"/>
      <c r="NN374" s="6"/>
      <c r="NO374" s="6"/>
      <c r="NP374" s="6"/>
      <c r="NQ374" s="6"/>
      <c r="NR374" s="6"/>
      <c r="NS374" s="6"/>
      <c r="NT374" s="6"/>
      <c r="NU374" s="6"/>
      <c r="NV374" s="6"/>
    </row>
    <row r="375" spans="1:386" s="19" customFormat="1" ht="20.100000000000001" customHeight="1" x14ac:dyDescent="0.35">
      <c r="A375" s="1"/>
      <c r="B375" s="2"/>
      <c r="C375" s="3"/>
      <c r="D375" s="2"/>
      <c r="E375" s="2"/>
      <c r="F375" s="4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9"/>
      <c r="FL375" s="9"/>
      <c r="FM375" s="9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135"/>
      <c r="IK375" s="135"/>
      <c r="IL375" s="135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6"/>
      <c r="KZ375" s="6"/>
      <c r="LA375" s="6"/>
      <c r="LB375" s="6"/>
      <c r="LC375" s="6"/>
      <c r="LD375" s="6"/>
      <c r="LE375" s="6"/>
      <c r="LF375" s="6"/>
      <c r="LG375" s="6"/>
      <c r="LH375" s="6"/>
      <c r="LI375" s="6"/>
      <c r="LJ375" s="6"/>
      <c r="LK375" s="6"/>
      <c r="LL375" s="6"/>
      <c r="LM375" s="6"/>
      <c r="LN375" s="6"/>
      <c r="LO375" s="6"/>
      <c r="LP375" s="6"/>
      <c r="LQ375" s="6"/>
      <c r="LR375" s="6"/>
      <c r="LS375" s="6"/>
      <c r="LT375" s="6"/>
      <c r="LU375" s="6"/>
      <c r="LV375" s="6"/>
      <c r="LW375" s="6"/>
      <c r="LX375" s="6"/>
      <c r="LY375" s="6"/>
      <c r="LZ375" s="6"/>
      <c r="MA375" s="6"/>
      <c r="MB375" s="6"/>
      <c r="MC375" s="6"/>
      <c r="MD375" s="6"/>
      <c r="ME375" s="6"/>
      <c r="MF375" s="6"/>
      <c r="MG375" s="6"/>
      <c r="MH375" s="6"/>
      <c r="MI375" s="6"/>
      <c r="MJ375" s="6"/>
      <c r="MK375" s="6"/>
      <c r="ML375" s="6"/>
      <c r="MM375" s="6"/>
      <c r="MN375" s="6"/>
      <c r="MO375" s="6"/>
      <c r="MP375" s="6"/>
      <c r="MQ375" s="6"/>
      <c r="MR375" s="6"/>
      <c r="MS375" s="6"/>
      <c r="MT375" s="6"/>
      <c r="MU375" s="6"/>
      <c r="MV375" s="6"/>
      <c r="MW375" s="6"/>
      <c r="MX375" s="6"/>
      <c r="MY375" s="6"/>
      <c r="MZ375" s="6"/>
      <c r="NA375" s="6"/>
      <c r="NB375" s="6"/>
      <c r="NC375" s="6"/>
      <c r="ND375" s="6"/>
      <c r="NE375" s="6"/>
      <c r="NF375" s="6"/>
      <c r="NG375" s="6"/>
      <c r="NH375" s="6"/>
      <c r="NI375" s="6"/>
      <c r="NJ375" s="6"/>
      <c r="NK375" s="6"/>
      <c r="NL375" s="6"/>
      <c r="NM375" s="6"/>
      <c r="NN375" s="6"/>
      <c r="NO375" s="6"/>
      <c r="NP375" s="6"/>
      <c r="NQ375" s="6"/>
      <c r="NR375" s="6"/>
      <c r="NS375" s="6"/>
      <c r="NT375" s="6"/>
      <c r="NU375" s="6"/>
      <c r="NV375" s="6"/>
    </row>
    <row r="376" spans="1:386" s="19" customFormat="1" ht="20.100000000000001" customHeight="1" x14ac:dyDescent="0.35">
      <c r="A376" s="1"/>
      <c r="B376" s="2"/>
      <c r="C376" s="3"/>
      <c r="D376" s="2"/>
      <c r="E376" s="2"/>
      <c r="F376" s="4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9"/>
      <c r="FL376" s="9"/>
      <c r="FM376" s="9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135"/>
      <c r="IK376" s="135"/>
      <c r="IL376" s="135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6"/>
      <c r="KZ376" s="6"/>
      <c r="LA376" s="6"/>
      <c r="LB376" s="6"/>
      <c r="LC376" s="6"/>
      <c r="LD376" s="6"/>
      <c r="LE376" s="6"/>
      <c r="LF376" s="6"/>
      <c r="LG376" s="6"/>
      <c r="LH376" s="6"/>
      <c r="LI376" s="6"/>
      <c r="LJ376" s="6"/>
      <c r="LK376" s="6"/>
      <c r="LL376" s="6"/>
      <c r="LM376" s="6"/>
      <c r="LN376" s="6"/>
      <c r="LO376" s="6"/>
      <c r="LP376" s="6"/>
      <c r="LQ376" s="6"/>
      <c r="LR376" s="6"/>
      <c r="LS376" s="6"/>
      <c r="LT376" s="6"/>
      <c r="LU376" s="6"/>
      <c r="LV376" s="6"/>
      <c r="LW376" s="6"/>
      <c r="LX376" s="6"/>
      <c r="LY376" s="6"/>
      <c r="LZ376" s="6"/>
      <c r="MA376" s="6"/>
      <c r="MB376" s="6"/>
      <c r="MC376" s="6"/>
      <c r="MD376" s="6"/>
      <c r="ME376" s="6"/>
      <c r="MF376" s="6"/>
      <c r="MG376" s="6"/>
      <c r="MH376" s="6"/>
      <c r="MI376" s="6"/>
      <c r="MJ376" s="6"/>
      <c r="MK376" s="6"/>
      <c r="ML376" s="6"/>
      <c r="MM376" s="6"/>
      <c r="MN376" s="6"/>
      <c r="MO376" s="6"/>
      <c r="MP376" s="6"/>
      <c r="MQ376" s="6"/>
      <c r="MR376" s="6"/>
      <c r="MS376" s="6"/>
      <c r="MT376" s="6"/>
      <c r="MU376" s="6"/>
      <c r="MV376" s="6"/>
      <c r="MW376" s="6"/>
      <c r="MX376" s="6"/>
      <c r="MY376" s="6"/>
      <c r="MZ376" s="6"/>
      <c r="NA376" s="6"/>
      <c r="NB376" s="6"/>
      <c r="NC376" s="6"/>
      <c r="ND376" s="6"/>
      <c r="NE376" s="6"/>
      <c r="NF376" s="6"/>
      <c r="NG376" s="6"/>
      <c r="NH376" s="6"/>
      <c r="NI376" s="6"/>
      <c r="NJ376" s="6"/>
      <c r="NK376" s="6"/>
      <c r="NL376" s="6"/>
      <c r="NM376" s="6"/>
      <c r="NN376" s="6"/>
      <c r="NO376" s="6"/>
      <c r="NP376" s="6"/>
      <c r="NQ376" s="6"/>
      <c r="NR376" s="6"/>
      <c r="NS376" s="6"/>
      <c r="NT376" s="6"/>
      <c r="NU376" s="6"/>
      <c r="NV376" s="6"/>
    </row>
    <row r="377" spans="1:386" s="19" customFormat="1" ht="20.100000000000001" customHeight="1" x14ac:dyDescent="0.35">
      <c r="A377" s="1"/>
      <c r="B377" s="2"/>
      <c r="C377" s="3"/>
      <c r="D377" s="2"/>
      <c r="E377" s="2"/>
      <c r="F377" s="4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9"/>
      <c r="FL377" s="9"/>
      <c r="FM377" s="9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135"/>
      <c r="IK377" s="135"/>
      <c r="IL377" s="135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6"/>
      <c r="KZ377" s="6"/>
      <c r="LA377" s="6"/>
      <c r="LB377" s="6"/>
      <c r="LC377" s="6"/>
      <c r="LD377" s="6"/>
      <c r="LE377" s="6"/>
      <c r="LF377" s="6"/>
      <c r="LG377" s="6"/>
      <c r="LH377" s="6"/>
      <c r="LI377" s="6"/>
      <c r="LJ377" s="6"/>
      <c r="LK377" s="6"/>
      <c r="LL377" s="6"/>
      <c r="LM377" s="6"/>
      <c r="LN377" s="6"/>
      <c r="LO377" s="6"/>
      <c r="LP377" s="6"/>
      <c r="LQ377" s="6"/>
      <c r="LR377" s="6"/>
      <c r="LS377" s="6"/>
      <c r="LT377" s="6"/>
      <c r="LU377" s="6"/>
      <c r="LV377" s="6"/>
      <c r="LW377" s="6"/>
      <c r="LX377" s="6"/>
      <c r="LY377" s="6"/>
      <c r="LZ377" s="6"/>
      <c r="MA377" s="6"/>
      <c r="MB377" s="6"/>
      <c r="MC377" s="6"/>
      <c r="MD377" s="6"/>
      <c r="ME377" s="6"/>
      <c r="MF377" s="6"/>
      <c r="MG377" s="6"/>
      <c r="MH377" s="6"/>
      <c r="MI377" s="6"/>
      <c r="MJ377" s="6"/>
      <c r="MK377" s="6"/>
      <c r="ML377" s="6"/>
      <c r="MM377" s="6"/>
      <c r="MN377" s="6"/>
      <c r="MO377" s="6"/>
      <c r="MP377" s="6"/>
      <c r="MQ377" s="6"/>
      <c r="MR377" s="6"/>
      <c r="MS377" s="6"/>
      <c r="MT377" s="6"/>
      <c r="MU377" s="6"/>
      <c r="MV377" s="6"/>
      <c r="MW377" s="6"/>
      <c r="MX377" s="6"/>
      <c r="MY377" s="6"/>
      <c r="MZ377" s="6"/>
      <c r="NA377" s="6"/>
      <c r="NB377" s="6"/>
      <c r="NC377" s="6"/>
      <c r="ND377" s="6"/>
      <c r="NE377" s="6"/>
      <c r="NF377" s="6"/>
      <c r="NG377" s="6"/>
      <c r="NH377" s="6"/>
      <c r="NI377" s="6"/>
      <c r="NJ377" s="6"/>
      <c r="NK377" s="6"/>
      <c r="NL377" s="6"/>
      <c r="NM377" s="6"/>
      <c r="NN377" s="6"/>
      <c r="NO377" s="6"/>
      <c r="NP377" s="6"/>
      <c r="NQ377" s="6"/>
      <c r="NR377" s="6"/>
      <c r="NS377" s="6"/>
      <c r="NT377" s="6"/>
      <c r="NU377" s="6"/>
      <c r="NV377" s="6"/>
    </row>
    <row r="378" spans="1:386" s="19" customFormat="1" ht="20.100000000000001" customHeight="1" x14ac:dyDescent="0.35">
      <c r="A378" s="1"/>
      <c r="B378" s="2"/>
      <c r="C378" s="3"/>
      <c r="D378" s="2"/>
      <c r="E378" s="2"/>
      <c r="F378" s="4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9"/>
      <c r="FL378" s="9"/>
      <c r="FM378" s="9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135"/>
      <c r="IK378" s="135"/>
      <c r="IL378" s="135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6"/>
      <c r="KZ378" s="6"/>
      <c r="LA378" s="6"/>
      <c r="LB378" s="6"/>
      <c r="LC378" s="6"/>
      <c r="LD378" s="6"/>
      <c r="LE378" s="6"/>
      <c r="LF378" s="6"/>
      <c r="LG378" s="6"/>
      <c r="LH378" s="6"/>
      <c r="LI378" s="6"/>
      <c r="LJ378" s="6"/>
      <c r="LK378" s="6"/>
      <c r="LL378" s="6"/>
      <c r="LM378" s="6"/>
      <c r="LN378" s="6"/>
      <c r="LO378" s="6"/>
      <c r="LP378" s="6"/>
      <c r="LQ378" s="6"/>
      <c r="LR378" s="6"/>
      <c r="LS378" s="6"/>
      <c r="LT378" s="6"/>
      <c r="LU378" s="6"/>
      <c r="LV378" s="6"/>
      <c r="LW378" s="6"/>
      <c r="LX378" s="6"/>
      <c r="LY378" s="6"/>
      <c r="LZ378" s="6"/>
      <c r="MA378" s="6"/>
      <c r="MB378" s="6"/>
      <c r="MC378" s="6"/>
      <c r="MD378" s="6"/>
      <c r="ME378" s="6"/>
      <c r="MF378" s="6"/>
      <c r="MG378" s="6"/>
      <c r="MH378" s="6"/>
      <c r="MI378" s="6"/>
      <c r="MJ378" s="6"/>
      <c r="MK378" s="6"/>
      <c r="ML378" s="6"/>
      <c r="MM378" s="6"/>
      <c r="MN378" s="6"/>
      <c r="MO378" s="6"/>
      <c r="MP378" s="6"/>
      <c r="MQ378" s="6"/>
      <c r="MR378" s="6"/>
      <c r="MS378" s="6"/>
      <c r="MT378" s="6"/>
      <c r="MU378" s="6"/>
      <c r="MV378" s="6"/>
      <c r="MW378" s="6"/>
      <c r="MX378" s="6"/>
      <c r="MY378" s="6"/>
      <c r="MZ378" s="6"/>
      <c r="NA378" s="6"/>
      <c r="NB378" s="6"/>
      <c r="NC378" s="6"/>
      <c r="ND378" s="6"/>
      <c r="NE378" s="6"/>
      <c r="NF378" s="6"/>
      <c r="NG378" s="6"/>
      <c r="NH378" s="6"/>
      <c r="NI378" s="6"/>
      <c r="NJ378" s="6"/>
      <c r="NK378" s="6"/>
      <c r="NL378" s="6"/>
      <c r="NM378" s="6"/>
      <c r="NN378" s="6"/>
      <c r="NO378" s="6"/>
      <c r="NP378" s="6"/>
      <c r="NQ378" s="6"/>
      <c r="NR378" s="6"/>
      <c r="NS378" s="6"/>
      <c r="NT378" s="6"/>
      <c r="NU378" s="6"/>
      <c r="NV378" s="6"/>
    </row>
    <row r="379" spans="1:386" s="19" customFormat="1" ht="20.100000000000001" customHeight="1" x14ac:dyDescent="0.35">
      <c r="A379" s="1"/>
      <c r="B379" s="2"/>
      <c r="C379" s="3"/>
      <c r="D379" s="2"/>
      <c r="E379" s="2"/>
      <c r="F379" s="4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9"/>
      <c r="FL379" s="9"/>
      <c r="FM379" s="9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135"/>
      <c r="IK379" s="135"/>
      <c r="IL379" s="135"/>
      <c r="IN379" s="6"/>
      <c r="IO379" s="6"/>
      <c r="IP379" s="6"/>
      <c r="IQ379" s="6"/>
      <c r="IR379" s="6"/>
      <c r="IS379" s="6"/>
      <c r="IT379" s="6"/>
      <c r="IU379" s="6"/>
      <c r="IV379" s="6"/>
      <c r="IW379" s="6"/>
      <c r="IX379" s="6"/>
      <c r="IY379" s="6"/>
      <c r="IZ379" s="6"/>
      <c r="JA379" s="6"/>
      <c r="JB379" s="6"/>
      <c r="JC379" s="6"/>
      <c r="JD379" s="6"/>
      <c r="JE379" s="6"/>
      <c r="JF379" s="6"/>
      <c r="JG379" s="6"/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6"/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6"/>
      <c r="KZ379" s="6"/>
      <c r="LA379" s="6"/>
      <c r="LB379" s="6"/>
      <c r="LC379" s="6"/>
      <c r="LD379" s="6"/>
      <c r="LE379" s="6"/>
      <c r="LF379" s="6"/>
      <c r="LG379" s="6"/>
      <c r="LH379" s="6"/>
      <c r="LI379" s="6"/>
      <c r="LJ379" s="6"/>
      <c r="LK379" s="6"/>
      <c r="LL379" s="6"/>
      <c r="LM379" s="6"/>
      <c r="LN379" s="6"/>
      <c r="LO379" s="6"/>
      <c r="LP379" s="6"/>
      <c r="LQ379" s="6"/>
      <c r="LR379" s="6"/>
      <c r="LS379" s="6"/>
      <c r="LT379" s="6"/>
      <c r="LU379" s="6"/>
      <c r="LV379" s="6"/>
      <c r="LW379" s="6"/>
      <c r="LX379" s="6"/>
      <c r="LY379" s="6"/>
      <c r="LZ379" s="6"/>
      <c r="MA379" s="6"/>
      <c r="MB379" s="6"/>
      <c r="MC379" s="6"/>
      <c r="MD379" s="6"/>
      <c r="ME379" s="6"/>
      <c r="MF379" s="6"/>
      <c r="MG379" s="6"/>
      <c r="MH379" s="6"/>
      <c r="MI379" s="6"/>
      <c r="MJ379" s="6"/>
      <c r="MK379" s="6"/>
      <c r="ML379" s="6"/>
      <c r="MM379" s="6"/>
      <c r="MN379" s="6"/>
      <c r="MO379" s="6"/>
      <c r="MP379" s="6"/>
      <c r="MQ379" s="6"/>
      <c r="MR379" s="6"/>
      <c r="MS379" s="6"/>
      <c r="MT379" s="6"/>
      <c r="MU379" s="6"/>
      <c r="MV379" s="6"/>
      <c r="MW379" s="6"/>
      <c r="MX379" s="6"/>
      <c r="MY379" s="6"/>
      <c r="MZ379" s="6"/>
      <c r="NA379" s="6"/>
      <c r="NB379" s="6"/>
      <c r="NC379" s="6"/>
      <c r="ND379" s="6"/>
      <c r="NE379" s="6"/>
      <c r="NF379" s="6"/>
      <c r="NG379" s="6"/>
      <c r="NH379" s="6"/>
      <c r="NI379" s="6"/>
      <c r="NJ379" s="6"/>
      <c r="NK379" s="6"/>
      <c r="NL379" s="6"/>
      <c r="NM379" s="6"/>
      <c r="NN379" s="6"/>
      <c r="NO379" s="6"/>
      <c r="NP379" s="6"/>
      <c r="NQ379" s="6"/>
      <c r="NR379" s="6"/>
      <c r="NS379" s="6"/>
      <c r="NT379" s="6"/>
      <c r="NU379" s="6"/>
      <c r="NV379" s="6"/>
    </row>
    <row r="380" spans="1:386" s="19" customFormat="1" ht="20.100000000000001" customHeight="1" x14ac:dyDescent="0.35">
      <c r="A380" s="1"/>
      <c r="B380" s="2"/>
      <c r="C380" s="3"/>
      <c r="D380" s="2"/>
      <c r="E380" s="2"/>
      <c r="F380" s="4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9"/>
      <c r="FL380" s="9"/>
      <c r="FM380" s="9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135"/>
      <c r="IK380" s="135"/>
      <c r="IL380" s="135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6"/>
      <c r="KZ380" s="6"/>
      <c r="LA380" s="6"/>
      <c r="LB380" s="6"/>
      <c r="LC380" s="6"/>
      <c r="LD380" s="6"/>
      <c r="LE380" s="6"/>
      <c r="LF380" s="6"/>
      <c r="LG380" s="6"/>
      <c r="LH380" s="6"/>
      <c r="LI380" s="6"/>
      <c r="LJ380" s="6"/>
      <c r="LK380" s="6"/>
      <c r="LL380" s="6"/>
      <c r="LM380" s="6"/>
      <c r="LN380" s="6"/>
      <c r="LO380" s="6"/>
      <c r="LP380" s="6"/>
      <c r="LQ380" s="6"/>
      <c r="LR380" s="6"/>
      <c r="LS380" s="6"/>
      <c r="LT380" s="6"/>
      <c r="LU380" s="6"/>
      <c r="LV380" s="6"/>
      <c r="LW380" s="6"/>
      <c r="LX380" s="6"/>
      <c r="LY380" s="6"/>
      <c r="LZ380" s="6"/>
      <c r="MA380" s="6"/>
      <c r="MB380" s="6"/>
      <c r="MC380" s="6"/>
      <c r="MD380" s="6"/>
      <c r="ME380" s="6"/>
      <c r="MF380" s="6"/>
      <c r="MG380" s="6"/>
      <c r="MH380" s="6"/>
      <c r="MI380" s="6"/>
      <c r="MJ380" s="6"/>
      <c r="MK380" s="6"/>
      <c r="ML380" s="6"/>
      <c r="MM380" s="6"/>
      <c r="MN380" s="6"/>
      <c r="MO380" s="6"/>
      <c r="MP380" s="6"/>
      <c r="MQ380" s="6"/>
      <c r="MR380" s="6"/>
      <c r="MS380" s="6"/>
      <c r="MT380" s="6"/>
      <c r="MU380" s="6"/>
      <c r="MV380" s="6"/>
      <c r="MW380" s="6"/>
      <c r="MX380" s="6"/>
      <c r="MY380" s="6"/>
      <c r="MZ380" s="6"/>
      <c r="NA380" s="6"/>
      <c r="NB380" s="6"/>
      <c r="NC380" s="6"/>
      <c r="ND380" s="6"/>
      <c r="NE380" s="6"/>
      <c r="NF380" s="6"/>
      <c r="NG380" s="6"/>
      <c r="NH380" s="6"/>
      <c r="NI380" s="6"/>
      <c r="NJ380" s="6"/>
      <c r="NK380" s="6"/>
      <c r="NL380" s="6"/>
      <c r="NM380" s="6"/>
      <c r="NN380" s="6"/>
      <c r="NO380" s="6"/>
      <c r="NP380" s="6"/>
      <c r="NQ380" s="6"/>
      <c r="NR380" s="6"/>
      <c r="NS380" s="6"/>
      <c r="NT380" s="6"/>
      <c r="NU380" s="6"/>
      <c r="NV380" s="6"/>
    </row>
    <row r="381" spans="1:386" s="19" customFormat="1" ht="20.100000000000001" customHeight="1" x14ac:dyDescent="0.35">
      <c r="A381" s="1"/>
      <c r="B381" s="2"/>
      <c r="C381" s="3"/>
      <c r="D381" s="2"/>
      <c r="E381" s="2"/>
      <c r="F381" s="4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9"/>
      <c r="FL381" s="9"/>
      <c r="FM381" s="9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135"/>
      <c r="IK381" s="135"/>
      <c r="IL381" s="135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J381" s="6"/>
      <c r="JK381" s="6"/>
      <c r="JL381" s="6"/>
      <c r="JM381" s="6"/>
      <c r="JN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6"/>
      <c r="KZ381" s="6"/>
      <c r="LA381" s="6"/>
      <c r="LB381" s="6"/>
      <c r="LC381" s="6"/>
      <c r="LD381" s="6"/>
      <c r="LE381" s="6"/>
      <c r="LF381" s="6"/>
      <c r="LG381" s="6"/>
      <c r="LH381" s="6"/>
      <c r="LI381" s="6"/>
      <c r="LJ381" s="6"/>
      <c r="LK381" s="6"/>
      <c r="LL381" s="6"/>
      <c r="LM381" s="6"/>
      <c r="LN381" s="6"/>
      <c r="LO381" s="6"/>
      <c r="LP381" s="6"/>
      <c r="LQ381" s="6"/>
      <c r="LR381" s="6"/>
      <c r="LS381" s="6"/>
      <c r="LT381" s="6"/>
      <c r="LU381" s="6"/>
      <c r="LV381" s="6"/>
      <c r="LW381" s="6"/>
      <c r="LX381" s="6"/>
      <c r="LY381" s="6"/>
      <c r="LZ381" s="6"/>
      <c r="MA381" s="6"/>
      <c r="MB381" s="6"/>
      <c r="MC381" s="6"/>
      <c r="MD381" s="6"/>
      <c r="ME381" s="6"/>
      <c r="MF381" s="6"/>
      <c r="MG381" s="6"/>
      <c r="MH381" s="6"/>
      <c r="MI381" s="6"/>
      <c r="MJ381" s="6"/>
      <c r="MK381" s="6"/>
      <c r="ML381" s="6"/>
      <c r="MM381" s="6"/>
      <c r="MN381" s="6"/>
      <c r="MO381" s="6"/>
      <c r="MP381" s="6"/>
      <c r="MQ381" s="6"/>
      <c r="MR381" s="6"/>
      <c r="MS381" s="6"/>
      <c r="MT381" s="6"/>
      <c r="MU381" s="6"/>
      <c r="MV381" s="6"/>
      <c r="MW381" s="6"/>
      <c r="MX381" s="6"/>
      <c r="MY381" s="6"/>
      <c r="MZ381" s="6"/>
      <c r="NA381" s="6"/>
      <c r="NB381" s="6"/>
      <c r="NC381" s="6"/>
      <c r="ND381" s="6"/>
      <c r="NE381" s="6"/>
      <c r="NF381" s="6"/>
      <c r="NG381" s="6"/>
      <c r="NH381" s="6"/>
      <c r="NI381" s="6"/>
      <c r="NJ381" s="6"/>
      <c r="NK381" s="6"/>
      <c r="NL381" s="6"/>
      <c r="NM381" s="6"/>
      <c r="NN381" s="6"/>
      <c r="NO381" s="6"/>
      <c r="NP381" s="6"/>
      <c r="NQ381" s="6"/>
      <c r="NR381" s="6"/>
      <c r="NS381" s="6"/>
      <c r="NT381" s="6"/>
      <c r="NU381" s="6"/>
      <c r="NV381" s="6"/>
    </row>
    <row r="382" spans="1:386" s="19" customFormat="1" ht="20.100000000000001" customHeight="1" x14ac:dyDescent="0.35">
      <c r="A382" s="1"/>
      <c r="B382" s="2"/>
      <c r="C382" s="3"/>
      <c r="D382" s="2"/>
      <c r="E382" s="2"/>
      <c r="F382" s="4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9"/>
      <c r="FL382" s="9"/>
      <c r="FM382" s="9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135"/>
      <c r="IK382" s="135"/>
      <c r="IL382" s="135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6"/>
      <c r="KZ382" s="6"/>
      <c r="LA382" s="6"/>
      <c r="LB382" s="6"/>
      <c r="LC382" s="6"/>
      <c r="LD382" s="6"/>
      <c r="LE382" s="6"/>
      <c r="LF382" s="6"/>
      <c r="LG382" s="6"/>
      <c r="LH382" s="6"/>
      <c r="LI382" s="6"/>
      <c r="LJ382" s="6"/>
      <c r="LK382" s="6"/>
      <c r="LL382" s="6"/>
      <c r="LM382" s="6"/>
      <c r="LN382" s="6"/>
      <c r="LO382" s="6"/>
      <c r="LP382" s="6"/>
      <c r="LQ382" s="6"/>
      <c r="LR382" s="6"/>
      <c r="LS382" s="6"/>
      <c r="LT382" s="6"/>
      <c r="LU382" s="6"/>
      <c r="LV382" s="6"/>
      <c r="LW382" s="6"/>
      <c r="LX382" s="6"/>
      <c r="LY382" s="6"/>
      <c r="LZ382" s="6"/>
      <c r="MA382" s="6"/>
      <c r="MB382" s="6"/>
      <c r="MC382" s="6"/>
      <c r="MD382" s="6"/>
      <c r="ME382" s="6"/>
      <c r="MF382" s="6"/>
      <c r="MG382" s="6"/>
      <c r="MH382" s="6"/>
      <c r="MI382" s="6"/>
      <c r="MJ382" s="6"/>
      <c r="MK382" s="6"/>
      <c r="ML382" s="6"/>
      <c r="MM382" s="6"/>
      <c r="MN382" s="6"/>
      <c r="MO382" s="6"/>
      <c r="MP382" s="6"/>
      <c r="MQ382" s="6"/>
      <c r="MR382" s="6"/>
      <c r="MS382" s="6"/>
      <c r="MT382" s="6"/>
      <c r="MU382" s="6"/>
      <c r="MV382" s="6"/>
      <c r="MW382" s="6"/>
      <c r="MX382" s="6"/>
      <c r="MY382" s="6"/>
      <c r="MZ382" s="6"/>
      <c r="NA382" s="6"/>
      <c r="NB382" s="6"/>
      <c r="NC382" s="6"/>
      <c r="ND382" s="6"/>
      <c r="NE382" s="6"/>
      <c r="NF382" s="6"/>
      <c r="NG382" s="6"/>
      <c r="NH382" s="6"/>
      <c r="NI382" s="6"/>
      <c r="NJ382" s="6"/>
      <c r="NK382" s="6"/>
      <c r="NL382" s="6"/>
      <c r="NM382" s="6"/>
      <c r="NN382" s="6"/>
      <c r="NO382" s="6"/>
      <c r="NP382" s="6"/>
      <c r="NQ382" s="6"/>
      <c r="NR382" s="6"/>
      <c r="NS382" s="6"/>
      <c r="NT382" s="6"/>
      <c r="NU382" s="6"/>
      <c r="NV382" s="6"/>
    </row>
    <row r="383" spans="1:386" s="19" customFormat="1" ht="20.100000000000001" customHeight="1" x14ac:dyDescent="0.35">
      <c r="A383" s="1"/>
      <c r="B383" s="2"/>
      <c r="C383" s="3"/>
      <c r="D383" s="2"/>
      <c r="E383" s="2"/>
      <c r="F383" s="4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9"/>
      <c r="FL383" s="9"/>
      <c r="FM383" s="9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135"/>
      <c r="IK383" s="135"/>
      <c r="IL383" s="135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6"/>
      <c r="KZ383" s="6"/>
      <c r="LA383" s="6"/>
      <c r="LB383" s="6"/>
      <c r="LC383" s="6"/>
      <c r="LD383" s="6"/>
      <c r="LE383" s="6"/>
      <c r="LF383" s="6"/>
      <c r="LG383" s="6"/>
      <c r="LH383" s="6"/>
      <c r="LI383" s="6"/>
      <c r="LJ383" s="6"/>
      <c r="LK383" s="6"/>
      <c r="LL383" s="6"/>
      <c r="LM383" s="6"/>
      <c r="LN383" s="6"/>
      <c r="LO383" s="6"/>
      <c r="LP383" s="6"/>
      <c r="LQ383" s="6"/>
      <c r="LR383" s="6"/>
      <c r="LS383" s="6"/>
      <c r="LT383" s="6"/>
      <c r="LU383" s="6"/>
      <c r="LV383" s="6"/>
      <c r="LW383" s="6"/>
      <c r="LX383" s="6"/>
      <c r="LY383" s="6"/>
      <c r="LZ383" s="6"/>
      <c r="MA383" s="6"/>
      <c r="MB383" s="6"/>
      <c r="MC383" s="6"/>
      <c r="MD383" s="6"/>
      <c r="ME383" s="6"/>
      <c r="MF383" s="6"/>
      <c r="MG383" s="6"/>
      <c r="MH383" s="6"/>
      <c r="MI383" s="6"/>
      <c r="MJ383" s="6"/>
      <c r="MK383" s="6"/>
      <c r="ML383" s="6"/>
      <c r="MM383" s="6"/>
      <c r="MN383" s="6"/>
      <c r="MO383" s="6"/>
      <c r="MP383" s="6"/>
      <c r="MQ383" s="6"/>
      <c r="MR383" s="6"/>
      <c r="MS383" s="6"/>
      <c r="MT383" s="6"/>
      <c r="MU383" s="6"/>
      <c r="MV383" s="6"/>
      <c r="MW383" s="6"/>
      <c r="MX383" s="6"/>
      <c r="MY383" s="6"/>
      <c r="MZ383" s="6"/>
      <c r="NA383" s="6"/>
      <c r="NB383" s="6"/>
      <c r="NC383" s="6"/>
      <c r="ND383" s="6"/>
      <c r="NE383" s="6"/>
      <c r="NF383" s="6"/>
      <c r="NG383" s="6"/>
      <c r="NH383" s="6"/>
      <c r="NI383" s="6"/>
      <c r="NJ383" s="6"/>
      <c r="NK383" s="6"/>
      <c r="NL383" s="6"/>
      <c r="NM383" s="6"/>
      <c r="NN383" s="6"/>
      <c r="NO383" s="6"/>
      <c r="NP383" s="6"/>
      <c r="NQ383" s="6"/>
      <c r="NR383" s="6"/>
      <c r="NS383" s="6"/>
      <c r="NT383" s="6"/>
      <c r="NU383" s="6"/>
      <c r="NV383" s="6"/>
    </row>
    <row r="384" spans="1:386" s="19" customFormat="1" ht="20.100000000000001" customHeight="1" x14ac:dyDescent="0.35">
      <c r="A384" s="1"/>
      <c r="B384" s="2"/>
      <c r="C384" s="3"/>
      <c r="D384" s="2"/>
      <c r="E384" s="2"/>
      <c r="F384" s="4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9"/>
      <c r="FL384" s="9"/>
      <c r="FM384" s="9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135"/>
      <c r="IK384" s="135"/>
      <c r="IL384" s="135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6"/>
      <c r="KZ384" s="6"/>
      <c r="LA384" s="6"/>
      <c r="LB384" s="6"/>
      <c r="LC384" s="6"/>
      <c r="LD384" s="6"/>
      <c r="LE384" s="6"/>
      <c r="LF384" s="6"/>
      <c r="LG384" s="6"/>
      <c r="LH384" s="6"/>
      <c r="LI384" s="6"/>
      <c r="LJ384" s="6"/>
      <c r="LK384" s="6"/>
      <c r="LL384" s="6"/>
      <c r="LM384" s="6"/>
      <c r="LN384" s="6"/>
      <c r="LO384" s="6"/>
      <c r="LP384" s="6"/>
      <c r="LQ384" s="6"/>
      <c r="LR384" s="6"/>
      <c r="LS384" s="6"/>
      <c r="LT384" s="6"/>
      <c r="LU384" s="6"/>
      <c r="LV384" s="6"/>
      <c r="LW384" s="6"/>
      <c r="LX384" s="6"/>
      <c r="LY384" s="6"/>
      <c r="LZ384" s="6"/>
      <c r="MA384" s="6"/>
      <c r="MB384" s="6"/>
      <c r="MC384" s="6"/>
      <c r="MD384" s="6"/>
      <c r="ME384" s="6"/>
      <c r="MF384" s="6"/>
      <c r="MG384" s="6"/>
      <c r="MH384" s="6"/>
      <c r="MI384" s="6"/>
      <c r="MJ384" s="6"/>
      <c r="MK384" s="6"/>
      <c r="ML384" s="6"/>
      <c r="MM384" s="6"/>
      <c r="MN384" s="6"/>
      <c r="MO384" s="6"/>
      <c r="MP384" s="6"/>
      <c r="MQ384" s="6"/>
      <c r="MR384" s="6"/>
      <c r="MS384" s="6"/>
      <c r="MT384" s="6"/>
      <c r="MU384" s="6"/>
      <c r="MV384" s="6"/>
      <c r="MW384" s="6"/>
      <c r="MX384" s="6"/>
      <c r="MY384" s="6"/>
      <c r="MZ384" s="6"/>
      <c r="NA384" s="6"/>
      <c r="NB384" s="6"/>
      <c r="NC384" s="6"/>
      <c r="ND384" s="6"/>
      <c r="NE384" s="6"/>
      <c r="NF384" s="6"/>
      <c r="NG384" s="6"/>
      <c r="NH384" s="6"/>
      <c r="NI384" s="6"/>
      <c r="NJ384" s="6"/>
      <c r="NK384" s="6"/>
      <c r="NL384" s="6"/>
      <c r="NM384" s="6"/>
      <c r="NN384" s="6"/>
      <c r="NO384" s="6"/>
      <c r="NP384" s="6"/>
      <c r="NQ384" s="6"/>
      <c r="NR384" s="6"/>
      <c r="NS384" s="6"/>
      <c r="NT384" s="6"/>
      <c r="NU384" s="6"/>
      <c r="NV384" s="6"/>
    </row>
    <row r="385" spans="1:386" s="19" customFormat="1" ht="20.100000000000001" customHeight="1" x14ac:dyDescent="0.35">
      <c r="A385" s="1"/>
      <c r="B385" s="2"/>
      <c r="C385" s="3"/>
      <c r="D385" s="2"/>
      <c r="E385" s="2"/>
      <c r="F385" s="4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9"/>
      <c r="FL385" s="9"/>
      <c r="FM385" s="9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135"/>
      <c r="IK385" s="135"/>
      <c r="IL385" s="135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6"/>
      <c r="KZ385" s="6"/>
      <c r="LA385" s="6"/>
      <c r="LB385" s="6"/>
      <c r="LC385" s="6"/>
      <c r="LD385" s="6"/>
      <c r="LE385" s="6"/>
      <c r="LF385" s="6"/>
      <c r="LG385" s="6"/>
      <c r="LH385" s="6"/>
      <c r="LI385" s="6"/>
      <c r="LJ385" s="6"/>
      <c r="LK385" s="6"/>
      <c r="LL385" s="6"/>
      <c r="LM385" s="6"/>
      <c r="LN385" s="6"/>
      <c r="LO385" s="6"/>
      <c r="LP385" s="6"/>
      <c r="LQ385" s="6"/>
      <c r="LR385" s="6"/>
      <c r="LS385" s="6"/>
      <c r="LT385" s="6"/>
      <c r="LU385" s="6"/>
      <c r="LV385" s="6"/>
      <c r="LW385" s="6"/>
      <c r="LX385" s="6"/>
      <c r="LY385" s="6"/>
      <c r="LZ385" s="6"/>
      <c r="MA385" s="6"/>
      <c r="MB385" s="6"/>
      <c r="MC385" s="6"/>
      <c r="MD385" s="6"/>
      <c r="ME385" s="6"/>
      <c r="MF385" s="6"/>
      <c r="MG385" s="6"/>
      <c r="MH385" s="6"/>
      <c r="MI385" s="6"/>
      <c r="MJ385" s="6"/>
      <c r="MK385" s="6"/>
      <c r="ML385" s="6"/>
      <c r="MM385" s="6"/>
      <c r="MN385" s="6"/>
      <c r="MO385" s="6"/>
      <c r="MP385" s="6"/>
      <c r="MQ385" s="6"/>
      <c r="MR385" s="6"/>
      <c r="MS385" s="6"/>
      <c r="MT385" s="6"/>
      <c r="MU385" s="6"/>
      <c r="MV385" s="6"/>
      <c r="MW385" s="6"/>
      <c r="MX385" s="6"/>
      <c r="MY385" s="6"/>
      <c r="MZ385" s="6"/>
      <c r="NA385" s="6"/>
      <c r="NB385" s="6"/>
      <c r="NC385" s="6"/>
      <c r="ND385" s="6"/>
      <c r="NE385" s="6"/>
      <c r="NF385" s="6"/>
      <c r="NG385" s="6"/>
      <c r="NH385" s="6"/>
      <c r="NI385" s="6"/>
      <c r="NJ385" s="6"/>
      <c r="NK385" s="6"/>
      <c r="NL385" s="6"/>
      <c r="NM385" s="6"/>
      <c r="NN385" s="6"/>
      <c r="NO385" s="6"/>
      <c r="NP385" s="6"/>
      <c r="NQ385" s="6"/>
      <c r="NR385" s="6"/>
      <c r="NS385" s="6"/>
      <c r="NT385" s="6"/>
      <c r="NU385" s="6"/>
      <c r="NV385" s="6"/>
    </row>
    <row r="386" spans="1:386" s="19" customFormat="1" ht="20.100000000000001" customHeight="1" x14ac:dyDescent="0.35">
      <c r="A386" s="1"/>
      <c r="B386" s="2"/>
      <c r="C386" s="3"/>
      <c r="D386" s="2"/>
      <c r="E386" s="2"/>
      <c r="F386" s="4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9"/>
      <c r="FL386" s="9"/>
      <c r="FM386" s="9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135"/>
      <c r="IK386" s="135"/>
      <c r="IL386" s="135"/>
      <c r="IN386" s="6"/>
      <c r="IO386" s="6"/>
      <c r="IP386" s="6"/>
      <c r="IQ386" s="6"/>
      <c r="IR386" s="6"/>
      <c r="IS386" s="6"/>
      <c r="IT386" s="6"/>
      <c r="IU386" s="6"/>
      <c r="IV386" s="6"/>
      <c r="IW386" s="6"/>
      <c r="IX386" s="6"/>
      <c r="IY386" s="6"/>
      <c r="IZ386" s="6"/>
      <c r="JA386" s="6"/>
      <c r="JB386" s="6"/>
      <c r="JC386" s="6"/>
      <c r="JD386" s="6"/>
      <c r="JE386" s="6"/>
      <c r="JF386" s="6"/>
      <c r="JG386" s="6"/>
      <c r="JH386" s="6"/>
      <c r="JI386" s="6"/>
      <c r="JJ386" s="6"/>
      <c r="JK386" s="6"/>
      <c r="JL386" s="6"/>
      <c r="JM386" s="6"/>
      <c r="JN386" s="6"/>
      <c r="JO386" s="6"/>
      <c r="JP386" s="6"/>
      <c r="JQ386" s="6"/>
      <c r="JR386" s="6"/>
      <c r="JS386" s="6"/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6"/>
      <c r="KZ386" s="6"/>
      <c r="LA386" s="6"/>
      <c r="LB386" s="6"/>
      <c r="LC386" s="6"/>
      <c r="LD386" s="6"/>
      <c r="LE386" s="6"/>
      <c r="LF386" s="6"/>
      <c r="LG386" s="6"/>
      <c r="LH386" s="6"/>
      <c r="LI386" s="6"/>
      <c r="LJ386" s="6"/>
      <c r="LK386" s="6"/>
      <c r="LL386" s="6"/>
      <c r="LM386" s="6"/>
      <c r="LN386" s="6"/>
      <c r="LO386" s="6"/>
      <c r="LP386" s="6"/>
      <c r="LQ386" s="6"/>
      <c r="LR386" s="6"/>
      <c r="LS386" s="6"/>
      <c r="LT386" s="6"/>
      <c r="LU386" s="6"/>
      <c r="LV386" s="6"/>
      <c r="LW386" s="6"/>
      <c r="LX386" s="6"/>
      <c r="LY386" s="6"/>
      <c r="LZ386" s="6"/>
      <c r="MA386" s="6"/>
      <c r="MB386" s="6"/>
      <c r="MC386" s="6"/>
      <c r="MD386" s="6"/>
      <c r="ME386" s="6"/>
      <c r="MF386" s="6"/>
      <c r="MG386" s="6"/>
      <c r="MH386" s="6"/>
      <c r="MI386" s="6"/>
      <c r="MJ386" s="6"/>
      <c r="MK386" s="6"/>
      <c r="ML386" s="6"/>
      <c r="MM386" s="6"/>
      <c r="MN386" s="6"/>
      <c r="MO386" s="6"/>
      <c r="MP386" s="6"/>
      <c r="MQ386" s="6"/>
      <c r="MR386" s="6"/>
      <c r="MS386" s="6"/>
      <c r="MT386" s="6"/>
      <c r="MU386" s="6"/>
      <c r="MV386" s="6"/>
      <c r="MW386" s="6"/>
      <c r="MX386" s="6"/>
      <c r="MY386" s="6"/>
      <c r="MZ386" s="6"/>
      <c r="NA386" s="6"/>
      <c r="NB386" s="6"/>
      <c r="NC386" s="6"/>
      <c r="ND386" s="6"/>
      <c r="NE386" s="6"/>
      <c r="NF386" s="6"/>
      <c r="NG386" s="6"/>
      <c r="NH386" s="6"/>
      <c r="NI386" s="6"/>
      <c r="NJ386" s="6"/>
      <c r="NK386" s="6"/>
      <c r="NL386" s="6"/>
      <c r="NM386" s="6"/>
      <c r="NN386" s="6"/>
      <c r="NO386" s="6"/>
      <c r="NP386" s="6"/>
      <c r="NQ386" s="6"/>
      <c r="NR386" s="6"/>
      <c r="NS386" s="6"/>
      <c r="NT386" s="6"/>
      <c r="NU386" s="6"/>
      <c r="NV386" s="6"/>
    </row>
    <row r="387" spans="1:386" s="19" customFormat="1" ht="20.100000000000001" customHeight="1" x14ac:dyDescent="0.35">
      <c r="A387" s="1"/>
      <c r="B387" s="2"/>
      <c r="C387" s="3"/>
      <c r="D387" s="2"/>
      <c r="E387" s="2"/>
      <c r="F387" s="4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9"/>
      <c r="FL387" s="9"/>
      <c r="FM387" s="9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135"/>
      <c r="IK387" s="135"/>
      <c r="IL387" s="135"/>
      <c r="IN387" s="6"/>
      <c r="IO387" s="6"/>
      <c r="IP387" s="6"/>
      <c r="IQ387" s="6"/>
      <c r="IR387" s="6"/>
      <c r="IS387" s="6"/>
      <c r="IT387" s="6"/>
      <c r="IU387" s="6"/>
      <c r="IV387" s="6"/>
      <c r="IW387" s="6"/>
      <c r="IX387" s="6"/>
      <c r="IY387" s="6"/>
      <c r="IZ387" s="6"/>
      <c r="JA387" s="6"/>
      <c r="JB387" s="6"/>
      <c r="JC387" s="6"/>
      <c r="JD387" s="6"/>
      <c r="JE387" s="6"/>
      <c r="JF387" s="6"/>
      <c r="JG387" s="6"/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6"/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6"/>
      <c r="KZ387" s="6"/>
      <c r="LA387" s="6"/>
      <c r="LB387" s="6"/>
      <c r="LC387" s="6"/>
      <c r="LD387" s="6"/>
      <c r="LE387" s="6"/>
      <c r="LF387" s="6"/>
      <c r="LG387" s="6"/>
      <c r="LH387" s="6"/>
      <c r="LI387" s="6"/>
      <c r="LJ387" s="6"/>
      <c r="LK387" s="6"/>
      <c r="LL387" s="6"/>
      <c r="LM387" s="6"/>
      <c r="LN387" s="6"/>
      <c r="LO387" s="6"/>
      <c r="LP387" s="6"/>
      <c r="LQ387" s="6"/>
      <c r="LR387" s="6"/>
      <c r="LS387" s="6"/>
      <c r="LT387" s="6"/>
      <c r="LU387" s="6"/>
      <c r="LV387" s="6"/>
      <c r="LW387" s="6"/>
      <c r="LX387" s="6"/>
      <c r="LY387" s="6"/>
      <c r="LZ387" s="6"/>
      <c r="MA387" s="6"/>
      <c r="MB387" s="6"/>
      <c r="MC387" s="6"/>
      <c r="MD387" s="6"/>
      <c r="ME387" s="6"/>
      <c r="MF387" s="6"/>
      <c r="MG387" s="6"/>
      <c r="MH387" s="6"/>
      <c r="MI387" s="6"/>
      <c r="MJ387" s="6"/>
      <c r="MK387" s="6"/>
      <c r="ML387" s="6"/>
      <c r="MM387" s="6"/>
      <c r="MN387" s="6"/>
      <c r="MO387" s="6"/>
      <c r="MP387" s="6"/>
      <c r="MQ387" s="6"/>
      <c r="MR387" s="6"/>
      <c r="MS387" s="6"/>
      <c r="MT387" s="6"/>
      <c r="MU387" s="6"/>
      <c r="MV387" s="6"/>
      <c r="MW387" s="6"/>
      <c r="MX387" s="6"/>
      <c r="MY387" s="6"/>
      <c r="MZ387" s="6"/>
      <c r="NA387" s="6"/>
      <c r="NB387" s="6"/>
      <c r="NC387" s="6"/>
      <c r="ND387" s="6"/>
      <c r="NE387" s="6"/>
      <c r="NF387" s="6"/>
      <c r="NG387" s="6"/>
      <c r="NH387" s="6"/>
      <c r="NI387" s="6"/>
      <c r="NJ387" s="6"/>
      <c r="NK387" s="6"/>
      <c r="NL387" s="6"/>
      <c r="NM387" s="6"/>
      <c r="NN387" s="6"/>
      <c r="NO387" s="6"/>
      <c r="NP387" s="6"/>
      <c r="NQ387" s="6"/>
      <c r="NR387" s="6"/>
      <c r="NS387" s="6"/>
      <c r="NT387" s="6"/>
      <c r="NU387" s="6"/>
      <c r="NV387" s="6"/>
    </row>
    <row r="388" spans="1:386" s="19" customFormat="1" ht="20.100000000000001" customHeight="1" x14ac:dyDescent="0.35">
      <c r="A388" s="1"/>
      <c r="B388" s="2"/>
      <c r="C388" s="3"/>
      <c r="D388" s="2"/>
      <c r="E388" s="2"/>
      <c r="F388" s="4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9"/>
      <c r="FL388" s="9"/>
      <c r="FM388" s="9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135"/>
      <c r="IK388" s="135"/>
      <c r="IL388" s="135"/>
      <c r="IN388" s="6"/>
      <c r="IO388" s="6"/>
      <c r="IP388" s="6"/>
      <c r="IQ388" s="6"/>
      <c r="IR388" s="6"/>
      <c r="IS388" s="6"/>
      <c r="IT388" s="6"/>
      <c r="IU388" s="6"/>
      <c r="IV388" s="6"/>
      <c r="IW388" s="6"/>
      <c r="IX388" s="6"/>
      <c r="IY388" s="6"/>
      <c r="IZ388" s="6"/>
      <c r="JA388" s="6"/>
      <c r="JB388" s="6"/>
      <c r="JC388" s="6"/>
      <c r="JD388" s="6"/>
      <c r="JE388" s="6"/>
      <c r="JF388" s="6"/>
      <c r="JG388" s="6"/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6"/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6"/>
      <c r="KZ388" s="6"/>
      <c r="LA388" s="6"/>
      <c r="LB388" s="6"/>
      <c r="LC388" s="6"/>
      <c r="LD388" s="6"/>
      <c r="LE388" s="6"/>
      <c r="LF388" s="6"/>
      <c r="LG388" s="6"/>
      <c r="LH388" s="6"/>
      <c r="LI388" s="6"/>
      <c r="LJ388" s="6"/>
      <c r="LK388" s="6"/>
      <c r="LL388" s="6"/>
      <c r="LM388" s="6"/>
      <c r="LN388" s="6"/>
      <c r="LO388" s="6"/>
      <c r="LP388" s="6"/>
      <c r="LQ388" s="6"/>
      <c r="LR388" s="6"/>
      <c r="LS388" s="6"/>
      <c r="LT388" s="6"/>
      <c r="LU388" s="6"/>
      <c r="LV388" s="6"/>
      <c r="LW388" s="6"/>
      <c r="LX388" s="6"/>
      <c r="LY388" s="6"/>
      <c r="LZ388" s="6"/>
      <c r="MA388" s="6"/>
      <c r="MB388" s="6"/>
      <c r="MC388" s="6"/>
      <c r="MD388" s="6"/>
      <c r="ME388" s="6"/>
      <c r="MF388" s="6"/>
      <c r="MG388" s="6"/>
      <c r="MH388" s="6"/>
      <c r="MI388" s="6"/>
      <c r="MJ388" s="6"/>
      <c r="MK388" s="6"/>
      <c r="ML388" s="6"/>
      <c r="MM388" s="6"/>
      <c r="MN388" s="6"/>
      <c r="MO388" s="6"/>
      <c r="MP388" s="6"/>
      <c r="MQ388" s="6"/>
      <c r="MR388" s="6"/>
      <c r="MS388" s="6"/>
      <c r="MT388" s="6"/>
      <c r="MU388" s="6"/>
      <c r="MV388" s="6"/>
      <c r="MW388" s="6"/>
      <c r="MX388" s="6"/>
      <c r="MY388" s="6"/>
      <c r="MZ388" s="6"/>
      <c r="NA388" s="6"/>
      <c r="NB388" s="6"/>
      <c r="NC388" s="6"/>
      <c r="ND388" s="6"/>
      <c r="NE388" s="6"/>
      <c r="NF388" s="6"/>
      <c r="NG388" s="6"/>
      <c r="NH388" s="6"/>
      <c r="NI388" s="6"/>
      <c r="NJ388" s="6"/>
      <c r="NK388" s="6"/>
      <c r="NL388" s="6"/>
      <c r="NM388" s="6"/>
      <c r="NN388" s="6"/>
      <c r="NO388" s="6"/>
      <c r="NP388" s="6"/>
      <c r="NQ388" s="6"/>
      <c r="NR388" s="6"/>
      <c r="NS388" s="6"/>
      <c r="NT388" s="6"/>
      <c r="NU388" s="6"/>
      <c r="NV388" s="6"/>
    </row>
    <row r="389" spans="1:386" s="19" customFormat="1" ht="20.100000000000001" customHeight="1" x14ac:dyDescent="0.35">
      <c r="A389" s="1"/>
      <c r="B389" s="2"/>
      <c r="C389" s="3"/>
      <c r="D389" s="2"/>
      <c r="E389" s="2"/>
      <c r="F389" s="4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9"/>
      <c r="FL389" s="9"/>
      <c r="FM389" s="9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135"/>
      <c r="IK389" s="135"/>
      <c r="IL389" s="135"/>
      <c r="IN389" s="6"/>
      <c r="IO389" s="6"/>
      <c r="IP389" s="6"/>
      <c r="IQ389" s="6"/>
      <c r="IR389" s="6"/>
      <c r="IS389" s="6"/>
      <c r="IT389" s="6"/>
      <c r="IU389" s="6"/>
      <c r="IV389" s="6"/>
      <c r="IW389" s="6"/>
      <c r="IX389" s="6"/>
      <c r="IY389" s="6"/>
      <c r="IZ389" s="6"/>
      <c r="JA389" s="6"/>
      <c r="JB389" s="6"/>
      <c r="JC389" s="6"/>
      <c r="JD389" s="6"/>
      <c r="JE389" s="6"/>
      <c r="JF389" s="6"/>
      <c r="JG389" s="6"/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6"/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6"/>
      <c r="KZ389" s="6"/>
      <c r="LA389" s="6"/>
      <c r="LB389" s="6"/>
      <c r="LC389" s="6"/>
      <c r="LD389" s="6"/>
      <c r="LE389" s="6"/>
      <c r="LF389" s="6"/>
      <c r="LG389" s="6"/>
      <c r="LH389" s="6"/>
      <c r="LI389" s="6"/>
      <c r="LJ389" s="6"/>
      <c r="LK389" s="6"/>
      <c r="LL389" s="6"/>
      <c r="LM389" s="6"/>
      <c r="LN389" s="6"/>
      <c r="LO389" s="6"/>
      <c r="LP389" s="6"/>
      <c r="LQ389" s="6"/>
      <c r="LR389" s="6"/>
      <c r="LS389" s="6"/>
      <c r="LT389" s="6"/>
      <c r="LU389" s="6"/>
      <c r="LV389" s="6"/>
      <c r="LW389" s="6"/>
      <c r="LX389" s="6"/>
      <c r="LY389" s="6"/>
      <c r="LZ389" s="6"/>
      <c r="MA389" s="6"/>
      <c r="MB389" s="6"/>
      <c r="MC389" s="6"/>
      <c r="MD389" s="6"/>
      <c r="ME389" s="6"/>
      <c r="MF389" s="6"/>
      <c r="MG389" s="6"/>
      <c r="MH389" s="6"/>
      <c r="MI389" s="6"/>
      <c r="MJ389" s="6"/>
      <c r="MK389" s="6"/>
      <c r="ML389" s="6"/>
      <c r="MM389" s="6"/>
      <c r="MN389" s="6"/>
      <c r="MO389" s="6"/>
      <c r="MP389" s="6"/>
      <c r="MQ389" s="6"/>
      <c r="MR389" s="6"/>
      <c r="MS389" s="6"/>
      <c r="MT389" s="6"/>
      <c r="MU389" s="6"/>
      <c r="MV389" s="6"/>
      <c r="MW389" s="6"/>
      <c r="MX389" s="6"/>
      <c r="MY389" s="6"/>
      <c r="MZ389" s="6"/>
      <c r="NA389" s="6"/>
      <c r="NB389" s="6"/>
      <c r="NC389" s="6"/>
      <c r="ND389" s="6"/>
      <c r="NE389" s="6"/>
      <c r="NF389" s="6"/>
      <c r="NG389" s="6"/>
      <c r="NH389" s="6"/>
      <c r="NI389" s="6"/>
      <c r="NJ389" s="6"/>
      <c r="NK389" s="6"/>
      <c r="NL389" s="6"/>
      <c r="NM389" s="6"/>
      <c r="NN389" s="6"/>
      <c r="NO389" s="6"/>
      <c r="NP389" s="6"/>
      <c r="NQ389" s="6"/>
      <c r="NR389" s="6"/>
      <c r="NS389" s="6"/>
      <c r="NT389" s="6"/>
      <c r="NU389" s="6"/>
      <c r="NV389" s="6"/>
    </row>
    <row r="390" spans="1:386" s="19" customFormat="1" ht="20.100000000000001" customHeight="1" x14ac:dyDescent="0.35">
      <c r="A390" s="1"/>
      <c r="B390" s="2"/>
      <c r="C390" s="3"/>
      <c r="D390" s="2"/>
      <c r="E390" s="2"/>
      <c r="F390" s="4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9"/>
      <c r="FL390" s="9"/>
      <c r="FM390" s="9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135"/>
      <c r="IK390" s="135"/>
      <c r="IL390" s="135"/>
      <c r="IN390" s="6"/>
      <c r="IO390" s="6"/>
      <c r="IP390" s="6"/>
      <c r="IQ390" s="6"/>
      <c r="IR390" s="6"/>
      <c r="IS390" s="6"/>
      <c r="IT390" s="6"/>
      <c r="IU390" s="6"/>
      <c r="IV390" s="6"/>
      <c r="IW390" s="6"/>
      <c r="IX390" s="6"/>
      <c r="IY390" s="6"/>
      <c r="IZ390" s="6"/>
      <c r="JA390" s="6"/>
      <c r="JB390" s="6"/>
      <c r="JC390" s="6"/>
      <c r="JD390" s="6"/>
      <c r="JE390" s="6"/>
      <c r="JF390" s="6"/>
      <c r="JG390" s="6"/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6"/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6"/>
      <c r="KZ390" s="6"/>
      <c r="LA390" s="6"/>
      <c r="LB390" s="6"/>
      <c r="LC390" s="6"/>
      <c r="LD390" s="6"/>
      <c r="LE390" s="6"/>
      <c r="LF390" s="6"/>
      <c r="LG390" s="6"/>
      <c r="LH390" s="6"/>
      <c r="LI390" s="6"/>
      <c r="LJ390" s="6"/>
      <c r="LK390" s="6"/>
      <c r="LL390" s="6"/>
      <c r="LM390" s="6"/>
      <c r="LN390" s="6"/>
      <c r="LO390" s="6"/>
      <c r="LP390" s="6"/>
      <c r="LQ390" s="6"/>
      <c r="LR390" s="6"/>
      <c r="LS390" s="6"/>
      <c r="LT390" s="6"/>
      <c r="LU390" s="6"/>
      <c r="LV390" s="6"/>
      <c r="LW390" s="6"/>
      <c r="LX390" s="6"/>
      <c r="LY390" s="6"/>
      <c r="LZ390" s="6"/>
      <c r="MA390" s="6"/>
      <c r="MB390" s="6"/>
      <c r="MC390" s="6"/>
      <c r="MD390" s="6"/>
      <c r="ME390" s="6"/>
      <c r="MF390" s="6"/>
      <c r="MG390" s="6"/>
      <c r="MH390" s="6"/>
      <c r="MI390" s="6"/>
      <c r="MJ390" s="6"/>
      <c r="MK390" s="6"/>
      <c r="ML390" s="6"/>
      <c r="MM390" s="6"/>
      <c r="MN390" s="6"/>
      <c r="MO390" s="6"/>
      <c r="MP390" s="6"/>
      <c r="MQ390" s="6"/>
      <c r="MR390" s="6"/>
      <c r="MS390" s="6"/>
      <c r="MT390" s="6"/>
      <c r="MU390" s="6"/>
      <c r="MV390" s="6"/>
      <c r="MW390" s="6"/>
      <c r="MX390" s="6"/>
      <c r="MY390" s="6"/>
      <c r="MZ390" s="6"/>
      <c r="NA390" s="6"/>
      <c r="NB390" s="6"/>
      <c r="NC390" s="6"/>
      <c r="ND390" s="6"/>
      <c r="NE390" s="6"/>
      <c r="NF390" s="6"/>
      <c r="NG390" s="6"/>
      <c r="NH390" s="6"/>
      <c r="NI390" s="6"/>
      <c r="NJ390" s="6"/>
      <c r="NK390" s="6"/>
      <c r="NL390" s="6"/>
      <c r="NM390" s="6"/>
      <c r="NN390" s="6"/>
      <c r="NO390" s="6"/>
      <c r="NP390" s="6"/>
      <c r="NQ390" s="6"/>
      <c r="NR390" s="6"/>
      <c r="NS390" s="6"/>
      <c r="NT390" s="6"/>
      <c r="NU390" s="6"/>
      <c r="NV390" s="6"/>
    </row>
    <row r="391" spans="1:386" s="19" customFormat="1" ht="20.100000000000001" customHeight="1" x14ac:dyDescent="0.35">
      <c r="A391" s="1"/>
      <c r="B391" s="2"/>
      <c r="C391" s="3"/>
      <c r="D391" s="2"/>
      <c r="E391" s="2"/>
      <c r="F391" s="4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9"/>
      <c r="FL391" s="9"/>
      <c r="FM391" s="9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135"/>
      <c r="IK391" s="135"/>
      <c r="IL391" s="135"/>
      <c r="IN391" s="6"/>
      <c r="IO391" s="6"/>
      <c r="IP391" s="6"/>
      <c r="IQ391" s="6"/>
      <c r="IR391" s="6"/>
      <c r="IS391" s="6"/>
      <c r="IT391" s="6"/>
      <c r="IU391" s="6"/>
      <c r="IV391" s="6"/>
      <c r="IW391" s="6"/>
      <c r="IX391" s="6"/>
      <c r="IY391" s="6"/>
      <c r="IZ391" s="6"/>
      <c r="JA391" s="6"/>
      <c r="JB391" s="6"/>
      <c r="JC391" s="6"/>
      <c r="JD391" s="6"/>
      <c r="JE391" s="6"/>
      <c r="JF391" s="6"/>
      <c r="JG391" s="6"/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6"/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6"/>
      <c r="KZ391" s="6"/>
      <c r="LA391" s="6"/>
      <c r="LB391" s="6"/>
      <c r="LC391" s="6"/>
      <c r="LD391" s="6"/>
      <c r="LE391" s="6"/>
      <c r="LF391" s="6"/>
      <c r="LG391" s="6"/>
      <c r="LH391" s="6"/>
      <c r="LI391" s="6"/>
      <c r="LJ391" s="6"/>
      <c r="LK391" s="6"/>
      <c r="LL391" s="6"/>
      <c r="LM391" s="6"/>
      <c r="LN391" s="6"/>
      <c r="LO391" s="6"/>
      <c r="LP391" s="6"/>
      <c r="LQ391" s="6"/>
      <c r="LR391" s="6"/>
      <c r="LS391" s="6"/>
      <c r="LT391" s="6"/>
      <c r="LU391" s="6"/>
      <c r="LV391" s="6"/>
      <c r="LW391" s="6"/>
      <c r="LX391" s="6"/>
      <c r="LY391" s="6"/>
      <c r="LZ391" s="6"/>
      <c r="MA391" s="6"/>
      <c r="MB391" s="6"/>
      <c r="MC391" s="6"/>
      <c r="MD391" s="6"/>
      <c r="ME391" s="6"/>
      <c r="MF391" s="6"/>
      <c r="MG391" s="6"/>
      <c r="MH391" s="6"/>
      <c r="MI391" s="6"/>
      <c r="MJ391" s="6"/>
      <c r="MK391" s="6"/>
      <c r="ML391" s="6"/>
      <c r="MM391" s="6"/>
      <c r="MN391" s="6"/>
      <c r="MO391" s="6"/>
      <c r="MP391" s="6"/>
      <c r="MQ391" s="6"/>
      <c r="MR391" s="6"/>
      <c r="MS391" s="6"/>
      <c r="MT391" s="6"/>
      <c r="MU391" s="6"/>
      <c r="MV391" s="6"/>
      <c r="MW391" s="6"/>
      <c r="MX391" s="6"/>
      <c r="MY391" s="6"/>
      <c r="MZ391" s="6"/>
      <c r="NA391" s="6"/>
      <c r="NB391" s="6"/>
      <c r="NC391" s="6"/>
      <c r="ND391" s="6"/>
      <c r="NE391" s="6"/>
      <c r="NF391" s="6"/>
      <c r="NG391" s="6"/>
      <c r="NH391" s="6"/>
      <c r="NI391" s="6"/>
      <c r="NJ391" s="6"/>
      <c r="NK391" s="6"/>
      <c r="NL391" s="6"/>
      <c r="NM391" s="6"/>
      <c r="NN391" s="6"/>
      <c r="NO391" s="6"/>
      <c r="NP391" s="6"/>
      <c r="NQ391" s="6"/>
      <c r="NR391" s="6"/>
      <c r="NS391" s="6"/>
      <c r="NT391" s="6"/>
      <c r="NU391" s="6"/>
      <c r="NV391" s="6"/>
    </row>
    <row r="392" spans="1:386" s="19" customFormat="1" ht="20.100000000000001" customHeight="1" x14ac:dyDescent="0.35">
      <c r="A392" s="1"/>
      <c r="B392" s="2"/>
      <c r="C392" s="3"/>
      <c r="D392" s="2"/>
      <c r="E392" s="2"/>
      <c r="F392" s="4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9"/>
      <c r="FL392" s="9"/>
      <c r="FM392" s="9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135"/>
      <c r="IK392" s="135"/>
      <c r="IL392" s="135"/>
      <c r="IN392" s="6"/>
      <c r="IO392" s="6"/>
      <c r="IP392" s="6"/>
      <c r="IQ392" s="6"/>
      <c r="IR392" s="6"/>
      <c r="IS392" s="6"/>
      <c r="IT392" s="6"/>
      <c r="IU392" s="6"/>
      <c r="IV392" s="6"/>
      <c r="IW392" s="6"/>
      <c r="IX392" s="6"/>
      <c r="IY392" s="6"/>
      <c r="IZ392" s="6"/>
      <c r="JA392" s="6"/>
      <c r="JB392" s="6"/>
      <c r="JC392" s="6"/>
      <c r="JD392" s="6"/>
      <c r="JE392" s="6"/>
      <c r="JF392" s="6"/>
      <c r="JG392" s="6"/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6"/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6"/>
      <c r="KZ392" s="6"/>
      <c r="LA392" s="6"/>
      <c r="LB392" s="6"/>
      <c r="LC392" s="6"/>
      <c r="LD392" s="6"/>
      <c r="LE392" s="6"/>
      <c r="LF392" s="6"/>
      <c r="LG392" s="6"/>
      <c r="LH392" s="6"/>
      <c r="LI392" s="6"/>
      <c r="LJ392" s="6"/>
      <c r="LK392" s="6"/>
      <c r="LL392" s="6"/>
      <c r="LM392" s="6"/>
      <c r="LN392" s="6"/>
      <c r="LO392" s="6"/>
      <c r="LP392" s="6"/>
      <c r="LQ392" s="6"/>
      <c r="LR392" s="6"/>
      <c r="LS392" s="6"/>
      <c r="LT392" s="6"/>
      <c r="LU392" s="6"/>
      <c r="LV392" s="6"/>
      <c r="LW392" s="6"/>
      <c r="LX392" s="6"/>
      <c r="LY392" s="6"/>
      <c r="LZ392" s="6"/>
      <c r="MA392" s="6"/>
      <c r="MB392" s="6"/>
      <c r="MC392" s="6"/>
      <c r="MD392" s="6"/>
      <c r="ME392" s="6"/>
      <c r="MF392" s="6"/>
      <c r="MG392" s="6"/>
      <c r="MH392" s="6"/>
      <c r="MI392" s="6"/>
      <c r="MJ392" s="6"/>
      <c r="MK392" s="6"/>
      <c r="ML392" s="6"/>
      <c r="MM392" s="6"/>
      <c r="MN392" s="6"/>
      <c r="MO392" s="6"/>
      <c r="MP392" s="6"/>
      <c r="MQ392" s="6"/>
      <c r="MR392" s="6"/>
      <c r="MS392" s="6"/>
      <c r="MT392" s="6"/>
      <c r="MU392" s="6"/>
      <c r="MV392" s="6"/>
      <c r="MW392" s="6"/>
      <c r="MX392" s="6"/>
      <c r="MY392" s="6"/>
      <c r="MZ392" s="6"/>
      <c r="NA392" s="6"/>
      <c r="NB392" s="6"/>
      <c r="NC392" s="6"/>
      <c r="ND392" s="6"/>
      <c r="NE392" s="6"/>
      <c r="NF392" s="6"/>
      <c r="NG392" s="6"/>
      <c r="NH392" s="6"/>
      <c r="NI392" s="6"/>
      <c r="NJ392" s="6"/>
      <c r="NK392" s="6"/>
      <c r="NL392" s="6"/>
      <c r="NM392" s="6"/>
      <c r="NN392" s="6"/>
      <c r="NO392" s="6"/>
      <c r="NP392" s="6"/>
      <c r="NQ392" s="6"/>
      <c r="NR392" s="6"/>
      <c r="NS392" s="6"/>
      <c r="NT392" s="6"/>
      <c r="NU392" s="6"/>
      <c r="NV392" s="6"/>
    </row>
    <row r="393" spans="1:386" s="19" customFormat="1" ht="20.100000000000001" customHeight="1" x14ac:dyDescent="0.35">
      <c r="A393" s="1"/>
      <c r="B393" s="2"/>
      <c r="C393" s="3"/>
      <c r="D393" s="2"/>
      <c r="E393" s="2"/>
      <c r="F393" s="4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9"/>
      <c r="FL393" s="9"/>
      <c r="FM393" s="9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135"/>
      <c r="IK393" s="135"/>
      <c r="IL393" s="135"/>
      <c r="IN393" s="6"/>
      <c r="IO393" s="6"/>
      <c r="IP393" s="6"/>
      <c r="IQ393" s="6"/>
      <c r="IR393" s="6"/>
      <c r="IS393" s="6"/>
      <c r="IT393" s="6"/>
      <c r="IU393" s="6"/>
      <c r="IV393" s="6"/>
      <c r="IW393" s="6"/>
      <c r="IX393" s="6"/>
      <c r="IY393" s="6"/>
      <c r="IZ393" s="6"/>
      <c r="JA393" s="6"/>
      <c r="JB393" s="6"/>
      <c r="JC393" s="6"/>
      <c r="JD393" s="6"/>
      <c r="JE393" s="6"/>
      <c r="JF393" s="6"/>
      <c r="JG393" s="6"/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6"/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6"/>
      <c r="KZ393" s="6"/>
      <c r="LA393" s="6"/>
      <c r="LB393" s="6"/>
      <c r="LC393" s="6"/>
      <c r="LD393" s="6"/>
      <c r="LE393" s="6"/>
      <c r="LF393" s="6"/>
      <c r="LG393" s="6"/>
      <c r="LH393" s="6"/>
      <c r="LI393" s="6"/>
      <c r="LJ393" s="6"/>
      <c r="LK393" s="6"/>
      <c r="LL393" s="6"/>
      <c r="LM393" s="6"/>
      <c r="LN393" s="6"/>
      <c r="LO393" s="6"/>
      <c r="LP393" s="6"/>
      <c r="LQ393" s="6"/>
      <c r="LR393" s="6"/>
      <c r="LS393" s="6"/>
      <c r="LT393" s="6"/>
      <c r="LU393" s="6"/>
      <c r="LV393" s="6"/>
      <c r="LW393" s="6"/>
      <c r="LX393" s="6"/>
      <c r="LY393" s="6"/>
      <c r="LZ393" s="6"/>
      <c r="MA393" s="6"/>
      <c r="MB393" s="6"/>
      <c r="MC393" s="6"/>
      <c r="MD393" s="6"/>
      <c r="ME393" s="6"/>
      <c r="MF393" s="6"/>
      <c r="MG393" s="6"/>
      <c r="MH393" s="6"/>
      <c r="MI393" s="6"/>
      <c r="MJ393" s="6"/>
      <c r="MK393" s="6"/>
      <c r="ML393" s="6"/>
      <c r="MM393" s="6"/>
      <c r="MN393" s="6"/>
      <c r="MO393" s="6"/>
      <c r="MP393" s="6"/>
      <c r="MQ393" s="6"/>
      <c r="MR393" s="6"/>
      <c r="MS393" s="6"/>
      <c r="MT393" s="6"/>
      <c r="MU393" s="6"/>
      <c r="MV393" s="6"/>
      <c r="MW393" s="6"/>
      <c r="MX393" s="6"/>
      <c r="MY393" s="6"/>
      <c r="MZ393" s="6"/>
      <c r="NA393" s="6"/>
      <c r="NB393" s="6"/>
      <c r="NC393" s="6"/>
      <c r="ND393" s="6"/>
      <c r="NE393" s="6"/>
      <c r="NF393" s="6"/>
      <c r="NG393" s="6"/>
      <c r="NH393" s="6"/>
      <c r="NI393" s="6"/>
      <c r="NJ393" s="6"/>
      <c r="NK393" s="6"/>
      <c r="NL393" s="6"/>
      <c r="NM393" s="6"/>
      <c r="NN393" s="6"/>
      <c r="NO393" s="6"/>
      <c r="NP393" s="6"/>
      <c r="NQ393" s="6"/>
      <c r="NR393" s="6"/>
      <c r="NS393" s="6"/>
      <c r="NT393" s="6"/>
      <c r="NU393" s="6"/>
      <c r="NV393" s="6"/>
    </row>
    <row r="394" spans="1:386" s="19" customFormat="1" ht="20.100000000000001" customHeight="1" x14ac:dyDescent="0.35">
      <c r="A394" s="1"/>
      <c r="B394" s="2"/>
      <c r="C394" s="3"/>
      <c r="D394" s="2"/>
      <c r="E394" s="2"/>
      <c r="F394" s="4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9"/>
      <c r="FL394" s="9"/>
      <c r="FM394" s="9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135"/>
      <c r="IK394" s="135"/>
      <c r="IL394" s="135"/>
      <c r="IN394" s="6"/>
      <c r="IO394" s="6"/>
      <c r="IP394" s="6"/>
      <c r="IQ394" s="6"/>
      <c r="IR394" s="6"/>
      <c r="IS394" s="6"/>
      <c r="IT394" s="6"/>
      <c r="IU394" s="6"/>
      <c r="IV394" s="6"/>
      <c r="IW394" s="6"/>
      <c r="IX394" s="6"/>
      <c r="IY394" s="6"/>
      <c r="IZ394" s="6"/>
      <c r="JA394" s="6"/>
      <c r="JB394" s="6"/>
      <c r="JC394" s="6"/>
      <c r="JD394" s="6"/>
      <c r="JE394" s="6"/>
      <c r="JF394" s="6"/>
      <c r="JG394" s="6"/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6"/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6"/>
      <c r="KZ394" s="6"/>
      <c r="LA394" s="6"/>
      <c r="LB394" s="6"/>
      <c r="LC394" s="6"/>
      <c r="LD394" s="6"/>
      <c r="LE394" s="6"/>
      <c r="LF394" s="6"/>
      <c r="LG394" s="6"/>
      <c r="LH394" s="6"/>
      <c r="LI394" s="6"/>
      <c r="LJ394" s="6"/>
      <c r="LK394" s="6"/>
      <c r="LL394" s="6"/>
      <c r="LM394" s="6"/>
      <c r="LN394" s="6"/>
      <c r="LO394" s="6"/>
      <c r="LP394" s="6"/>
      <c r="LQ394" s="6"/>
      <c r="LR394" s="6"/>
      <c r="LS394" s="6"/>
      <c r="LT394" s="6"/>
      <c r="LU394" s="6"/>
      <c r="LV394" s="6"/>
      <c r="LW394" s="6"/>
      <c r="LX394" s="6"/>
      <c r="LY394" s="6"/>
      <c r="LZ394" s="6"/>
      <c r="MA394" s="6"/>
      <c r="MB394" s="6"/>
      <c r="MC394" s="6"/>
      <c r="MD394" s="6"/>
      <c r="ME394" s="6"/>
      <c r="MF394" s="6"/>
      <c r="MG394" s="6"/>
      <c r="MH394" s="6"/>
      <c r="MI394" s="6"/>
      <c r="MJ394" s="6"/>
      <c r="MK394" s="6"/>
      <c r="ML394" s="6"/>
      <c r="MM394" s="6"/>
      <c r="MN394" s="6"/>
      <c r="MO394" s="6"/>
      <c r="MP394" s="6"/>
      <c r="MQ394" s="6"/>
      <c r="MR394" s="6"/>
      <c r="MS394" s="6"/>
      <c r="MT394" s="6"/>
      <c r="MU394" s="6"/>
      <c r="MV394" s="6"/>
      <c r="MW394" s="6"/>
      <c r="MX394" s="6"/>
      <c r="MY394" s="6"/>
      <c r="MZ394" s="6"/>
      <c r="NA394" s="6"/>
      <c r="NB394" s="6"/>
      <c r="NC394" s="6"/>
      <c r="ND394" s="6"/>
      <c r="NE394" s="6"/>
      <c r="NF394" s="6"/>
      <c r="NG394" s="6"/>
      <c r="NH394" s="6"/>
      <c r="NI394" s="6"/>
      <c r="NJ394" s="6"/>
      <c r="NK394" s="6"/>
      <c r="NL394" s="6"/>
      <c r="NM394" s="6"/>
      <c r="NN394" s="6"/>
      <c r="NO394" s="6"/>
      <c r="NP394" s="6"/>
      <c r="NQ394" s="6"/>
      <c r="NR394" s="6"/>
      <c r="NS394" s="6"/>
      <c r="NT394" s="6"/>
      <c r="NU394" s="6"/>
      <c r="NV394" s="6"/>
    </row>
    <row r="395" spans="1:386" s="19" customFormat="1" ht="20.100000000000001" customHeight="1" x14ac:dyDescent="0.35">
      <c r="A395" s="1"/>
      <c r="B395" s="2"/>
      <c r="C395" s="3"/>
      <c r="D395" s="2"/>
      <c r="E395" s="2"/>
      <c r="F395" s="4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9"/>
      <c r="FL395" s="9"/>
      <c r="FM395" s="9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135"/>
      <c r="IK395" s="135"/>
      <c r="IL395" s="135"/>
      <c r="IN395" s="6"/>
      <c r="IO395" s="6"/>
      <c r="IP395" s="6"/>
      <c r="IQ395" s="6"/>
      <c r="IR395" s="6"/>
      <c r="IS395" s="6"/>
      <c r="IT395" s="6"/>
      <c r="IU395" s="6"/>
      <c r="IV395" s="6"/>
      <c r="IW395" s="6"/>
      <c r="IX395" s="6"/>
      <c r="IY395" s="6"/>
      <c r="IZ395" s="6"/>
      <c r="JA395" s="6"/>
      <c r="JB395" s="6"/>
      <c r="JC395" s="6"/>
      <c r="JD395" s="6"/>
      <c r="JE395" s="6"/>
      <c r="JF395" s="6"/>
      <c r="JG395" s="6"/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6"/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6"/>
      <c r="KZ395" s="6"/>
      <c r="LA395" s="6"/>
      <c r="LB395" s="6"/>
      <c r="LC395" s="6"/>
      <c r="LD395" s="6"/>
      <c r="LE395" s="6"/>
      <c r="LF395" s="6"/>
      <c r="LG395" s="6"/>
      <c r="LH395" s="6"/>
      <c r="LI395" s="6"/>
      <c r="LJ395" s="6"/>
      <c r="LK395" s="6"/>
      <c r="LL395" s="6"/>
      <c r="LM395" s="6"/>
      <c r="LN395" s="6"/>
      <c r="LO395" s="6"/>
      <c r="LP395" s="6"/>
      <c r="LQ395" s="6"/>
      <c r="LR395" s="6"/>
      <c r="LS395" s="6"/>
      <c r="LT395" s="6"/>
      <c r="LU395" s="6"/>
      <c r="LV395" s="6"/>
      <c r="LW395" s="6"/>
      <c r="LX395" s="6"/>
      <c r="LY395" s="6"/>
      <c r="LZ395" s="6"/>
      <c r="MA395" s="6"/>
      <c r="MB395" s="6"/>
      <c r="MC395" s="6"/>
      <c r="MD395" s="6"/>
      <c r="ME395" s="6"/>
      <c r="MF395" s="6"/>
      <c r="MG395" s="6"/>
      <c r="MH395" s="6"/>
      <c r="MI395" s="6"/>
      <c r="MJ395" s="6"/>
      <c r="MK395" s="6"/>
      <c r="ML395" s="6"/>
      <c r="MM395" s="6"/>
      <c r="MN395" s="6"/>
      <c r="MO395" s="6"/>
      <c r="MP395" s="6"/>
      <c r="MQ395" s="6"/>
      <c r="MR395" s="6"/>
      <c r="MS395" s="6"/>
      <c r="MT395" s="6"/>
      <c r="MU395" s="6"/>
      <c r="MV395" s="6"/>
      <c r="MW395" s="6"/>
      <c r="MX395" s="6"/>
      <c r="MY395" s="6"/>
      <c r="MZ395" s="6"/>
      <c r="NA395" s="6"/>
      <c r="NB395" s="6"/>
      <c r="NC395" s="6"/>
      <c r="ND395" s="6"/>
      <c r="NE395" s="6"/>
      <c r="NF395" s="6"/>
      <c r="NG395" s="6"/>
      <c r="NH395" s="6"/>
      <c r="NI395" s="6"/>
      <c r="NJ395" s="6"/>
      <c r="NK395" s="6"/>
      <c r="NL395" s="6"/>
      <c r="NM395" s="6"/>
      <c r="NN395" s="6"/>
      <c r="NO395" s="6"/>
      <c r="NP395" s="6"/>
      <c r="NQ395" s="6"/>
      <c r="NR395" s="6"/>
      <c r="NS395" s="6"/>
      <c r="NT395" s="6"/>
      <c r="NU395" s="6"/>
      <c r="NV395" s="6"/>
    </row>
    <row r="396" spans="1:386" s="19" customFormat="1" ht="20.100000000000001" customHeight="1" x14ac:dyDescent="0.35">
      <c r="A396" s="1"/>
      <c r="B396" s="2"/>
      <c r="C396" s="3"/>
      <c r="D396" s="2"/>
      <c r="E396" s="2"/>
      <c r="F396" s="4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9"/>
      <c r="FL396" s="9"/>
      <c r="FM396" s="9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135"/>
      <c r="IK396" s="135"/>
      <c r="IL396" s="135"/>
      <c r="IN396" s="6"/>
      <c r="IO396" s="6"/>
      <c r="IP396" s="6"/>
      <c r="IQ396" s="6"/>
      <c r="IR396" s="6"/>
      <c r="IS396" s="6"/>
      <c r="IT396" s="6"/>
      <c r="IU396" s="6"/>
      <c r="IV396" s="6"/>
      <c r="IW396" s="6"/>
      <c r="IX396" s="6"/>
      <c r="IY396" s="6"/>
      <c r="IZ396" s="6"/>
      <c r="JA396" s="6"/>
      <c r="JB396" s="6"/>
      <c r="JC396" s="6"/>
      <c r="JD396" s="6"/>
      <c r="JE396" s="6"/>
      <c r="JF396" s="6"/>
      <c r="JG396" s="6"/>
      <c r="JH396" s="6"/>
      <c r="JI396" s="6"/>
      <c r="JJ396" s="6"/>
      <c r="JK396" s="6"/>
      <c r="JL396" s="6"/>
      <c r="JM396" s="6"/>
      <c r="JN396" s="6"/>
      <c r="JO396" s="6"/>
      <c r="JP396" s="6"/>
      <c r="JQ396" s="6"/>
      <c r="JR396" s="6"/>
      <c r="JS396" s="6"/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6"/>
      <c r="KZ396" s="6"/>
      <c r="LA396" s="6"/>
      <c r="LB396" s="6"/>
      <c r="LC396" s="6"/>
      <c r="LD396" s="6"/>
      <c r="LE396" s="6"/>
      <c r="LF396" s="6"/>
      <c r="LG396" s="6"/>
      <c r="LH396" s="6"/>
      <c r="LI396" s="6"/>
      <c r="LJ396" s="6"/>
      <c r="LK396" s="6"/>
      <c r="LL396" s="6"/>
      <c r="LM396" s="6"/>
      <c r="LN396" s="6"/>
      <c r="LO396" s="6"/>
      <c r="LP396" s="6"/>
      <c r="LQ396" s="6"/>
      <c r="LR396" s="6"/>
      <c r="LS396" s="6"/>
      <c r="LT396" s="6"/>
      <c r="LU396" s="6"/>
      <c r="LV396" s="6"/>
      <c r="LW396" s="6"/>
      <c r="LX396" s="6"/>
      <c r="LY396" s="6"/>
      <c r="LZ396" s="6"/>
      <c r="MA396" s="6"/>
      <c r="MB396" s="6"/>
      <c r="MC396" s="6"/>
      <c r="MD396" s="6"/>
      <c r="ME396" s="6"/>
      <c r="MF396" s="6"/>
      <c r="MG396" s="6"/>
      <c r="MH396" s="6"/>
      <c r="MI396" s="6"/>
      <c r="MJ396" s="6"/>
      <c r="MK396" s="6"/>
      <c r="ML396" s="6"/>
      <c r="MM396" s="6"/>
      <c r="MN396" s="6"/>
      <c r="MO396" s="6"/>
      <c r="MP396" s="6"/>
      <c r="MQ396" s="6"/>
      <c r="MR396" s="6"/>
      <c r="MS396" s="6"/>
      <c r="MT396" s="6"/>
      <c r="MU396" s="6"/>
      <c r="MV396" s="6"/>
      <c r="MW396" s="6"/>
      <c r="MX396" s="6"/>
      <c r="MY396" s="6"/>
      <c r="MZ396" s="6"/>
      <c r="NA396" s="6"/>
      <c r="NB396" s="6"/>
      <c r="NC396" s="6"/>
      <c r="ND396" s="6"/>
      <c r="NE396" s="6"/>
      <c r="NF396" s="6"/>
      <c r="NG396" s="6"/>
      <c r="NH396" s="6"/>
      <c r="NI396" s="6"/>
      <c r="NJ396" s="6"/>
      <c r="NK396" s="6"/>
      <c r="NL396" s="6"/>
      <c r="NM396" s="6"/>
      <c r="NN396" s="6"/>
      <c r="NO396" s="6"/>
      <c r="NP396" s="6"/>
      <c r="NQ396" s="6"/>
      <c r="NR396" s="6"/>
      <c r="NS396" s="6"/>
      <c r="NT396" s="6"/>
      <c r="NU396" s="6"/>
      <c r="NV396" s="6"/>
    </row>
    <row r="397" spans="1:386" s="19" customFormat="1" ht="20.100000000000001" customHeight="1" x14ac:dyDescent="0.35">
      <c r="A397" s="1"/>
      <c r="B397" s="2"/>
      <c r="C397" s="3"/>
      <c r="D397" s="2"/>
      <c r="E397" s="2"/>
      <c r="F397" s="4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9"/>
      <c r="FL397" s="9"/>
      <c r="FM397" s="9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135"/>
      <c r="IK397" s="135"/>
      <c r="IL397" s="135"/>
      <c r="IN397" s="6"/>
      <c r="IO397" s="6"/>
      <c r="IP397" s="6"/>
      <c r="IQ397" s="6"/>
      <c r="IR397" s="6"/>
      <c r="IS397" s="6"/>
      <c r="IT397" s="6"/>
      <c r="IU397" s="6"/>
      <c r="IV397" s="6"/>
      <c r="IW397" s="6"/>
      <c r="IX397" s="6"/>
      <c r="IY397" s="6"/>
      <c r="IZ397" s="6"/>
      <c r="JA397" s="6"/>
      <c r="JB397" s="6"/>
      <c r="JC397" s="6"/>
      <c r="JD397" s="6"/>
      <c r="JE397" s="6"/>
      <c r="JF397" s="6"/>
      <c r="JG397" s="6"/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6"/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6"/>
      <c r="KZ397" s="6"/>
      <c r="LA397" s="6"/>
      <c r="LB397" s="6"/>
      <c r="LC397" s="6"/>
      <c r="LD397" s="6"/>
      <c r="LE397" s="6"/>
      <c r="LF397" s="6"/>
      <c r="LG397" s="6"/>
      <c r="LH397" s="6"/>
      <c r="LI397" s="6"/>
      <c r="LJ397" s="6"/>
      <c r="LK397" s="6"/>
      <c r="LL397" s="6"/>
      <c r="LM397" s="6"/>
      <c r="LN397" s="6"/>
      <c r="LO397" s="6"/>
      <c r="LP397" s="6"/>
      <c r="LQ397" s="6"/>
      <c r="LR397" s="6"/>
      <c r="LS397" s="6"/>
      <c r="LT397" s="6"/>
      <c r="LU397" s="6"/>
      <c r="LV397" s="6"/>
      <c r="LW397" s="6"/>
      <c r="LX397" s="6"/>
      <c r="LY397" s="6"/>
      <c r="LZ397" s="6"/>
      <c r="MA397" s="6"/>
      <c r="MB397" s="6"/>
      <c r="MC397" s="6"/>
      <c r="MD397" s="6"/>
      <c r="ME397" s="6"/>
      <c r="MF397" s="6"/>
      <c r="MG397" s="6"/>
      <c r="MH397" s="6"/>
      <c r="MI397" s="6"/>
      <c r="MJ397" s="6"/>
      <c r="MK397" s="6"/>
      <c r="ML397" s="6"/>
      <c r="MM397" s="6"/>
      <c r="MN397" s="6"/>
      <c r="MO397" s="6"/>
      <c r="MP397" s="6"/>
      <c r="MQ397" s="6"/>
      <c r="MR397" s="6"/>
      <c r="MS397" s="6"/>
      <c r="MT397" s="6"/>
      <c r="MU397" s="6"/>
      <c r="MV397" s="6"/>
      <c r="MW397" s="6"/>
      <c r="MX397" s="6"/>
      <c r="MY397" s="6"/>
      <c r="MZ397" s="6"/>
      <c r="NA397" s="6"/>
      <c r="NB397" s="6"/>
      <c r="NC397" s="6"/>
      <c r="ND397" s="6"/>
      <c r="NE397" s="6"/>
      <c r="NF397" s="6"/>
      <c r="NG397" s="6"/>
      <c r="NH397" s="6"/>
      <c r="NI397" s="6"/>
      <c r="NJ397" s="6"/>
      <c r="NK397" s="6"/>
      <c r="NL397" s="6"/>
      <c r="NM397" s="6"/>
      <c r="NN397" s="6"/>
      <c r="NO397" s="6"/>
      <c r="NP397" s="6"/>
      <c r="NQ397" s="6"/>
      <c r="NR397" s="6"/>
      <c r="NS397" s="6"/>
      <c r="NT397" s="6"/>
      <c r="NU397" s="6"/>
      <c r="NV397" s="6"/>
    </row>
    <row r="398" spans="1:386" s="19" customFormat="1" ht="20.100000000000001" customHeight="1" x14ac:dyDescent="0.35">
      <c r="A398" s="1"/>
      <c r="B398" s="2"/>
      <c r="C398" s="3"/>
      <c r="D398" s="2"/>
      <c r="E398" s="2"/>
      <c r="F398" s="4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9"/>
      <c r="FL398" s="9"/>
      <c r="FM398" s="9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135"/>
      <c r="IK398" s="135"/>
      <c r="IL398" s="135"/>
      <c r="IN398" s="6"/>
      <c r="IO398" s="6"/>
      <c r="IP398" s="6"/>
      <c r="IQ398" s="6"/>
      <c r="IR398" s="6"/>
      <c r="IS398" s="6"/>
      <c r="IT398" s="6"/>
      <c r="IU398" s="6"/>
      <c r="IV398" s="6"/>
      <c r="IW398" s="6"/>
      <c r="IX398" s="6"/>
      <c r="IY398" s="6"/>
      <c r="IZ398" s="6"/>
      <c r="JA398" s="6"/>
      <c r="JB398" s="6"/>
      <c r="JC398" s="6"/>
      <c r="JD398" s="6"/>
      <c r="JE398" s="6"/>
      <c r="JF398" s="6"/>
      <c r="JG398" s="6"/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6"/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6"/>
      <c r="KZ398" s="6"/>
      <c r="LA398" s="6"/>
      <c r="LB398" s="6"/>
      <c r="LC398" s="6"/>
      <c r="LD398" s="6"/>
      <c r="LE398" s="6"/>
      <c r="LF398" s="6"/>
      <c r="LG398" s="6"/>
      <c r="LH398" s="6"/>
      <c r="LI398" s="6"/>
      <c r="LJ398" s="6"/>
      <c r="LK398" s="6"/>
      <c r="LL398" s="6"/>
      <c r="LM398" s="6"/>
      <c r="LN398" s="6"/>
      <c r="LO398" s="6"/>
      <c r="LP398" s="6"/>
      <c r="LQ398" s="6"/>
      <c r="LR398" s="6"/>
      <c r="LS398" s="6"/>
      <c r="LT398" s="6"/>
      <c r="LU398" s="6"/>
      <c r="LV398" s="6"/>
      <c r="LW398" s="6"/>
      <c r="LX398" s="6"/>
      <c r="LY398" s="6"/>
      <c r="LZ398" s="6"/>
      <c r="MA398" s="6"/>
      <c r="MB398" s="6"/>
      <c r="MC398" s="6"/>
      <c r="MD398" s="6"/>
      <c r="ME398" s="6"/>
      <c r="MF398" s="6"/>
      <c r="MG398" s="6"/>
      <c r="MH398" s="6"/>
      <c r="MI398" s="6"/>
      <c r="MJ398" s="6"/>
      <c r="MK398" s="6"/>
      <c r="ML398" s="6"/>
      <c r="MM398" s="6"/>
      <c r="MN398" s="6"/>
      <c r="MO398" s="6"/>
      <c r="MP398" s="6"/>
      <c r="MQ398" s="6"/>
      <c r="MR398" s="6"/>
      <c r="MS398" s="6"/>
      <c r="MT398" s="6"/>
      <c r="MU398" s="6"/>
      <c r="MV398" s="6"/>
      <c r="MW398" s="6"/>
      <c r="MX398" s="6"/>
      <c r="MY398" s="6"/>
      <c r="MZ398" s="6"/>
      <c r="NA398" s="6"/>
      <c r="NB398" s="6"/>
      <c r="NC398" s="6"/>
      <c r="ND398" s="6"/>
      <c r="NE398" s="6"/>
      <c r="NF398" s="6"/>
      <c r="NG398" s="6"/>
      <c r="NH398" s="6"/>
      <c r="NI398" s="6"/>
      <c r="NJ398" s="6"/>
      <c r="NK398" s="6"/>
      <c r="NL398" s="6"/>
      <c r="NM398" s="6"/>
      <c r="NN398" s="6"/>
      <c r="NO398" s="6"/>
      <c r="NP398" s="6"/>
      <c r="NQ398" s="6"/>
      <c r="NR398" s="6"/>
      <c r="NS398" s="6"/>
      <c r="NT398" s="6"/>
      <c r="NU398" s="6"/>
      <c r="NV398" s="6"/>
    </row>
    <row r="399" spans="1:386" s="19" customFormat="1" ht="20.100000000000001" customHeight="1" x14ac:dyDescent="0.35">
      <c r="A399" s="1"/>
      <c r="B399" s="2"/>
      <c r="C399" s="3"/>
      <c r="D399" s="2"/>
      <c r="E399" s="2"/>
      <c r="F399" s="4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9"/>
      <c r="FL399" s="9"/>
      <c r="FM399" s="9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135"/>
      <c r="IK399" s="135"/>
      <c r="IL399" s="135"/>
      <c r="IN399" s="6"/>
      <c r="IO399" s="6"/>
      <c r="IP399" s="6"/>
      <c r="IQ399" s="6"/>
      <c r="IR399" s="6"/>
      <c r="IS399" s="6"/>
      <c r="IT399" s="6"/>
      <c r="IU399" s="6"/>
      <c r="IV399" s="6"/>
      <c r="IW399" s="6"/>
      <c r="IX399" s="6"/>
      <c r="IY399" s="6"/>
      <c r="IZ399" s="6"/>
      <c r="JA399" s="6"/>
      <c r="JB399" s="6"/>
      <c r="JC399" s="6"/>
      <c r="JD399" s="6"/>
      <c r="JE399" s="6"/>
      <c r="JF399" s="6"/>
      <c r="JG399" s="6"/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6"/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6"/>
      <c r="KZ399" s="6"/>
      <c r="LA399" s="6"/>
      <c r="LB399" s="6"/>
      <c r="LC399" s="6"/>
      <c r="LD399" s="6"/>
      <c r="LE399" s="6"/>
      <c r="LF399" s="6"/>
      <c r="LG399" s="6"/>
      <c r="LH399" s="6"/>
      <c r="LI399" s="6"/>
      <c r="LJ399" s="6"/>
      <c r="LK399" s="6"/>
      <c r="LL399" s="6"/>
      <c r="LM399" s="6"/>
      <c r="LN399" s="6"/>
      <c r="LO399" s="6"/>
      <c r="LP399" s="6"/>
      <c r="LQ399" s="6"/>
      <c r="LR399" s="6"/>
      <c r="LS399" s="6"/>
      <c r="LT399" s="6"/>
      <c r="LU399" s="6"/>
      <c r="LV399" s="6"/>
      <c r="LW399" s="6"/>
      <c r="LX399" s="6"/>
      <c r="LY399" s="6"/>
      <c r="LZ399" s="6"/>
      <c r="MA399" s="6"/>
      <c r="MB399" s="6"/>
      <c r="MC399" s="6"/>
      <c r="MD399" s="6"/>
      <c r="ME399" s="6"/>
      <c r="MF399" s="6"/>
      <c r="MG399" s="6"/>
      <c r="MH399" s="6"/>
      <c r="MI399" s="6"/>
      <c r="MJ399" s="6"/>
      <c r="MK399" s="6"/>
      <c r="ML399" s="6"/>
      <c r="MM399" s="6"/>
      <c r="MN399" s="6"/>
      <c r="MO399" s="6"/>
      <c r="MP399" s="6"/>
      <c r="MQ399" s="6"/>
      <c r="MR399" s="6"/>
      <c r="MS399" s="6"/>
      <c r="MT399" s="6"/>
      <c r="MU399" s="6"/>
      <c r="MV399" s="6"/>
      <c r="MW399" s="6"/>
      <c r="MX399" s="6"/>
      <c r="MY399" s="6"/>
      <c r="MZ399" s="6"/>
      <c r="NA399" s="6"/>
      <c r="NB399" s="6"/>
      <c r="NC399" s="6"/>
      <c r="ND399" s="6"/>
      <c r="NE399" s="6"/>
      <c r="NF399" s="6"/>
      <c r="NG399" s="6"/>
      <c r="NH399" s="6"/>
      <c r="NI399" s="6"/>
      <c r="NJ399" s="6"/>
      <c r="NK399" s="6"/>
      <c r="NL399" s="6"/>
      <c r="NM399" s="6"/>
      <c r="NN399" s="6"/>
      <c r="NO399" s="6"/>
      <c r="NP399" s="6"/>
      <c r="NQ399" s="6"/>
      <c r="NR399" s="6"/>
      <c r="NS399" s="6"/>
      <c r="NT399" s="6"/>
      <c r="NU399" s="6"/>
      <c r="NV399" s="6"/>
    </row>
    <row r="400" spans="1:386" s="19" customFormat="1" ht="20.100000000000001" customHeight="1" x14ac:dyDescent="0.35">
      <c r="A400" s="1"/>
      <c r="B400" s="2"/>
      <c r="C400" s="3"/>
      <c r="D400" s="2"/>
      <c r="E400" s="2"/>
      <c r="F400" s="4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9"/>
      <c r="FL400" s="9"/>
      <c r="FM400" s="9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135"/>
      <c r="IK400" s="135"/>
      <c r="IL400" s="135"/>
      <c r="IN400" s="6"/>
      <c r="IO400" s="6"/>
      <c r="IP400" s="6"/>
      <c r="IQ400" s="6"/>
      <c r="IR400" s="6"/>
      <c r="IS400" s="6"/>
      <c r="IT400" s="6"/>
      <c r="IU400" s="6"/>
      <c r="IV400" s="6"/>
      <c r="IW400" s="6"/>
      <c r="IX400" s="6"/>
      <c r="IY400" s="6"/>
      <c r="IZ400" s="6"/>
      <c r="JA400" s="6"/>
      <c r="JB400" s="6"/>
      <c r="JC400" s="6"/>
      <c r="JD400" s="6"/>
      <c r="JE400" s="6"/>
      <c r="JF400" s="6"/>
      <c r="JG400" s="6"/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6"/>
      <c r="LB400" s="6"/>
      <c r="LC400" s="6"/>
      <c r="LD400" s="6"/>
      <c r="LE400" s="6"/>
      <c r="LF400" s="6"/>
      <c r="LG400" s="6"/>
      <c r="LH400" s="6"/>
      <c r="LI400" s="6"/>
      <c r="LJ400" s="6"/>
      <c r="LK400" s="6"/>
      <c r="LL400" s="6"/>
      <c r="LM400" s="6"/>
      <c r="LN400" s="6"/>
      <c r="LO400" s="6"/>
      <c r="LP400" s="6"/>
      <c r="LQ400" s="6"/>
      <c r="LR400" s="6"/>
      <c r="LS400" s="6"/>
      <c r="LT400" s="6"/>
      <c r="LU400" s="6"/>
      <c r="LV400" s="6"/>
      <c r="LW400" s="6"/>
      <c r="LX400" s="6"/>
      <c r="LY400" s="6"/>
      <c r="LZ400" s="6"/>
      <c r="MA400" s="6"/>
      <c r="MB400" s="6"/>
      <c r="MC400" s="6"/>
      <c r="MD400" s="6"/>
      <c r="ME400" s="6"/>
      <c r="MF400" s="6"/>
      <c r="MG400" s="6"/>
      <c r="MH400" s="6"/>
      <c r="MI400" s="6"/>
      <c r="MJ400" s="6"/>
      <c r="MK400" s="6"/>
      <c r="ML400" s="6"/>
      <c r="MM400" s="6"/>
      <c r="MN400" s="6"/>
      <c r="MO400" s="6"/>
      <c r="MP400" s="6"/>
      <c r="MQ400" s="6"/>
      <c r="MR400" s="6"/>
      <c r="MS400" s="6"/>
      <c r="MT400" s="6"/>
      <c r="MU400" s="6"/>
      <c r="MV400" s="6"/>
      <c r="MW400" s="6"/>
      <c r="MX400" s="6"/>
      <c r="MY400" s="6"/>
      <c r="MZ400" s="6"/>
      <c r="NA400" s="6"/>
      <c r="NB400" s="6"/>
      <c r="NC400" s="6"/>
      <c r="ND400" s="6"/>
      <c r="NE400" s="6"/>
      <c r="NF400" s="6"/>
      <c r="NG400" s="6"/>
      <c r="NH400" s="6"/>
      <c r="NI400" s="6"/>
      <c r="NJ400" s="6"/>
      <c r="NK400" s="6"/>
      <c r="NL400" s="6"/>
      <c r="NM400" s="6"/>
      <c r="NN400" s="6"/>
      <c r="NO400" s="6"/>
      <c r="NP400" s="6"/>
      <c r="NQ400" s="6"/>
      <c r="NR400" s="6"/>
      <c r="NS400" s="6"/>
      <c r="NT400" s="6"/>
      <c r="NU400" s="6"/>
      <c r="NV400" s="6"/>
    </row>
    <row r="401" spans="1:386" s="19" customFormat="1" ht="20.100000000000001" customHeight="1" x14ac:dyDescent="0.35">
      <c r="A401" s="1"/>
      <c r="B401" s="2"/>
      <c r="C401" s="3"/>
      <c r="D401" s="2"/>
      <c r="E401" s="2"/>
      <c r="F401" s="4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9"/>
      <c r="FL401" s="9"/>
      <c r="FM401" s="9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135"/>
      <c r="IK401" s="135"/>
      <c r="IL401" s="135"/>
      <c r="IN401" s="6"/>
      <c r="IO401" s="6"/>
      <c r="IP401" s="6"/>
      <c r="IQ401" s="6"/>
      <c r="IR401" s="6"/>
      <c r="IS401" s="6"/>
      <c r="IT401" s="6"/>
      <c r="IU401" s="6"/>
      <c r="IV401" s="6"/>
      <c r="IW401" s="6"/>
      <c r="IX401" s="6"/>
      <c r="IY401" s="6"/>
      <c r="IZ401" s="6"/>
      <c r="JA401" s="6"/>
      <c r="JB401" s="6"/>
      <c r="JC401" s="6"/>
      <c r="JD401" s="6"/>
      <c r="JE401" s="6"/>
      <c r="JF401" s="6"/>
      <c r="JG401" s="6"/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6"/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6"/>
      <c r="KZ401" s="6"/>
      <c r="LA401" s="6"/>
      <c r="LB401" s="6"/>
      <c r="LC401" s="6"/>
      <c r="LD401" s="6"/>
      <c r="LE401" s="6"/>
      <c r="LF401" s="6"/>
      <c r="LG401" s="6"/>
      <c r="LH401" s="6"/>
      <c r="LI401" s="6"/>
      <c r="LJ401" s="6"/>
      <c r="LK401" s="6"/>
      <c r="LL401" s="6"/>
      <c r="LM401" s="6"/>
      <c r="LN401" s="6"/>
      <c r="LO401" s="6"/>
      <c r="LP401" s="6"/>
      <c r="LQ401" s="6"/>
      <c r="LR401" s="6"/>
      <c r="LS401" s="6"/>
      <c r="LT401" s="6"/>
      <c r="LU401" s="6"/>
      <c r="LV401" s="6"/>
      <c r="LW401" s="6"/>
      <c r="LX401" s="6"/>
      <c r="LY401" s="6"/>
      <c r="LZ401" s="6"/>
      <c r="MA401" s="6"/>
      <c r="MB401" s="6"/>
      <c r="MC401" s="6"/>
      <c r="MD401" s="6"/>
      <c r="ME401" s="6"/>
      <c r="MF401" s="6"/>
      <c r="MG401" s="6"/>
      <c r="MH401" s="6"/>
      <c r="MI401" s="6"/>
      <c r="MJ401" s="6"/>
      <c r="MK401" s="6"/>
      <c r="ML401" s="6"/>
      <c r="MM401" s="6"/>
      <c r="MN401" s="6"/>
      <c r="MO401" s="6"/>
      <c r="MP401" s="6"/>
      <c r="MQ401" s="6"/>
      <c r="MR401" s="6"/>
      <c r="MS401" s="6"/>
      <c r="MT401" s="6"/>
      <c r="MU401" s="6"/>
      <c r="MV401" s="6"/>
      <c r="MW401" s="6"/>
      <c r="MX401" s="6"/>
      <c r="MY401" s="6"/>
      <c r="MZ401" s="6"/>
      <c r="NA401" s="6"/>
      <c r="NB401" s="6"/>
      <c r="NC401" s="6"/>
      <c r="ND401" s="6"/>
      <c r="NE401" s="6"/>
      <c r="NF401" s="6"/>
      <c r="NG401" s="6"/>
      <c r="NH401" s="6"/>
      <c r="NI401" s="6"/>
      <c r="NJ401" s="6"/>
      <c r="NK401" s="6"/>
      <c r="NL401" s="6"/>
      <c r="NM401" s="6"/>
      <c r="NN401" s="6"/>
      <c r="NO401" s="6"/>
      <c r="NP401" s="6"/>
      <c r="NQ401" s="6"/>
      <c r="NR401" s="6"/>
      <c r="NS401" s="6"/>
      <c r="NT401" s="6"/>
      <c r="NU401" s="6"/>
      <c r="NV401" s="6"/>
    </row>
    <row r="402" spans="1:386" s="19" customFormat="1" ht="20.100000000000001" customHeight="1" x14ac:dyDescent="0.35">
      <c r="A402" s="1"/>
      <c r="B402" s="2"/>
      <c r="C402" s="3"/>
      <c r="D402" s="2"/>
      <c r="E402" s="2"/>
      <c r="F402" s="4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9"/>
      <c r="FL402" s="9"/>
      <c r="FM402" s="9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135"/>
      <c r="IK402" s="135"/>
      <c r="IL402" s="135"/>
      <c r="IN402" s="6"/>
      <c r="IO402" s="6"/>
      <c r="IP402" s="6"/>
      <c r="IQ402" s="6"/>
      <c r="IR402" s="6"/>
      <c r="IS402" s="6"/>
      <c r="IT402" s="6"/>
      <c r="IU402" s="6"/>
      <c r="IV402" s="6"/>
      <c r="IW402" s="6"/>
      <c r="IX402" s="6"/>
      <c r="IY402" s="6"/>
      <c r="IZ402" s="6"/>
      <c r="JA402" s="6"/>
      <c r="JB402" s="6"/>
      <c r="JC402" s="6"/>
      <c r="JD402" s="6"/>
      <c r="JE402" s="6"/>
      <c r="JF402" s="6"/>
      <c r="JG402" s="6"/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6"/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6"/>
      <c r="KZ402" s="6"/>
      <c r="LA402" s="6"/>
      <c r="LB402" s="6"/>
      <c r="LC402" s="6"/>
      <c r="LD402" s="6"/>
      <c r="LE402" s="6"/>
      <c r="LF402" s="6"/>
      <c r="LG402" s="6"/>
      <c r="LH402" s="6"/>
      <c r="LI402" s="6"/>
      <c r="LJ402" s="6"/>
      <c r="LK402" s="6"/>
      <c r="LL402" s="6"/>
      <c r="LM402" s="6"/>
      <c r="LN402" s="6"/>
      <c r="LO402" s="6"/>
      <c r="LP402" s="6"/>
      <c r="LQ402" s="6"/>
      <c r="LR402" s="6"/>
      <c r="LS402" s="6"/>
      <c r="LT402" s="6"/>
      <c r="LU402" s="6"/>
      <c r="LV402" s="6"/>
      <c r="LW402" s="6"/>
      <c r="LX402" s="6"/>
      <c r="LY402" s="6"/>
      <c r="LZ402" s="6"/>
      <c r="MA402" s="6"/>
      <c r="MB402" s="6"/>
      <c r="MC402" s="6"/>
      <c r="MD402" s="6"/>
      <c r="ME402" s="6"/>
      <c r="MF402" s="6"/>
      <c r="MG402" s="6"/>
      <c r="MH402" s="6"/>
      <c r="MI402" s="6"/>
      <c r="MJ402" s="6"/>
      <c r="MK402" s="6"/>
      <c r="ML402" s="6"/>
      <c r="MM402" s="6"/>
      <c r="MN402" s="6"/>
      <c r="MO402" s="6"/>
      <c r="MP402" s="6"/>
      <c r="MQ402" s="6"/>
      <c r="MR402" s="6"/>
      <c r="MS402" s="6"/>
      <c r="MT402" s="6"/>
      <c r="MU402" s="6"/>
      <c r="MV402" s="6"/>
      <c r="MW402" s="6"/>
      <c r="MX402" s="6"/>
      <c r="MY402" s="6"/>
      <c r="MZ402" s="6"/>
      <c r="NA402" s="6"/>
      <c r="NB402" s="6"/>
      <c r="NC402" s="6"/>
      <c r="ND402" s="6"/>
      <c r="NE402" s="6"/>
      <c r="NF402" s="6"/>
      <c r="NG402" s="6"/>
      <c r="NH402" s="6"/>
      <c r="NI402" s="6"/>
      <c r="NJ402" s="6"/>
      <c r="NK402" s="6"/>
      <c r="NL402" s="6"/>
      <c r="NM402" s="6"/>
      <c r="NN402" s="6"/>
      <c r="NO402" s="6"/>
      <c r="NP402" s="6"/>
      <c r="NQ402" s="6"/>
      <c r="NR402" s="6"/>
      <c r="NS402" s="6"/>
      <c r="NT402" s="6"/>
      <c r="NU402" s="6"/>
      <c r="NV402" s="6"/>
    </row>
    <row r="403" spans="1:386" s="19" customFormat="1" ht="20.100000000000001" customHeight="1" x14ac:dyDescent="0.35">
      <c r="A403" s="1"/>
      <c r="B403" s="2"/>
      <c r="C403" s="3"/>
      <c r="D403" s="2"/>
      <c r="E403" s="2"/>
      <c r="F403" s="4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9"/>
      <c r="FL403" s="9"/>
      <c r="FM403" s="9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135"/>
      <c r="IK403" s="135"/>
      <c r="IL403" s="135"/>
      <c r="IN403" s="6"/>
      <c r="IO403" s="6"/>
      <c r="IP403" s="6"/>
      <c r="IQ403" s="6"/>
      <c r="IR403" s="6"/>
      <c r="IS403" s="6"/>
      <c r="IT403" s="6"/>
      <c r="IU403" s="6"/>
      <c r="IV403" s="6"/>
      <c r="IW403" s="6"/>
      <c r="IX403" s="6"/>
      <c r="IY403" s="6"/>
      <c r="IZ403" s="6"/>
      <c r="JA403" s="6"/>
      <c r="JB403" s="6"/>
      <c r="JC403" s="6"/>
      <c r="JD403" s="6"/>
      <c r="JE403" s="6"/>
      <c r="JF403" s="6"/>
      <c r="JG403" s="6"/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6"/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6"/>
      <c r="KZ403" s="6"/>
      <c r="LA403" s="6"/>
      <c r="LB403" s="6"/>
      <c r="LC403" s="6"/>
      <c r="LD403" s="6"/>
      <c r="LE403" s="6"/>
      <c r="LF403" s="6"/>
      <c r="LG403" s="6"/>
      <c r="LH403" s="6"/>
      <c r="LI403" s="6"/>
      <c r="LJ403" s="6"/>
      <c r="LK403" s="6"/>
      <c r="LL403" s="6"/>
      <c r="LM403" s="6"/>
      <c r="LN403" s="6"/>
      <c r="LO403" s="6"/>
      <c r="LP403" s="6"/>
      <c r="LQ403" s="6"/>
      <c r="LR403" s="6"/>
      <c r="LS403" s="6"/>
      <c r="LT403" s="6"/>
      <c r="LU403" s="6"/>
      <c r="LV403" s="6"/>
      <c r="LW403" s="6"/>
      <c r="LX403" s="6"/>
      <c r="LY403" s="6"/>
      <c r="LZ403" s="6"/>
      <c r="MA403" s="6"/>
      <c r="MB403" s="6"/>
      <c r="MC403" s="6"/>
      <c r="MD403" s="6"/>
      <c r="ME403" s="6"/>
      <c r="MF403" s="6"/>
      <c r="MG403" s="6"/>
      <c r="MH403" s="6"/>
      <c r="MI403" s="6"/>
      <c r="MJ403" s="6"/>
      <c r="MK403" s="6"/>
      <c r="ML403" s="6"/>
      <c r="MM403" s="6"/>
      <c r="MN403" s="6"/>
      <c r="MO403" s="6"/>
      <c r="MP403" s="6"/>
      <c r="MQ403" s="6"/>
      <c r="MR403" s="6"/>
      <c r="MS403" s="6"/>
      <c r="MT403" s="6"/>
      <c r="MU403" s="6"/>
      <c r="MV403" s="6"/>
      <c r="MW403" s="6"/>
      <c r="MX403" s="6"/>
      <c r="MY403" s="6"/>
      <c r="MZ403" s="6"/>
      <c r="NA403" s="6"/>
      <c r="NB403" s="6"/>
      <c r="NC403" s="6"/>
      <c r="ND403" s="6"/>
      <c r="NE403" s="6"/>
      <c r="NF403" s="6"/>
      <c r="NG403" s="6"/>
      <c r="NH403" s="6"/>
      <c r="NI403" s="6"/>
      <c r="NJ403" s="6"/>
      <c r="NK403" s="6"/>
      <c r="NL403" s="6"/>
      <c r="NM403" s="6"/>
      <c r="NN403" s="6"/>
      <c r="NO403" s="6"/>
      <c r="NP403" s="6"/>
      <c r="NQ403" s="6"/>
      <c r="NR403" s="6"/>
      <c r="NS403" s="6"/>
      <c r="NT403" s="6"/>
      <c r="NU403" s="6"/>
      <c r="NV403" s="6"/>
    </row>
    <row r="404" spans="1:386" s="19" customFormat="1" ht="20.100000000000001" customHeight="1" x14ac:dyDescent="0.35">
      <c r="A404" s="1"/>
      <c r="B404" s="2"/>
      <c r="C404" s="3"/>
      <c r="D404" s="2"/>
      <c r="E404" s="2"/>
      <c r="F404" s="4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9"/>
      <c r="FL404" s="9"/>
      <c r="FM404" s="9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135"/>
      <c r="IK404" s="135"/>
      <c r="IL404" s="135"/>
      <c r="IN404" s="6"/>
      <c r="IO404" s="6"/>
      <c r="IP404" s="6"/>
      <c r="IQ404" s="6"/>
      <c r="IR404" s="6"/>
      <c r="IS404" s="6"/>
      <c r="IT404" s="6"/>
      <c r="IU404" s="6"/>
      <c r="IV404" s="6"/>
      <c r="IW404" s="6"/>
      <c r="IX404" s="6"/>
      <c r="IY404" s="6"/>
      <c r="IZ404" s="6"/>
      <c r="JA404" s="6"/>
      <c r="JB404" s="6"/>
      <c r="JC404" s="6"/>
      <c r="JD404" s="6"/>
      <c r="JE404" s="6"/>
      <c r="JF404" s="6"/>
      <c r="JG404" s="6"/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6"/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6"/>
      <c r="KZ404" s="6"/>
      <c r="LA404" s="6"/>
      <c r="LB404" s="6"/>
      <c r="LC404" s="6"/>
      <c r="LD404" s="6"/>
      <c r="LE404" s="6"/>
      <c r="LF404" s="6"/>
      <c r="LG404" s="6"/>
      <c r="LH404" s="6"/>
      <c r="LI404" s="6"/>
      <c r="LJ404" s="6"/>
      <c r="LK404" s="6"/>
      <c r="LL404" s="6"/>
      <c r="LM404" s="6"/>
      <c r="LN404" s="6"/>
      <c r="LO404" s="6"/>
      <c r="LP404" s="6"/>
      <c r="LQ404" s="6"/>
      <c r="LR404" s="6"/>
      <c r="LS404" s="6"/>
      <c r="LT404" s="6"/>
      <c r="LU404" s="6"/>
      <c r="LV404" s="6"/>
      <c r="LW404" s="6"/>
      <c r="LX404" s="6"/>
      <c r="LY404" s="6"/>
      <c r="LZ404" s="6"/>
      <c r="MA404" s="6"/>
      <c r="MB404" s="6"/>
      <c r="MC404" s="6"/>
      <c r="MD404" s="6"/>
      <c r="ME404" s="6"/>
      <c r="MF404" s="6"/>
      <c r="MG404" s="6"/>
      <c r="MH404" s="6"/>
      <c r="MI404" s="6"/>
      <c r="MJ404" s="6"/>
      <c r="MK404" s="6"/>
      <c r="ML404" s="6"/>
      <c r="MM404" s="6"/>
      <c r="MN404" s="6"/>
      <c r="MO404" s="6"/>
      <c r="MP404" s="6"/>
      <c r="MQ404" s="6"/>
      <c r="MR404" s="6"/>
      <c r="MS404" s="6"/>
      <c r="MT404" s="6"/>
      <c r="MU404" s="6"/>
      <c r="MV404" s="6"/>
      <c r="MW404" s="6"/>
      <c r="MX404" s="6"/>
      <c r="MY404" s="6"/>
      <c r="MZ404" s="6"/>
      <c r="NA404" s="6"/>
      <c r="NB404" s="6"/>
      <c r="NC404" s="6"/>
      <c r="ND404" s="6"/>
      <c r="NE404" s="6"/>
      <c r="NF404" s="6"/>
      <c r="NG404" s="6"/>
      <c r="NH404" s="6"/>
      <c r="NI404" s="6"/>
      <c r="NJ404" s="6"/>
      <c r="NK404" s="6"/>
      <c r="NL404" s="6"/>
      <c r="NM404" s="6"/>
      <c r="NN404" s="6"/>
      <c r="NO404" s="6"/>
      <c r="NP404" s="6"/>
      <c r="NQ404" s="6"/>
      <c r="NR404" s="6"/>
      <c r="NS404" s="6"/>
      <c r="NT404" s="6"/>
      <c r="NU404" s="6"/>
      <c r="NV404" s="6"/>
    </row>
    <row r="405" spans="1:386" s="19" customFormat="1" ht="20.100000000000001" customHeight="1" x14ac:dyDescent="0.35">
      <c r="A405" s="1"/>
      <c r="B405" s="2"/>
      <c r="C405" s="3"/>
      <c r="D405" s="2"/>
      <c r="E405" s="2"/>
      <c r="F405" s="4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9"/>
      <c r="FL405" s="9"/>
      <c r="FM405" s="9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135"/>
      <c r="IK405" s="135"/>
      <c r="IL405" s="135"/>
      <c r="IN405" s="6"/>
      <c r="IO405" s="6"/>
      <c r="IP405" s="6"/>
      <c r="IQ405" s="6"/>
      <c r="IR405" s="6"/>
      <c r="IS405" s="6"/>
      <c r="IT405" s="6"/>
      <c r="IU405" s="6"/>
      <c r="IV405" s="6"/>
      <c r="IW405" s="6"/>
      <c r="IX405" s="6"/>
      <c r="IY405" s="6"/>
      <c r="IZ405" s="6"/>
      <c r="JA405" s="6"/>
      <c r="JB405" s="6"/>
      <c r="JC405" s="6"/>
      <c r="JD405" s="6"/>
      <c r="JE405" s="6"/>
      <c r="JF405" s="6"/>
      <c r="JG405" s="6"/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6"/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6"/>
      <c r="KZ405" s="6"/>
      <c r="LA405" s="6"/>
      <c r="LB405" s="6"/>
      <c r="LC405" s="6"/>
      <c r="LD405" s="6"/>
      <c r="LE405" s="6"/>
      <c r="LF405" s="6"/>
      <c r="LG405" s="6"/>
      <c r="LH405" s="6"/>
      <c r="LI405" s="6"/>
      <c r="LJ405" s="6"/>
      <c r="LK405" s="6"/>
      <c r="LL405" s="6"/>
      <c r="LM405" s="6"/>
      <c r="LN405" s="6"/>
      <c r="LO405" s="6"/>
      <c r="LP405" s="6"/>
      <c r="LQ405" s="6"/>
      <c r="LR405" s="6"/>
      <c r="LS405" s="6"/>
      <c r="LT405" s="6"/>
      <c r="LU405" s="6"/>
      <c r="LV405" s="6"/>
      <c r="LW405" s="6"/>
      <c r="LX405" s="6"/>
      <c r="LY405" s="6"/>
      <c r="LZ405" s="6"/>
      <c r="MA405" s="6"/>
      <c r="MB405" s="6"/>
      <c r="MC405" s="6"/>
      <c r="MD405" s="6"/>
      <c r="ME405" s="6"/>
      <c r="MF405" s="6"/>
      <c r="MG405" s="6"/>
      <c r="MH405" s="6"/>
      <c r="MI405" s="6"/>
      <c r="MJ405" s="6"/>
      <c r="MK405" s="6"/>
      <c r="ML405" s="6"/>
      <c r="MM405" s="6"/>
      <c r="MN405" s="6"/>
      <c r="MO405" s="6"/>
      <c r="MP405" s="6"/>
      <c r="MQ405" s="6"/>
      <c r="MR405" s="6"/>
      <c r="MS405" s="6"/>
      <c r="MT405" s="6"/>
      <c r="MU405" s="6"/>
      <c r="MV405" s="6"/>
      <c r="MW405" s="6"/>
      <c r="MX405" s="6"/>
      <c r="MY405" s="6"/>
      <c r="MZ405" s="6"/>
      <c r="NA405" s="6"/>
      <c r="NB405" s="6"/>
      <c r="NC405" s="6"/>
      <c r="ND405" s="6"/>
      <c r="NE405" s="6"/>
      <c r="NF405" s="6"/>
      <c r="NG405" s="6"/>
      <c r="NH405" s="6"/>
      <c r="NI405" s="6"/>
      <c r="NJ405" s="6"/>
      <c r="NK405" s="6"/>
      <c r="NL405" s="6"/>
      <c r="NM405" s="6"/>
      <c r="NN405" s="6"/>
      <c r="NO405" s="6"/>
      <c r="NP405" s="6"/>
      <c r="NQ405" s="6"/>
      <c r="NR405" s="6"/>
      <c r="NS405" s="6"/>
      <c r="NT405" s="6"/>
      <c r="NU405" s="6"/>
      <c r="NV405" s="6"/>
    </row>
    <row r="406" spans="1:386" s="19" customFormat="1" ht="20.100000000000001" customHeight="1" x14ac:dyDescent="0.35">
      <c r="A406" s="1"/>
      <c r="B406" s="2"/>
      <c r="C406" s="3"/>
      <c r="D406" s="2"/>
      <c r="E406" s="2"/>
      <c r="F406" s="4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9"/>
      <c r="FL406" s="9"/>
      <c r="FM406" s="9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135"/>
      <c r="IK406" s="135"/>
      <c r="IL406" s="135"/>
      <c r="IN406" s="6"/>
      <c r="IO406" s="6"/>
      <c r="IP406" s="6"/>
      <c r="IQ406" s="6"/>
      <c r="IR406" s="6"/>
      <c r="IS406" s="6"/>
      <c r="IT406" s="6"/>
      <c r="IU406" s="6"/>
      <c r="IV406" s="6"/>
      <c r="IW406" s="6"/>
      <c r="IX406" s="6"/>
      <c r="IY406" s="6"/>
      <c r="IZ406" s="6"/>
      <c r="JA406" s="6"/>
      <c r="JB406" s="6"/>
      <c r="JC406" s="6"/>
      <c r="JD406" s="6"/>
      <c r="JE406" s="6"/>
      <c r="JF406" s="6"/>
      <c r="JG406" s="6"/>
      <c r="JH406" s="6"/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6"/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6"/>
      <c r="KZ406" s="6"/>
      <c r="LA406" s="6"/>
      <c r="LB406" s="6"/>
      <c r="LC406" s="6"/>
      <c r="LD406" s="6"/>
      <c r="LE406" s="6"/>
      <c r="LF406" s="6"/>
      <c r="LG406" s="6"/>
      <c r="LH406" s="6"/>
      <c r="LI406" s="6"/>
      <c r="LJ406" s="6"/>
      <c r="LK406" s="6"/>
      <c r="LL406" s="6"/>
      <c r="LM406" s="6"/>
      <c r="LN406" s="6"/>
      <c r="LO406" s="6"/>
      <c r="LP406" s="6"/>
      <c r="LQ406" s="6"/>
      <c r="LR406" s="6"/>
      <c r="LS406" s="6"/>
      <c r="LT406" s="6"/>
      <c r="LU406" s="6"/>
      <c r="LV406" s="6"/>
      <c r="LW406" s="6"/>
      <c r="LX406" s="6"/>
      <c r="LY406" s="6"/>
      <c r="LZ406" s="6"/>
      <c r="MA406" s="6"/>
      <c r="MB406" s="6"/>
      <c r="MC406" s="6"/>
      <c r="MD406" s="6"/>
      <c r="ME406" s="6"/>
      <c r="MF406" s="6"/>
      <c r="MG406" s="6"/>
      <c r="MH406" s="6"/>
      <c r="MI406" s="6"/>
      <c r="MJ406" s="6"/>
      <c r="MK406" s="6"/>
      <c r="ML406" s="6"/>
      <c r="MM406" s="6"/>
      <c r="MN406" s="6"/>
      <c r="MO406" s="6"/>
      <c r="MP406" s="6"/>
      <c r="MQ406" s="6"/>
      <c r="MR406" s="6"/>
      <c r="MS406" s="6"/>
      <c r="MT406" s="6"/>
      <c r="MU406" s="6"/>
      <c r="MV406" s="6"/>
      <c r="MW406" s="6"/>
      <c r="MX406" s="6"/>
      <c r="MY406" s="6"/>
      <c r="MZ406" s="6"/>
      <c r="NA406" s="6"/>
      <c r="NB406" s="6"/>
      <c r="NC406" s="6"/>
      <c r="ND406" s="6"/>
      <c r="NE406" s="6"/>
      <c r="NF406" s="6"/>
      <c r="NG406" s="6"/>
      <c r="NH406" s="6"/>
      <c r="NI406" s="6"/>
      <c r="NJ406" s="6"/>
      <c r="NK406" s="6"/>
      <c r="NL406" s="6"/>
      <c r="NM406" s="6"/>
      <c r="NN406" s="6"/>
      <c r="NO406" s="6"/>
      <c r="NP406" s="6"/>
      <c r="NQ406" s="6"/>
      <c r="NR406" s="6"/>
      <c r="NS406" s="6"/>
      <c r="NT406" s="6"/>
      <c r="NU406" s="6"/>
      <c r="NV406" s="6"/>
    </row>
    <row r="407" spans="1:386" s="19" customFormat="1" ht="20.100000000000001" customHeight="1" x14ac:dyDescent="0.35">
      <c r="A407" s="1"/>
      <c r="B407" s="2"/>
      <c r="C407" s="3"/>
      <c r="D407" s="2"/>
      <c r="E407" s="2"/>
      <c r="F407" s="4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9"/>
      <c r="FL407" s="9"/>
      <c r="FM407" s="9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135"/>
      <c r="IK407" s="135"/>
      <c r="IL407" s="135"/>
      <c r="IN407" s="6"/>
      <c r="IO407" s="6"/>
      <c r="IP407" s="6"/>
      <c r="IQ407" s="6"/>
      <c r="IR407" s="6"/>
      <c r="IS407" s="6"/>
      <c r="IT407" s="6"/>
      <c r="IU407" s="6"/>
      <c r="IV407" s="6"/>
      <c r="IW407" s="6"/>
      <c r="IX407" s="6"/>
      <c r="IY407" s="6"/>
      <c r="IZ407" s="6"/>
      <c r="JA407" s="6"/>
      <c r="JB407" s="6"/>
      <c r="JC407" s="6"/>
      <c r="JD407" s="6"/>
      <c r="JE407" s="6"/>
      <c r="JF407" s="6"/>
      <c r="JG407" s="6"/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6"/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6"/>
      <c r="KZ407" s="6"/>
      <c r="LA407" s="6"/>
      <c r="LB407" s="6"/>
      <c r="LC407" s="6"/>
      <c r="LD407" s="6"/>
      <c r="LE407" s="6"/>
      <c r="LF407" s="6"/>
      <c r="LG407" s="6"/>
      <c r="LH407" s="6"/>
      <c r="LI407" s="6"/>
      <c r="LJ407" s="6"/>
      <c r="LK407" s="6"/>
      <c r="LL407" s="6"/>
      <c r="LM407" s="6"/>
      <c r="LN407" s="6"/>
      <c r="LO407" s="6"/>
      <c r="LP407" s="6"/>
      <c r="LQ407" s="6"/>
      <c r="LR407" s="6"/>
      <c r="LS407" s="6"/>
      <c r="LT407" s="6"/>
      <c r="LU407" s="6"/>
      <c r="LV407" s="6"/>
      <c r="LW407" s="6"/>
      <c r="LX407" s="6"/>
      <c r="LY407" s="6"/>
      <c r="LZ407" s="6"/>
      <c r="MA407" s="6"/>
      <c r="MB407" s="6"/>
      <c r="MC407" s="6"/>
      <c r="MD407" s="6"/>
      <c r="ME407" s="6"/>
      <c r="MF407" s="6"/>
      <c r="MG407" s="6"/>
      <c r="MH407" s="6"/>
      <c r="MI407" s="6"/>
      <c r="MJ407" s="6"/>
      <c r="MK407" s="6"/>
      <c r="ML407" s="6"/>
      <c r="MM407" s="6"/>
      <c r="MN407" s="6"/>
      <c r="MO407" s="6"/>
      <c r="MP407" s="6"/>
      <c r="MQ407" s="6"/>
      <c r="MR407" s="6"/>
      <c r="MS407" s="6"/>
      <c r="MT407" s="6"/>
      <c r="MU407" s="6"/>
      <c r="MV407" s="6"/>
      <c r="MW407" s="6"/>
      <c r="MX407" s="6"/>
      <c r="MY407" s="6"/>
      <c r="MZ407" s="6"/>
      <c r="NA407" s="6"/>
      <c r="NB407" s="6"/>
      <c r="NC407" s="6"/>
      <c r="ND407" s="6"/>
      <c r="NE407" s="6"/>
      <c r="NF407" s="6"/>
      <c r="NG407" s="6"/>
      <c r="NH407" s="6"/>
      <c r="NI407" s="6"/>
      <c r="NJ407" s="6"/>
      <c r="NK407" s="6"/>
      <c r="NL407" s="6"/>
      <c r="NM407" s="6"/>
      <c r="NN407" s="6"/>
      <c r="NO407" s="6"/>
      <c r="NP407" s="6"/>
      <c r="NQ407" s="6"/>
      <c r="NR407" s="6"/>
      <c r="NS407" s="6"/>
      <c r="NT407" s="6"/>
      <c r="NU407" s="6"/>
      <c r="NV407" s="6"/>
    </row>
    <row r="408" spans="1:386" s="19" customFormat="1" ht="20.100000000000001" customHeight="1" x14ac:dyDescent="0.35">
      <c r="A408" s="1"/>
      <c r="B408" s="2"/>
      <c r="C408" s="3"/>
      <c r="D408" s="2"/>
      <c r="E408" s="2"/>
      <c r="F408" s="4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9"/>
      <c r="FL408" s="9"/>
      <c r="FM408" s="9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135"/>
      <c r="IK408" s="135"/>
      <c r="IL408" s="135"/>
      <c r="IN408" s="6"/>
      <c r="IO408" s="6"/>
      <c r="IP408" s="6"/>
      <c r="IQ408" s="6"/>
      <c r="IR408" s="6"/>
      <c r="IS408" s="6"/>
      <c r="IT408" s="6"/>
      <c r="IU408" s="6"/>
      <c r="IV408" s="6"/>
      <c r="IW408" s="6"/>
      <c r="IX408" s="6"/>
      <c r="IY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6"/>
      <c r="KZ408" s="6"/>
      <c r="LA408" s="6"/>
      <c r="LB408" s="6"/>
      <c r="LC408" s="6"/>
      <c r="LD408" s="6"/>
      <c r="LE408" s="6"/>
      <c r="LF408" s="6"/>
      <c r="LG408" s="6"/>
      <c r="LH408" s="6"/>
      <c r="LI408" s="6"/>
      <c r="LJ408" s="6"/>
      <c r="LK408" s="6"/>
      <c r="LL408" s="6"/>
      <c r="LM408" s="6"/>
      <c r="LN408" s="6"/>
      <c r="LO408" s="6"/>
      <c r="LP408" s="6"/>
      <c r="LQ408" s="6"/>
      <c r="LR408" s="6"/>
      <c r="LS408" s="6"/>
      <c r="LT408" s="6"/>
      <c r="LU408" s="6"/>
      <c r="LV408" s="6"/>
      <c r="LW408" s="6"/>
      <c r="LX408" s="6"/>
      <c r="LY408" s="6"/>
      <c r="LZ408" s="6"/>
      <c r="MA408" s="6"/>
      <c r="MB408" s="6"/>
      <c r="MC408" s="6"/>
      <c r="MD408" s="6"/>
      <c r="ME408" s="6"/>
      <c r="MF408" s="6"/>
      <c r="MG408" s="6"/>
      <c r="MH408" s="6"/>
      <c r="MI408" s="6"/>
      <c r="MJ408" s="6"/>
      <c r="MK408" s="6"/>
      <c r="ML408" s="6"/>
      <c r="MM408" s="6"/>
      <c r="MN408" s="6"/>
      <c r="MO408" s="6"/>
      <c r="MP408" s="6"/>
      <c r="MQ408" s="6"/>
      <c r="MR408" s="6"/>
      <c r="MS408" s="6"/>
      <c r="MT408" s="6"/>
      <c r="MU408" s="6"/>
      <c r="MV408" s="6"/>
      <c r="MW408" s="6"/>
      <c r="MX408" s="6"/>
      <c r="MY408" s="6"/>
      <c r="MZ408" s="6"/>
      <c r="NA408" s="6"/>
      <c r="NB408" s="6"/>
      <c r="NC408" s="6"/>
      <c r="ND408" s="6"/>
      <c r="NE408" s="6"/>
      <c r="NF408" s="6"/>
      <c r="NG408" s="6"/>
      <c r="NH408" s="6"/>
      <c r="NI408" s="6"/>
      <c r="NJ408" s="6"/>
      <c r="NK408" s="6"/>
      <c r="NL408" s="6"/>
      <c r="NM408" s="6"/>
      <c r="NN408" s="6"/>
      <c r="NO408" s="6"/>
      <c r="NP408" s="6"/>
      <c r="NQ408" s="6"/>
      <c r="NR408" s="6"/>
      <c r="NS408" s="6"/>
      <c r="NT408" s="6"/>
      <c r="NU408" s="6"/>
      <c r="NV408" s="6"/>
    </row>
    <row r="409" spans="1:386" s="19" customFormat="1" ht="20.100000000000001" customHeight="1" x14ac:dyDescent="0.35">
      <c r="A409" s="1"/>
      <c r="B409" s="2"/>
      <c r="C409" s="3"/>
      <c r="D409" s="2"/>
      <c r="E409" s="2"/>
      <c r="F409" s="4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9"/>
      <c r="FL409" s="9"/>
      <c r="FM409" s="9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135"/>
      <c r="IK409" s="135"/>
      <c r="IL409" s="135"/>
      <c r="IN409" s="6"/>
      <c r="IO409" s="6"/>
      <c r="IP409" s="6"/>
      <c r="IQ409" s="6"/>
      <c r="IR409" s="6"/>
      <c r="IS409" s="6"/>
      <c r="IT409" s="6"/>
      <c r="IU409" s="6"/>
      <c r="IV409" s="6"/>
      <c r="IW409" s="6"/>
      <c r="IX409" s="6"/>
      <c r="IY409" s="6"/>
      <c r="IZ409" s="6"/>
      <c r="JA409" s="6"/>
      <c r="JB409" s="6"/>
      <c r="JC409" s="6"/>
      <c r="JD409" s="6"/>
      <c r="JE409" s="6"/>
      <c r="JF409" s="6"/>
      <c r="JG409" s="6"/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6"/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6"/>
      <c r="KZ409" s="6"/>
      <c r="LA409" s="6"/>
      <c r="LB409" s="6"/>
      <c r="LC409" s="6"/>
      <c r="LD409" s="6"/>
      <c r="LE409" s="6"/>
      <c r="LF409" s="6"/>
      <c r="LG409" s="6"/>
      <c r="LH409" s="6"/>
      <c r="LI409" s="6"/>
      <c r="LJ409" s="6"/>
      <c r="LK409" s="6"/>
      <c r="LL409" s="6"/>
      <c r="LM409" s="6"/>
      <c r="LN409" s="6"/>
      <c r="LO409" s="6"/>
      <c r="LP409" s="6"/>
      <c r="LQ409" s="6"/>
      <c r="LR409" s="6"/>
      <c r="LS409" s="6"/>
      <c r="LT409" s="6"/>
      <c r="LU409" s="6"/>
      <c r="LV409" s="6"/>
      <c r="LW409" s="6"/>
      <c r="LX409" s="6"/>
      <c r="LY409" s="6"/>
      <c r="LZ409" s="6"/>
      <c r="MA409" s="6"/>
      <c r="MB409" s="6"/>
      <c r="MC409" s="6"/>
      <c r="MD409" s="6"/>
      <c r="ME409" s="6"/>
      <c r="MF409" s="6"/>
      <c r="MG409" s="6"/>
      <c r="MH409" s="6"/>
      <c r="MI409" s="6"/>
      <c r="MJ409" s="6"/>
      <c r="MK409" s="6"/>
      <c r="ML409" s="6"/>
      <c r="MM409" s="6"/>
      <c r="MN409" s="6"/>
      <c r="MO409" s="6"/>
      <c r="MP409" s="6"/>
      <c r="MQ409" s="6"/>
      <c r="MR409" s="6"/>
      <c r="MS409" s="6"/>
      <c r="MT409" s="6"/>
      <c r="MU409" s="6"/>
      <c r="MV409" s="6"/>
      <c r="MW409" s="6"/>
      <c r="MX409" s="6"/>
      <c r="MY409" s="6"/>
      <c r="MZ409" s="6"/>
      <c r="NA409" s="6"/>
      <c r="NB409" s="6"/>
      <c r="NC409" s="6"/>
      <c r="ND409" s="6"/>
      <c r="NE409" s="6"/>
      <c r="NF409" s="6"/>
      <c r="NG409" s="6"/>
      <c r="NH409" s="6"/>
      <c r="NI409" s="6"/>
      <c r="NJ409" s="6"/>
      <c r="NK409" s="6"/>
      <c r="NL409" s="6"/>
      <c r="NM409" s="6"/>
      <c r="NN409" s="6"/>
      <c r="NO409" s="6"/>
      <c r="NP409" s="6"/>
      <c r="NQ409" s="6"/>
      <c r="NR409" s="6"/>
      <c r="NS409" s="6"/>
      <c r="NT409" s="6"/>
      <c r="NU409" s="6"/>
      <c r="NV409" s="6"/>
    </row>
    <row r="410" spans="1:386" s="19" customFormat="1" ht="20.100000000000001" customHeight="1" x14ac:dyDescent="0.35">
      <c r="A410" s="1"/>
      <c r="B410" s="2"/>
      <c r="C410" s="3"/>
      <c r="D410" s="2"/>
      <c r="E410" s="2"/>
      <c r="F410" s="4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9"/>
      <c r="FL410" s="9"/>
      <c r="FM410" s="9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135"/>
      <c r="IK410" s="135"/>
      <c r="IL410" s="135"/>
      <c r="IN410" s="6"/>
      <c r="IO410" s="6"/>
      <c r="IP410" s="6"/>
      <c r="IQ410" s="6"/>
      <c r="IR410" s="6"/>
      <c r="IS410" s="6"/>
      <c r="IT410" s="6"/>
      <c r="IU410" s="6"/>
      <c r="IV410" s="6"/>
      <c r="IW410" s="6"/>
      <c r="IX410" s="6"/>
      <c r="IY410" s="6"/>
      <c r="IZ410" s="6"/>
      <c r="JA410" s="6"/>
      <c r="JB410" s="6"/>
      <c r="JC410" s="6"/>
      <c r="JD410" s="6"/>
      <c r="JE410" s="6"/>
      <c r="JF410" s="6"/>
      <c r="JG410" s="6"/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6"/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6"/>
      <c r="KZ410" s="6"/>
      <c r="LA410" s="6"/>
      <c r="LB410" s="6"/>
      <c r="LC410" s="6"/>
      <c r="LD410" s="6"/>
      <c r="LE410" s="6"/>
      <c r="LF410" s="6"/>
      <c r="LG410" s="6"/>
      <c r="LH410" s="6"/>
      <c r="LI410" s="6"/>
      <c r="LJ410" s="6"/>
      <c r="LK410" s="6"/>
      <c r="LL410" s="6"/>
      <c r="LM410" s="6"/>
      <c r="LN410" s="6"/>
      <c r="LO410" s="6"/>
      <c r="LP410" s="6"/>
      <c r="LQ410" s="6"/>
      <c r="LR410" s="6"/>
      <c r="LS410" s="6"/>
      <c r="LT410" s="6"/>
      <c r="LU410" s="6"/>
      <c r="LV410" s="6"/>
      <c r="LW410" s="6"/>
      <c r="LX410" s="6"/>
      <c r="LY410" s="6"/>
      <c r="LZ410" s="6"/>
      <c r="MA410" s="6"/>
      <c r="MB410" s="6"/>
      <c r="MC410" s="6"/>
      <c r="MD410" s="6"/>
      <c r="ME410" s="6"/>
      <c r="MF410" s="6"/>
      <c r="MG410" s="6"/>
      <c r="MH410" s="6"/>
      <c r="MI410" s="6"/>
      <c r="MJ410" s="6"/>
      <c r="MK410" s="6"/>
      <c r="ML410" s="6"/>
      <c r="MM410" s="6"/>
      <c r="MN410" s="6"/>
      <c r="MO410" s="6"/>
      <c r="MP410" s="6"/>
      <c r="MQ410" s="6"/>
      <c r="MR410" s="6"/>
      <c r="MS410" s="6"/>
      <c r="MT410" s="6"/>
      <c r="MU410" s="6"/>
      <c r="MV410" s="6"/>
      <c r="MW410" s="6"/>
      <c r="MX410" s="6"/>
      <c r="MY410" s="6"/>
      <c r="MZ410" s="6"/>
      <c r="NA410" s="6"/>
      <c r="NB410" s="6"/>
      <c r="NC410" s="6"/>
      <c r="ND410" s="6"/>
      <c r="NE410" s="6"/>
      <c r="NF410" s="6"/>
      <c r="NG410" s="6"/>
      <c r="NH410" s="6"/>
      <c r="NI410" s="6"/>
      <c r="NJ410" s="6"/>
      <c r="NK410" s="6"/>
      <c r="NL410" s="6"/>
      <c r="NM410" s="6"/>
      <c r="NN410" s="6"/>
      <c r="NO410" s="6"/>
      <c r="NP410" s="6"/>
      <c r="NQ410" s="6"/>
      <c r="NR410" s="6"/>
      <c r="NS410" s="6"/>
      <c r="NT410" s="6"/>
      <c r="NU410" s="6"/>
      <c r="NV410" s="6"/>
    </row>
    <row r="411" spans="1:386" s="19" customFormat="1" ht="20.100000000000001" customHeight="1" x14ac:dyDescent="0.35">
      <c r="A411" s="1"/>
      <c r="B411" s="2"/>
      <c r="C411" s="3"/>
      <c r="D411" s="2"/>
      <c r="E411" s="2"/>
      <c r="F411" s="4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9"/>
      <c r="FL411" s="9"/>
      <c r="FM411" s="9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135"/>
      <c r="IK411" s="135"/>
      <c r="IL411" s="135"/>
      <c r="IN411" s="6"/>
      <c r="IO411" s="6"/>
      <c r="IP411" s="6"/>
      <c r="IQ411" s="6"/>
      <c r="IR411" s="6"/>
      <c r="IS411" s="6"/>
      <c r="IT411" s="6"/>
      <c r="IU411" s="6"/>
      <c r="IV411" s="6"/>
      <c r="IW411" s="6"/>
      <c r="IX411" s="6"/>
      <c r="IY411" s="6"/>
      <c r="IZ411" s="6"/>
      <c r="JA411" s="6"/>
      <c r="JB411" s="6"/>
      <c r="JC411" s="6"/>
      <c r="JD411" s="6"/>
      <c r="JE411" s="6"/>
      <c r="JF411" s="6"/>
      <c r="JG411" s="6"/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6"/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6"/>
      <c r="LB411" s="6"/>
      <c r="LC411" s="6"/>
      <c r="LD411" s="6"/>
      <c r="LE411" s="6"/>
      <c r="LF411" s="6"/>
      <c r="LG411" s="6"/>
      <c r="LH411" s="6"/>
      <c r="LI411" s="6"/>
      <c r="LJ411" s="6"/>
      <c r="LK411" s="6"/>
      <c r="LL411" s="6"/>
      <c r="LM411" s="6"/>
      <c r="LN411" s="6"/>
      <c r="LO411" s="6"/>
      <c r="LP411" s="6"/>
      <c r="LQ411" s="6"/>
      <c r="LR411" s="6"/>
      <c r="LS411" s="6"/>
      <c r="LT411" s="6"/>
      <c r="LU411" s="6"/>
      <c r="LV411" s="6"/>
      <c r="LW411" s="6"/>
      <c r="LX411" s="6"/>
      <c r="LY411" s="6"/>
      <c r="LZ411" s="6"/>
      <c r="MA411" s="6"/>
      <c r="MB411" s="6"/>
      <c r="MC411" s="6"/>
      <c r="MD411" s="6"/>
      <c r="ME411" s="6"/>
      <c r="MF411" s="6"/>
      <c r="MG411" s="6"/>
      <c r="MH411" s="6"/>
      <c r="MI411" s="6"/>
      <c r="MJ411" s="6"/>
      <c r="MK411" s="6"/>
      <c r="ML411" s="6"/>
      <c r="MM411" s="6"/>
      <c r="MN411" s="6"/>
      <c r="MO411" s="6"/>
      <c r="MP411" s="6"/>
      <c r="MQ411" s="6"/>
      <c r="MR411" s="6"/>
      <c r="MS411" s="6"/>
      <c r="MT411" s="6"/>
      <c r="MU411" s="6"/>
      <c r="MV411" s="6"/>
      <c r="MW411" s="6"/>
      <c r="MX411" s="6"/>
      <c r="MY411" s="6"/>
      <c r="MZ411" s="6"/>
      <c r="NA411" s="6"/>
      <c r="NB411" s="6"/>
      <c r="NC411" s="6"/>
      <c r="ND411" s="6"/>
      <c r="NE411" s="6"/>
      <c r="NF411" s="6"/>
      <c r="NG411" s="6"/>
      <c r="NH411" s="6"/>
      <c r="NI411" s="6"/>
      <c r="NJ411" s="6"/>
      <c r="NK411" s="6"/>
      <c r="NL411" s="6"/>
      <c r="NM411" s="6"/>
      <c r="NN411" s="6"/>
      <c r="NO411" s="6"/>
      <c r="NP411" s="6"/>
      <c r="NQ411" s="6"/>
      <c r="NR411" s="6"/>
      <c r="NS411" s="6"/>
      <c r="NT411" s="6"/>
      <c r="NU411" s="6"/>
      <c r="NV411" s="6"/>
    </row>
    <row r="412" spans="1:386" s="19" customFormat="1" ht="20.100000000000001" customHeight="1" x14ac:dyDescent="0.35">
      <c r="A412" s="1"/>
      <c r="B412" s="2"/>
      <c r="C412" s="3"/>
      <c r="D412" s="2"/>
      <c r="E412" s="2"/>
      <c r="F412" s="4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9"/>
      <c r="FL412" s="9"/>
      <c r="FM412" s="9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135"/>
      <c r="IK412" s="135"/>
      <c r="IL412" s="135"/>
      <c r="IN412" s="6"/>
      <c r="IO412" s="6"/>
      <c r="IP412" s="6"/>
      <c r="IQ412" s="6"/>
      <c r="IR412" s="6"/>
      <c r="IS412" s="6"/>
      <c r="IT412" s="6"/>
      <c r="IU412" s="6"/>
      <c r="IV412" s="6"/>
      <c r="IW412" s="6"/>
      <c r="IX412" s="6"/>
      <c r="IY412" s="6"/>
      <c r="IZ412" s="6"/>
      <c r="JA412" s="6"/>
      <c r="JB412" s="6"/>
      <c r="JC412" s="6"/>
      <c r="JD412" s="6"/>
      <c r="JE412" s="6"/>
      <c r="JF412" s="6"/>
      <c r="JG412" s="6"/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6"/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6"/>
      <c r="KZ412" s="6"/>
      <c r="LA412" s="6"/>
      <c r="LB412" s="6"/>
      <c r="LC412" s="6"/>
      <c r="LD412" s="6"/>
      <c r="LE412" s="6"/>
      <c r="LF412" s="6"/>
      <c r="LG412" s="6"/>
      <c r="LH412" s="6"/>
      <c r="LI412" s="6"/>
      <c r="LJ412" s="6"/>
      <c r="LK412" s="6"/>
      <c r="LL412" s="6"/>
      <c r="LM412" s="6"/>
      <c r="LN412" s="6"/>
      <c r="LO412" s="6"/>
      <c r="LP412" s="6"/>
      <c r="LQ412" s="6"/>
      <c r="LR412" s="6"/>
      <c r="LS412" s="6"/>
      <c r="LT412" s="6"/>
      <c r="LU412" s="6"/>
      <c r="LV412" s="6"/>
      <c r="LW412" s="6"/>
      <c r="LX412" s="6"/>
      <c r="LY412" s="6"/>
      <c r="LZ412" s="6"/>
      <c r="MA412" s="6"/>
      <c r="MB412" s="6"/>
      <c r="MC412" s="6"/>
      <c r="MD412" s="6"/>
      <c r="ME412" s="6"/>
      <c r="MF412" s="6"/>
      <c r="MG412" s="6"/>
      <c r="MH412" s="6"/>
      <c r="MI412" s="6"/>
      <c r="MJ412" s="6"/>
      <c r="MK412" s="6"/>
      <c r="ML412" s="6"/>
      <c r="MM412" s="6"/>
      <c r="MN412" s="6"/>
      <c r="MO412" s="6"/>
      <c r="MP412" s="6"/>
      <c r="MQ412" s="6"/>
      <c r="MR412" s="6"/>
      <c r="MS412" s="6"/>
      <c r="MT412" s="6"/>
      <c r="MU412" s="6"/>
      <c r="MV412" s="6"/>
      <c r="MW412" s="6"/>
      <c r="MX412" s="6"/>
      <c r="MY412" s="6"/>
      <c r="MZ412" s="6"/>
      <c r="NA412" s="6"/>
      <c r="NB412" s="6"/>
      <c r="NC412" s="6"/>
      <c r="ND412" s="6"/>
      <c r="NE412" s="6"/>
      <c r="NF412" s="6"/>
      <c r="NG412" s="6"/>
      <c r="NH412" s="6"/>
      <c r="NI412" s="6"/>
      <c r="NJ412" s="6"/>
      <c r="NK412" s="6"/>
      <c r="NL412" s="6"/>
      <c r="NM412" s="6"/>
      <c r="NN412" s="6"/>
      <c r="NO412" s="6"/>
      <c r="NP412" s="6"/>
      <c r="NQ412" s="6"/>
      <c r="NR412" s="6"/>
      <c r="NS412" s="6"/>
      <c r="NT412" s="6"/>
      <c r="NU412" s="6"/>
      <c r="NV412" s="6"/>
    </row>
    <row r="413" spans="1:386" s="19" customFormat="1" ht="20.100000000000001" customHeight="1" x14ac:dyDescent="0.35">
      <c r="A413" s="1"/>
      <c r="B413" s="2"/>
      <c r="C413" s="3"/>
      <c r="D413" s="2"/>
      <c r="E413" s="2"/>
      <c r="F413" s="4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9"/>
      <c r="FL413" s="9"/>
      <c r="FM413" s="9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135"/>
      <c r="IK413" s="135"/>
      <c r="IL413" s="135"/>
      <c r="IN413" s="6"/>
      <c r="IO413" s="6"/>
      <c r="IP413" s="6"/>
      <c r="IQ413" s="6"/>
      <c r="IR413" s="6"/>
      <c r="IS413" s="6"/>
      <c r="IT413" s="6"/>
      <c r="IU413" s="6"/>
      <c r="IV413" s="6"/>
      <c r="IW413" s="6"/>
      <c r="IX413" s="6"/>
      <c r="IY413" s="6"/>
      <c r="IZ413" s="6"/>
      <c r="JA413" s="6"/>
      <c r="JB413" s="6"/>
      <c r="JC413" s="6"/>
      <c r="JD413" s="6"/>
      <c r="JE413" s="6"/>
      <c r="JF413" s="6"/>
      <c r="JG413" s="6"/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6"/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6"/>
      <c r="KZ413" s="6"/>
      <c r="LA413" s="6"/>
      <c r="LB413" s="6"/>
      <c r="LC413" s="6"/>
      <c r="LD413" s="6"/>
      <c r="LE413" s="6"/>
      <c r="LF413" s="6"/>
      <c r="LG413" s="6"/>
      <c r="LH413" s="6"/>
      <c r="LI413" s="6"/>
      <c r="LJ413" s="6"/>
      <c r="LK413" s="6"/>
      <c r="LL413" s="6"/>
      <c r="LM413" s="6"/>
      <c r="LN413" s="6"/>
      <c r="LO413" s="6"/>
      <c r="LP413" s="6"/>
      <c r="LQ413" s="6"/>
      <c r="LR413" s="6"/>
      <c r="LS413" s="6"/>
      <c r="LT413" s="6"/>
      <c r="LU413" s="6"/>
      <c r="LV413" s="6"/>
      <c r="LW413" s="6"/>
      <c r="LX413" s="6"/>
      <c r="LY413" s="6"/>
      <c r="LZ413" s="6"/>
      <c r="MA413" s="6"/>
      <c r="MB413" s="6"/>
      <c r="MC413" s="6"/>
      <c r="MD413" s="6"/>
      <c r="ME413" s="6"/>
      <c r="MF413" s="6"/>
      <c r="MG413" s="6"/>
      <c r="MH413" s="6"/>
      <c r="MI413" s="6"/>
      <c r="MJ413" s="6"/>
      <c r="MK413" s="6"/>
      <c r="ML413" s="6"/>
      <c r="MM413" s="6"/>
      <c r="MN413" s="6"/>
      <c r="MO413" s="6"/>
      <c r="MP413" s="6"/>
      <c r="MQ413" s="6"/>
      <c r="MR413" s="6"/>
      <c r="MS413" s="6"/>
      <c r="MT413" s="6"/>
      <c r="MU413" s="6"/>
      <c r="MV413" s="6"/>
      <c r="MW413" s="6"/>
      <c r="MX413" s="6"/>
      <c r="MY413" s="6"/>
      <c r="MZ413" s="6"/>
      <c r="NA413" s="6"/>
      <c r="NB413" s="6"/>
      <c r="NC413" s="6"/>
      <c r="ND413" s="6"/>
      <c r="NE413" s="6"/>
      <c r="NF413" s="6"/>
      <c r="NG413" s="6"/>
      <c r="NH413" s="6"/>
      <c r="NI413" s="6"/>
      <c r="NJ413" s="6"/>
      <c r="NK413" s="6"/>
      <c r="NL413" s="6"/>
      <c r="NM413" s="6"/>
      <c r="NN413" s="6"/>
      <c r="NO413" s="6"/>
      <c r="NP413" s="6"/>
      <c r="NQ413" s="6"/>
      <c r="NR413" s="6"/>
      <c r="NS413" s="6"/>
      <c r="NT413" s="6"/>
      <c r="NU413" s="6"/>
      <c r="NV413" s="6"/>
    </row>
    <row r="414" spans="1:386" s="19" customFormat="1" ht="20.100000000000001" customHeight="1" x14ac:dyDescent="0.35">
      <c r="A414" s="1"/>
      <c r="B414" s="2"/>
      <c r="C414" s="3"/>
      <c r="D414" s="2"/>
      <c r="E414" s="2"/>
      <c r="F414" s="4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9"/>
      <c r="FL414" s="9"/>
      <c r="FM414" s="9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135"/>
      <c r="IK414" s="135"/>
      <c r="IL414" s="135"/>
      <c r="IN414" s="6"/>
      <c r="IO414" s="6"/>
      <c r="IP414" s="6"/>
      <c r="IQ414" s="6"/>
      <c r="IR414" s="6"/>
      <c r="IS414" s="6"/>
      <c r="IT414" s="6"/>
      <c r="IU414" s="6"/>
      <c r="IV414" s="6"/>
      <c r="IW414" s="6"/>
      <c r="IX414" s="6"/>
      <c r="IY414" s="6"/>
      <c r="IZ414" s="6"/>
      <c r="JA414" s="6"/>
      <c r="JB414" s="6"/>
      <c r="JC414" s="6"/>
      <c r="JD414" s="6"/>
      <c r="JE414" s="6"/>
      <c r="JF414" s="6"/>
      <c r="JG414" s="6"/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6"/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6"/>
      <c r="KZ414" s="6"/>
      <c r="LA414" s="6"/>
      <c r="LB414" s="6"/>
      <c r="LC414" s="6"/>
      <c r="LD414" s="6"/>
      <c r="LE414" s="6"/>
      <c r="LF414" s="6"/>
      <c r="LG414" s="6"/>
      <c r="LH414" s="6"/>
      <c r="LI414" s="6"/>
      <c r="LJ414" s="6"/>
      <c r="LK414" s="6"/>
      <c r="LL414" s="6"/>
      <c r="LM414" s="6"/>
      <c r="LN414" s="6"/>
      <c r="LO414" s="6"/>
      <c r="LP414" s="6"/>
      <c r="LQ414" s="6"/>
      <c r="LR414" s="6"/>
      <c r="LS414" s="6"/>
      <c r="LT414" s="6"/>
      <c r="LU414" s="6"/>
      <c r="LV414" s="6"/>
      <c r="LW414" s="6"/>
      <c r="LX414" s="6"/>
      <c r="LY414" s="6"/>
      <c r="LZ414" s="6"/>
      <c r="MA414" s="6"/>
      <c r="MB414" s="6"/>
      <c r="MC414" s="6"/>
      <c r="MD414" s="6"/>
      <c r="ME414" s="6"/>
      <c r="MF414" s="6"/>
      <c r="MG414" s="6"/>
      <c r="MH414" s="6"/>
      <c r="MI414" s="6"/>
      <c r="MJ414" s="6"/>
      <c r="MK414" s="6"/>
      <c r="ML414" s="6"/>
      <c r="MM414" s="6"/>
      <c r="MN414" s="6"/>
      <c r="MO414" s="6"/>
      <c r="MP414" s="6"/>
      <c r="MQ414" s="6"/>
      <c r="MR414" s="6"/>
      <c r="MS414" s="6"/>
      <c r="MT414" s="6"/>
      <c r="MU414" s="6"/>
      <c r="MV414" s="6"/>
      <c r="MW414" s="6"/>
      <c r="MX414" s="6"/>
      <c r="MY414" s="6"/>
      <c r="MZ414" s="6"/>
      <c r="NA414" s="6"/>
      <c r="NB414" s="6"/>
      <c r="NC414" s="6"/>
      <c r="ND414" s="6"/>
      <c r="NE414" s="6"/>
      <c r="NF414" s="6"/>
      <c r="NG414" s="6"/>
      <c r="NH414" s="6"/>
      <c r="NI414" s="6"/>
      <c r="NJ414" s="6"/>
      <c r="NK414" s="6"/>
      <c r="NL414" s="6"/>
      <c r="NM414" s="6"/>
      <c r="NN414" s="6"/>
      <c r="NO414" s="6"/>
      <c r="NP414" s="6"/>
      <c r="NQ414" s="6"/>
      <c r="NR414" s="6"/>
      <c r="NS414" s="6"/>
      <c r="NT414" s="6"/>
      <c r="NU414" s="6"/>
      <c r="NV414" s="6"/>
    </row>
    <row r="415" spans="1:386" s="19" customFormat="1" ht="20.100000000000001" customHeight="1" x14ac:dyDescent="0.35">
      <c r="A415" s="1"/>
      <c r="B415" s="2"/>
      <c r="C415" s="3"/>
      <c r="D415" s="2"/>
      <c r="E415" s="2"/>
      <c r="F415" s="4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9"/>
      <c r="FL415" s="9"/>
      <c r="FM415" s="9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135"/>
      <c r="IK415" s="135"/>
      <c r="IL415" s="135"/>
      <c r="IN415" s="6"/>
      <c r="IO415" s="6"/>
      <c r="IP415" s="6"/>
      <c r="IQ415" s="6"/>
      <c r="IR415" s="6"/>
      <c r="IS415" s="6"/>
      <c r="IT415" s="6"/>
      <c r="IU415" s="6"/>
      <c r="IV415" s="6"/>
      <c r="IW415" s="6"/>
      <c r="IX415" s="6"/>
      <c r="IY415" s="6"/>
      <c r="IZ415" s="6"/>
      <c r="JA415" s="6"/>
      <c r="JB415" s="6"/>
      <c r="JC415" s="6"/>
      <c r="JD415" s="6"/>
      <c r="JE415" s="6"/>
      <c r="JF415" s="6"/>
      <c r="JG415" s="6"/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6"/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6"/>
      <c r="KZ415" s="6"/>
      <c r="LA415" s="6"/>
      <c r="LB415" s="6"/>
      <c r="LC415" s="6"/>
      <c r="LD415" s="6"/>
      <c r="LE415" s="6"/>
      <c r="LF415" s="6"/>
      <c r="LG415" s="6"/>
      <c r="LH415" s="6"/>
      <c r="LI415" s="6"/>
      <c r="LJ415" s="6"/>
      <c r="LK415" s="6"/>
      <c r="LL415" s="6"/>
      <c r="LM415" s="6"/>
      <c r="LN415" s="6"/>
      <c r="LO415" s="6"/>
      <c r="LP415" s="6"/>
      <c r="LQ415" s="6"/>
      <c r="LR415" s="6"/>
      <c r="LS415" s="6"/>
      <c r="LT415" s="6"/>
      <c r="LU415" s="6"/>
      <c r="LV415" s="6"/>
      <c r="LW415" s="6"/>
      <c r="LX415" s="6"/>
      <c r="LY415" s="6"/>
      <c r="LZ415" s="6"/>
      <c r="MA415" s="6"/>
      <c r="MB415" s="6"/>
      <c r="MC415" s="6"/>
      <c r="MD415" s="6"/>
      <c r="ME415" s="6"/>
      <c r="MF415" s="6"/>
      <c r="MG415" s="6"/>
      <c r="MH415" s="6"/>
      <c r="MI415" s="6"/>
      <c r="MJ415" s="6"/>
      <c r="MK415" s="6"/>
      <c r="ML415" s="6"/>
      <c r="MM415" s="6"/>
      <c r="MN415" s="6"/>
      <c r="MO415" s="6"/>
      <c r="MP415" s="6"/>
      <c r="MQ415" s="6"/>
      <c r="MR415" s="6"/>
      <c r="MS415" s="6"/>
      <c r="MT415" s="6"/>
      <c r="MU415" s="6"/>
      <c r="MV415" s="6"/>
      <c r="MW415" s="6"/>
      <c r="MX415" s="6"/>
      <c r="MY415" s="6"/>
      <c r="MZ415" s="6"/>
      <c r="NA415" s="6"/>
      <c r="NB415" s="6"/>
      <c r="NC415" s="6"/>
      <c r="ND415" s="6"/>
      <c r="NE415" s="6"/>
      <c r="NF415" s="6"/>
      <c r="NG415" s="6"/>
      <c r="NH415" s="6"/>
      <c r="NI415" s="6"/>
      <c r="NJ415" s="6"/>
      <c r="NK415" s="6"/>
      <c r="NL415" s="6"/>
      <c r="NM415" s="6"/>
      <c r="NN415" s="6"/>
      <c r="NO415" s="6"/>
      <c r="NP415" s="6"/>
      <c r="NQ415" s="6"/>
      <c r="NR415" s="6"/>
      <c r="NS415" s="6"/>
      <c r="NT415" s="6"/>
      <c r="NU415" s="6"/>
      <c r="NV415" s="6"/>
    </row>
    <row r="416" spans="1:386" s="19" customFormat="1" ht="20.100000000000001" customHeight="1" x14ac:dyDescent="0.35">
      <c r="A416" s="1"/>
      <c r="B416" s="2"/>
      <c r="C416" s="3"/>
      <c r="D416" s="2"/>
      <c r="E416" s="2"/>
      <c r="F416" s="4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9"/>
      <c r="FL416" s="9"/>
      <c r="FM416" s="9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135"/>
      <c r="IK416" s="135"/>
      <c r="IL416" s="135"/>
      <c r="IN416" s="6"/>
      <c r="IO416" s="6"/>
      <c r="IP416" s="6"/>
      <c r="IQ416" s="6"/>
      <c r="IR416" s="6"/>
      <c r="IS416" s="6"/>
      <c r="IT416" s="6"/>
      <c r="IU416" s="6"/>
      <c r="IV416" s="6"/>
      <c r="IW416" s="6"/>
      <c r="IX416" s="6"/>
      <c r="IY416" s="6"/>
      <c r="IZ416" s="6"/>
      <c r="JA416" s="6"/>
      <c r="JB416" s="6"/>
      <c r="JC416" s="6"/>
      <c r="JD416" s="6"/>
      <c r="JE416" s="6"/>
      <c r="JF416" s="6"/>
      <c r="JG416" s="6"/>
      <c r="JH416" s="6"/>
      <c r="JI416" s="6"/>
      <c r="JJ416" s="6"/>
      <c r="JK416" s="6"/>
      <c r="JL416" s="6"/>
      <c r="JM416" s="6"/>
      <c r="JN416" s="6"/>
      <c r="JO416" s="6"/>
      <c r="JP416" s="6"/>
      <c r="JQ416" s="6"/>
      <c r="JR416" s="6"/>
      <c r="JS416" s="6"/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6"/>
      <c r="KZ416" s="6"/>
      <c r="LA416" s="6"/>
      <c r="LB416" s="6"/>
      <c r="LC416" s="6"/>
      <c r="LD416" s="6"/>
      <c r="LE416" s="6"/>
      <c r="LF416" s="6"/>
      <c r="LG416" s="6"/>
      <c r="LH416" s="6"/>
      <c r="LI416" s="6"/>
      <c r="LJ416" s="6"/>
      <c r="LK416" s="6"/>
      <c r="LL416" s="6"/>
      <c r="LM416" s="6"/>
      <c r="LN416" s="6"/>
      <c r="LO416" s="6"/>
      <c r="LP416" s="6"/>
      <c r="LQ416" s="6"/>
      <c r="LR416" s="6"/>
      <c r="LS416" s="6"/>
      <c r="LT416" s="6"/>
      <c r="LU416" s="6"/>
      <c r="LV416" s="6"/>
      <c r="LW416" s="6"/>
      <c r="LX416" s="6"/>
      <c r="LY416" s="6"/>
      <c r="LZ416" s="6"/>
      <c r="MA416" s="6"/>
      <c r="MB416" s="6"/>
      <c r="MC416" s="6"/>
      <c r="MD416" s="6"/>
      <c r="ME416" s="6"/>
      <c r="MF416" s="6"/>
      <c r="MG416" s="6"/>
      <c r="MH416" s="6"/>
      <c r="MI416" s="6"/>
      <c r="MJ416" s="6"/>
      <c r="MK416" s="6"/>
      <c r="ML416" s="6"/>
      <c r="MM416" s="6"/>
      <c r="MN416" s="6"/>
      <c r="MO416" s="6"/>
      <c r="MP416" s="6"/>
      <c r="MQ416" s="6"/>
      <c r="MR416" s="6"/>
      <c r="MS416" s="6"/>
      <c r="MT416" s="6"/>
      <c r="MU416" s="6"/>
      <c r="MV416" s="6"/>
      <c r="MW416" s="6"/>
      <c r="MX416" s="6"/>
      <c r="MY416" s="6"/>
      <c r="MZ416" s="6"/>
      <c r="NA416" s="6"/>
      <c r="NB416" s="6"/>
      <c r="NC416" s="6"/>
      <c r="ND416" s="6"/>
      <c r="NE416" s="6"/>
      <c r="NF416" s="6"/>
      <c r="NG416" s="6"/>
      <c r="NH416" s="6"/>
      <c r="NI416" s="6"/>
      <c r="NJ416" s="6"/>
      <c r="NK416" s="6"/>
      <c r="NL416" s="6"/>
      <c r="NM416" s="6"/>
      <c r="NN416" s="6"/>
      <c r="NO416" s="6"/>
      <c r="NP416" s="6"/>
      <c r="NQ416" s="6"/>
      <c r="NR416" s="6"/>
      <c r="NS416" s="6"/>
      <c r="NT416" s="6"/>
      <c r="NU416" s="6"/>
      <c r="NV416" s="6"/>
    </row>
    <row r="417" spans="1:386" s="19" customFormat="1" ht="20.100000000000001" customHeight="1" x14ac:dyDescent="0.35">
      <c r="A417" s="1"/>
      <c r="B417" s="2"/>
      <c r="C417" s="3"/>
      <c r="D417" s="2"/>
      <c r="E417" s="2"/>
      <c r="F417" s="4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9"/>
      <c r="FL417" s="9"/>
      <c r="FM417" s="9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135"/>
      <c r="IK417" s="135"/>
      <c r="IL417" s="135"/>
      <c r="IN417" s="6"/>
      <c r="IO417" s="6"/>
      <c r="IP417" s="6"/>
      <c r="IQ417" s="6"/>
      <c r="IR417" s="6"/>
      <c r="IS417" s="6"/>
      <c r="IT417" s="6"/>
      <c r="IU417" s="6"/>
      <c r="IV417" s="6"/>
      <c r="IW417" s="6"/>
      <c r="IX417" s="6"/>
      <c r="IY417" s="6"/>
      <c r="IZ417" s="6"/>
      <c r="JA417" s="6"/>
      <c r="JB417" s="6"/>
      <c r="JC417" s="6"/>
      <c r="JD417" s="6"/>
      <c r="JE417" s="6"/>
      <c r="JF417" s="6"/>
      <c r="JG417" s="6"/>
      <c r="JH417" s="6"/>
      <c r="JI417" s="6"/>
      <c r="JJ417" s="6"/>
      <c r="JK417" s="6"/>
      <c r="JL417" s="6"/>
      <c r="JM417" s="6"/>
      <c r="JN417" s="6"/>
      <c r="JO417" s="6"/>
      <c r="JP417" s="6"/>
      <c r="JQ417" s="6"/>
      <c r="JR417" s="6"/>
      <c r="JS417" s="6"/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6"/>
      <c r="KZ417" s="6"/>
      <c r="LA417" s="6"/>
      <c r="LB417" s="6"/>
      <c r="LC417" s="6"/>
      <c r="LD417" s="6"/>
      <c r="LE417" s="6"/>
      <c r="LF417" s="6"/>
      <c r="LG417" s="6"/>
      <c r="LH417" s="6"/>
      <c r="LI417" s="6"/>
      <c r="LJ417" s="6"/>
      <c r="LK417" s="6"/>
      <c r="LL417" s="6"/>
      <c r="LM417" s="6"/>
      <c r="LN417" s="6"/>
      <c r="LO417" s="6"/>
      <c r="LP417" s="6"/>
      <c r="LQ417" s="6"/>
      <c r="LR417" s="6"/>
      <c r="LS417" s="6"/>
      <c r="LT417" s="6"/>
      <c r="LU417" s="6"/>
      <c r="LV417" s="6"/>
      <c r="LW417" s="6"/>
      <c r="LX417" s="6"/>
      <c r="LY417" s="6"/>
      <c r="LZ417" s="6"/>
      <c r="MA417" s="6"/>
      <c r="MB417" s="6"/>
      <c r="MC417" s="6"/>
      <c r="MD417" s="6"/>
      <c r="ME417" s="6"/>
      <c r="MF417" s="6"/>
      <c r="MG417" s="6"/>
      <c r="MH417" s="6"/>
      <c r="MI417" s="6"/>
      <c r="MJ417" s="6"/>
      <c r="MK417" s="6"/>
      <c r="ML417" s="6"/>
      <c r="MM417" s="6"/>
      <c r="MN417" s="6"/>
      <c r="MO417" s="6"/>
      <c r="MP417" s="6"/>
      <c r="MQ417" s="6"/>
      <c r="MR417" s="6"/>
      <c r="MS417" s="6"/>
      <c r="MT417" s="6"/>
      <c r="MU417" s="6"/>
      <c r="MV417" s="6"/>
      <c r="MW417" s="6"/>
      <c r="MX417" s="6"/>
      <c r="MY417" s="6"/>
      <c r="MZ417" s="6"/>
      <c r="NA417" s="6"/>
      <c r="NB417" s="6"/>
      <c r="NC417" s="6"/>
      <c r="ND417" s="6"/>
      <c r="NE417" s="6"/>
      <c r="NF417" s="6"/>
      <c r="NG417" s="6"/>
      <c r="NH417" s="6"/>
      <c r="NI417" s="6"/>
      <c r="NJ417" s="6"/>
      <c r="NK417" s="6"/>
      <c r="NL417" s="6"/>
      <c r="NM417" s="6"/>
      <c r="NN417" s="6"/>
      <c r="NO417" s="6"/>
      <c r="NP417" s="6"/>
      <c r="NQ417" s="6"/>
      <c r="NR417" s="6"/>
      <c r="NS417" s="6"/>
      <c r="NT417" s="6"/>
      <c r="NU417" s="6"/>
      <c r="NV417" s="6"/>
    </row>
    <row r="418" spans="1:386" s="19" customFormat="1" ht="20.100000000000001" customHeight="1" x14ac:dyDescent="0.35">
      <c r="A418" s="1"/>
      <c r="B418" s="2"/>
      <c r="C418" s="3"/>
      <c r="D418" s="2"/>
      <c r="E418" s="2"/>
      <c r="F418" s="4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9"/>
      <c r="FL418" s="9"/>
      <c r="FM418" s="9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135"/>
      <c r="IK418" s="135"/>
      <c r="IL418" s="135"/>
      <c r="IN418" s="6"/>
      <c r="IO418" s="6"/>
      <c r="IP418" s="6"/>
      <c r="IQ418" s="6"/>
      <c r="IR418" s="6"/>
      <c r="IS418" s="6"/>
      <c r="IT418" s="6"/>
      <c r="IU418" s="6"/>
      <c r="IV418" s="6"/>
      <c r="IW418" s="6"/>
      <c r="IX418" s="6"/>
      <c r="IY418" s="6"/>
      <c r="IZ418" s="6"/>
      <c r="JA418" s="6"/>
      <c r="JB418" s="6"/>
      <c r="JC418" s="6"/>
      <c r="JD418" s="6"/>
      <c r="JE418" s="6"/>
      <c r="JF418" s="6"/>
      <c r="JG418" s="6"/>
      <c r="JH418" s="6"/>
      <c r="JI418" s="6"/>
      <c r="JJ418" s="6"/>
      <c r="JK418" s="6"/>
      <c r="JL418" s="6"/>
      <c r="JM418" s="6"/>
      <c r="JN418" s="6"/>
      <c r="JO418" s="6"/>
      <c r="JP418" s="6"/>
      <c r="JQ418" s="6"/>
      <c r="JR418" s="6"/>
      <c r="JS418" s="6"/>
      <c r="JT418" s="6"/>
      <c r="JU418" s="6"/>
      <c r="JV418" s="6"/>
      <c r="JW418" s="6"/>
      <c r="JX418" s="6"/>
      <c r="JY418" s="6"/>
      <c r="JZ418" s="6"/>
      <c r="KA418" s="6"/>
      <c r="KB418" s="6"/>
      <c r="KC418" s="6"/>
      <c r="KD418" s="6"/>
      <c r="KE418" s="6"/>
      <c r="KF418" s="6"/>
      <c r="KG418" s="6"/>
      <c r="KH418" s="6"/>
      <c r="KI418" s="6"/>
      <c r="KJ418" s="6"/>
      <c r="KK418" s="6"/>
      <c r="KL418" s="6"/>
      <c r="KM418" s="6"/>
      <c r="KN418" s="6"/>
      <c r="KO418" s="6"/>
      <c r="KP418" s="6"/>
      <c r="KQ418" s="6"/>
      <c r="KR418" s="6"/>
      <c r="KS418" s="6"/>
      <c r="KT418" s="6"/>
      <c r="KU418" s="6"/>
      <c r="KV418" s="6"/>
      <c r="KW418" s="6"/>
      <c r="KX418" s="6"/>
      <c r="KY418" s="6"/>
      <c r="KZ418" s="6"/>
      <c r="LA418" s="6"/>
      <c r="LB418" s="6"/>
      <c r="LC418" s="6"/>
      <c r="LD418" s="6"/>
      <c r="LE418" s="6"/>
      <c r="LF418" s="6"/>
      <c r="LG418" s="6"/>
      <c r="LH418" s="6"/>
      <c r="LI418" s="6"/>
      <c r="LJ418" s="6"/>
      <c r="LK418" s="6"/>
      <c r="LL418" s="6"/>
      <c r="LM418" s="6"/>
      <c r="LN418" s="6"/>
      <c r="LO418" s="6"/>
      <c r="LP418" s="6"/>
      <c r="LQ418" s="6"/>
      <c r="LR418" s="6"/>
      <c r="LS418" s="6"/>
      <c r="LT418" s="6"/>
      <c r="LU418" s="6"/>
      <c r="LV418" s="6"/>
      <c r="LW418" s="6"/>
      <c r="LX418" s="6"/>
      <c r="LY418" s="6"/>
      <c r="LZ418" s="6"/>
      <c r="MA418" s="6"/>
      <c r="MB418" s="6"/>
      <c r="MC418" s="6"/>
      <c r="MD418" s="6"/>
      <c r="ME418" s="6"/>
      <c r="MF418" s="6"/>
      <c r="MG418" s="6"/>
      <c r="MH418" s="6"/>
      <c r="MI418" s="6"/>
      <c r="MJ418" s="6"/>
      <c r="MK418" s="6"/>
      <c r="ML418" s="6"/>
      <c r="MM418" s="6"/>
      <c r="MN418" s="6"/>
      <c r="MO418" s="6"/>
      <c r="MP418" s="6"/>
      <c r="MQ418" s="6"/>
      <c r="MR418" s="6"/>
      <c r="MS418" s="6"/>
      <c r="MT418" s="6"/>
      <c r="MU418" s="6"/>
      <c r="MV418" s="6"/>
      <c r="MW418" s="6"/>
      <c r="MX418" s="6"/>
      <c r="MY418" s="6"/>
      <c r="MZ418" s="6"/>
      <c r="NA418" s="6"/>
      <c r="NB418" s="6"/>
      <c r="NC418" s="6"/>
      <c r="ND418" s="6"/>
      <c r="NE418" s="6"/>
      <c r="NF418" s="6"/>
      <c r="NG418" s="6"/>
      <c r="NH418" s="6"/>
      <c r="NI418" s="6"/>
      <c r="NJ418" s="6"/>
      <c r="NK418" s="6"/>
      <c r="NL418" s="6"/>
      <c r="NM418" s="6"/>
      <c r="NN418" s="6"/>
      <c r="NO418" s="6"/>
      <c r="NP418" s="6"/>
      <c r="NQ418" s="6"/>
      <c r="NR418" s="6"/>
      <c r="NS418" s="6"/>
      <c r="NT418" s="6"/>
      <c r="NU418" s="6"/>
      <c r="NV418" s="6"/>
    </row>
    <row r="419" spans="1:386" s="19" customFormat="1" ht="20.100000000000001" customHeight="1" x14ac:dyDescent="0.35">
      <c r="A419" s="1"/>
      <c r="B419" s="2"/>
      <c r="C419" s="3"/>
      <c r="D419" s="2"/>
      <c r="E419" s="2"/>
      <c r="F419" s="4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9"/>
      <c r="FL419" s="9"/>
      <c r="FM419" s="9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135"/>
      <c r="IK419" s="135"/>
      <c r="IL419" s="135"/>
      <c r="IN419" s="6"/>
      <c r="IO419" s="6"/>
      <c r="IP419" s="6"/>
      <c r="IQ419" s="6"/>
      <c r="IR419" s="6"/>
      <c r="IS419" s="6"/>
      <c r="IT419" s="6"/>
      <c r="IU419" s="6"/>
      <c r="IV419" s="6"/>
      <c r="IW419" s="6"/>
      <c r="IX419" s="6"/>
      <c r="IY419" s="6"/>
      <c r="IZ419" s="6"/>
      <c r="JA419" s="6"/>
      <c r="JB419" s="6"/>
      <c r="JC419" s="6"/>
      <c r="JD419" s="6"/>
      <c r="JE419" s="6"/>
      <c r="JF419" s="6"/>
      <c r="JG419" s="6"/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6"/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6"/>
      <c r="KZ419" s="6"/>
      <c r="LA419" s="6"/>
      <c r="LB419" s="6"/>
      <c r="LC419" s="6"/>
      <c r="LD419" s="6"/>
      <c r="LE419" s="6"/>
      <c r="LF419" s="6"/>
      <c r="LG419" s="6"/>
      <c r="LH419" s="6"/>
      <c r="LI419" s="6"/>
      <c r="LJ419" s="6"/>
      <c r="LK419" s="6"/>
      <c r="LL419" s="6"/>
      <c r="LM419" s="6"/>
      <c r="LN419" s="6"/>
      <c r="LO419" s="6"/>
      <c r="LP419" s="6"/>
      <c r="LQ419" s="6"/>
      <c r="LR419" s="6"/>
      <c r="LS419" s="6"/>
      <c r="LT419" s="6"/>
      <c r="LU419" s="6"/>
      <c r="LV419" s="6"/>
      <c r="LW419" s="6"/>
      <c r="LX419" s="6"/>
      <c r="LY419" s="6"/>
      <c r="LZ419" s="6"/>
      <c r="MA419" s="6"/>
      <c r="MB419" s="6"/>
      <c r="MC419" s="6"/>
      <c r="MD419" s="6"/>
      <c r="ME419" s="6"/>
      <c r="MF419" s="6"/>
      <c r="MG419" s="6"/>
      <c r="MH419" s="6"/>
      <c r="MI419" s="6"/>
      <c r="MJ419" s="6"/>
      <c r="MK419" s="6"/>
      <c r="ML419" s="6"/>
      <c r="MM419" s="6"/>
      <c r="MN419" s="6"/>
      <c r="MO419" s="6"/>
      <c r="MP419" s="6"/>
      <c r="MQ419" s="6"/>
      <c r="MR419" s="6"/>
      <c r="MS419" s="6"/>
      <c r="MT419" s="6"/>
      <c r="MU419" s="6"/>
      <c r="MV419" s="6"/>
      <c r="MW419" s="6"/>
      <c r="MX419" s="6"/>
      <c r="MY419" s="6"/>
      <c r="MZ419" s="6"/>
      <c r="NA419" s="6"/>
      <c r="NB419" s="6"/>
      <c r="NC419" s="6"/>
      <c r="ND419" s="6"/>
      <c r="NE419" s="6"/>
      <c r="NF419" s="6"/>
      <c r="NG419" s="6"/>
      <c r="NH419" s="6"/>
      <c r="NI419" s="6"/>
      <c r="NJ419" s="6"/>
      <c r="NK419" s="6"/>
      <c r="NL419" s="6"/>
      <c r="NM419" s="6"/>
      <c r="NN419" s="6"/>
      <c r="NO419" s="6"/>
      <c r="NP419" s="6"/>
      <c r="NQ419" s="6"/>
      <c r="NR419" s="6"/>
      <c r="NS419" s="6"/>
      <c r="NT419" s="6"/>
      <c r="NU419" s="6"/>
      <c r="NV419" s="6"/>
    </row>
    <row r="420" spans="1:386" s="19" customFormat="1" ht="20.100000000000001" customHeight="1" x14ac:dyDescent="0.35">
      <c r="A420" s="1"/>
      <c r="B420" s="2"/>
      <c r="C420" s="3"/>
      <c r="D420" s="2"/>
      <c r="E420" s="2"/>
      <c r="F420" s="4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9"/>
      <c r="FL420" s="9"/>
      <c r="FM420" s="9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135"/>
      <c r="IK420" s="135"/>
      <c r="IL420" s="135"/>
      <c r="IN420" s="6"/>
      <c r="IO420" s="6"/>
      <c r="IP420" s="6"/>
      <c r="IQ420" s="6"/>
      <c r="IR420" s="6"/>
      <c r="IS420" s="6"/>
      <c r="IT420" s="6"/>
      <c r="IU420" s="6"/>
      <c r="IV420" s="6"/>
      <c r="IW420" s="6"/>
      <c r="IX420" s="6"/>
      <c r="IY420" s="6"/>
      <c r="IZ420" s="6"/>
      <c r="JA420" s="6"/>
      <c r="JB420" s="6"/>
      <c r="JC420" s="6"/>
      <c r="JD420" s="6"/>
      <c r="JE420" s="6"/>
      <c r="JF420" s="6"/>
      <c r="JG420" s="6"/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6"/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6"/>
      <c r="KZ420" s="6"/>
      <c r="LA420" s="6"/>
      <c r="LB420" s="6"/>
      <c r="LC420" s="6"/>
      <c r="LD420" s="6"/>
      <c r="LE420" s="6"/>
      <c r="LF420" s="6"/>
      <c r="LG420" s="6"/>
      <c r="LH420" s="6"/>
      <c r="LI420" s="6"/>
      <c r="LJ420" s="6"/>
      <c r="LK420" s="6"/>
      <c r="LL420" s="6"/>
      <c r="LM420" s="6"/>
      <c r="LN420" s="6"/>
      <c r="LO420" s="6"/>
      <c r="LP420" s="6"/>
      <c r="LQ420" s="6"/>
      <c r="LR420" s="6"/>
      <c r="LS420" s="6"/>
      <c r="LT420" s="6"/>
      <c r="LU420" s="6"/>
      <c r="LV420" s="6"/>
      <c r="LW420" s="6"/>
      <c r="LX420" s="6"/>
      <c r="LY420" s="6"/>
      <c r="LZ420" s="6"/>
      <c r="MA420" s="6"/>
      <c r="MB420" s="6"/>
      <c r="MC420" s="6"/>
      <c r="MD420" s="6"/>
      <c r="ME420" s="6"/>
      <c r="MF420" s="6"/>
      <c r="MG420" s="6"/>
      <c r="MH420" s="6"/>
      <c r="MI420" s="6"/>
      <c r="MJ420" s="6"/>
      <c r="MK420" s="6"/>
      <c r="ML420" s="6"/>
      <c r="MM420" s="6"/>
      <c r="MN420" s="6"/>
      <c r="MO420" s="6"/>
      <c r="MP420" s="6"/>
      <c r="MQ420" s="6"/>
      <c r="MR420" s="6"/>
      <c r="MS420" s="6"/>
      <c r="MT420" s="6"/>
      <c r="MU420" s="6"/>
      <c r="MV420" s="6"/>
      <c r="MW420" s="6"/>
      <c r="MX420" s="6"/>
      <c r="MY420" s="6"/>
      <c r="MZ420" s="6"/>
      <c r="NA420" s="6"/>
      <c r="NB420" s="6"/>
      <c r="NC420" s="6"/>
      <c r="ND420" s="6"/>
      <c r="NE420" s="6"/>
      <c r="NF420" s="6"/>
      <c r="NG420" s="6"/>
      <c r="NH420" s="6"/>
      <c r="NI420" s="6"/>
      <c r="NJ420" s="6"/>
      <c r="NK420" s="6"/>
      <c r="NL420" s="6"/>
      <c r="NM420" s="6"/>
      <c r="NN420" s="6"/>
      <c r="NO420" s="6"/>
      <c r="NP420" s="6"/>
      <c r="NQ420" s="6"/>
      <c r="NR420" s="6"/>
      <c r="NS420" s="6"/>
      <c r="NT420" s="6"/>
      <c r="NU420" s="6"/>
      <c r="NV420" s="6"/>
    </row>
    <row r="421" spans="1:386" s="19" customFormat="1" ht="20.100000000000001" customHeight="1" x14ac:dyDescent="0.35">
      <c r="A421" s="1"/>
      <c r="B421" s="2"/>
      <c r="C421" s="3"/>
      <c r="D421" s="2"/>
      <c r="E421" s="2"/>
      <c r="F421" s="4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9"/>
      <c r="FL421" s="9"/>
      <c r="FM421" s="9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135"/>
      <c r="IK421" s="135"/>
      <c r="IL421" s="135"/>
      <c r="IN421" s="6"/>
      <c r="IO421" s="6"/>
      <c r="IP421" s="6"/>
      <c r="IQ421" s="6"/>
      <c r="IR421" s="6"/>
      <c r="IS421" s="6"/>
      <c r="IT421" s="6"/>
      <c r="IU421" s="6"/>
      <c r="IV421" s="6"/>
      <c r="IW421" s="6"/>
      <c r="IX421" s="6"/>
      <c r="IY421" s="6"/>
      <c r="IZ421" s="6"/>
      <c r="JA421" s="6"/>
      <c r="JB421" s="6"/>
      <c r="JC421" s="6"/>
      <c r="JD421" s="6"/>
      <c r="JE421" s="6"/>
      <c r="JF421" s="6"/>
      <c r="JG421" s="6"/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6"/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6"/>
      <c r="KZ421" s="6"/>
      <c r="LA421" s="6"/>
      <c r="LB421" s="6"/>
      <c r="LC421" s="6"/>
      <c r="LD421" s="6"/>
      <c r="LE421" s="6"/>
      <c r="LF421" s="6"/>
      <c r="LG421" s="6"/>
      <c r="LH421" s="6"/>
      <c r="LI421" s="6"/>
      <c r="LJ421" s="6"/>
      <c r="LK421" s="6"/>
      <c r="LL421" s="6"/>
      <c r="LM421" s="6"/>
      <c r="LN421" s="6"/>
      <c r="LO421" s="6"/>
      <c r="LP421" s="6"/>
      <c r="LQ421" s="6"/>
      <c r="LR421" s="6"/>
      <c r="LS421" s="6"/>
      <c r="LT421" s="6"/>
      <c r="LU421" s="6"/>
      <c r="LV421" s="6"/>
      <c r="LW421" s="6"/>
      <c r="LX421" s="6"/>
      <c r="LY421" s="6"/>
      <c r="LZ421" s="6"/>
      <c r="MA421" s="6"/>
      <c r="MB421" s="6"/>
      <c r="MC421" s="6"/>
      <c r="MD421" s="6"/>
      <c r="ME421" s="6"/>
      <c r="MF421" s="6"/>
      <c r="MG421" s="6"/>
      <c r="MH421" s="6"/>
      <c r="MI421" s="6"/>
      <c r="MJ421" s="6"/>
      <c r="MK421" s="6"/>
      <c r="ML421" s="6"/>
      <c r="MM421" s="6"/>
      <c r="MN421" s="6"/>
      <c r="MO421" s="6"/>
      <c r="MP421" s="6"/>
      <c r="MQ421" s="6"/>
      <c r="MR421" s="6"/>
      <c r="MS421" s="6"/>
      <c r="MT421" s="6"/>
      <c r="MU421" s="6"/>
      <c r="MV421" s="6"/>
      <c r="MW421" s="6"/>
      <c r="MX421" s="6"/>
      <c r="MY421" s="6"/>
      <c r="MZ421" s="6"/>
      <c r="NA421" s="6"/>
      <c r="NB421" s="6"/>
      <c r="NC421" s="6"/>
      <c r="ND421" s="6"/>
      <c r="NE421" s="6"/>
      <c r="NF421" s="6"/>
      <c r="NG421" s="6"/>
      <c r="NH421" s="6"/>
      <c r="NI421" s="6"/>
      <c r="NJ421" s="6"/>
      <c r="NK421" s="6"/>
      <c r="NL421" s="6"/>
      <c r="NM421" s="6"/>
      <c r="NN421" s="6"/>
      <c r="NO421" s="6"/>
      <c r="NP421" s="6"/>
      <c r="NQ421" s="6"/>
      <c r="NR421" s="6"/>
      <c r="NS421" s="6"/>
      <c r="NT421" s="6"/>
      <c r="NU421" s="6"/>
      <c r="NV421" s="6"/>
    </row>
    <row r="422" spans="1:386" s="19" customFormat="1" ht="20.100000000000001" customHeight="1" x14ac:dyDescent="0.35">
      <c r="A422" s="1"/>
      <c r="B422" s="2"/>
      <c r="C422" s="3"/>
      <c r="D422" s="2"/>
      <c r="E422" s="2"/>
      <c r="F422" s="4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9"/>
      <c r="FL422" s="9"/>
      <c r="FM422" s="9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135"/>
      <c r="IK422" s="135"/>
      <c r="IL422" s="135"/>
      <c r="IN422" s="6"/>
      <c r="IO422" s="6"/>
      <c r="IP422" s="6"/>
      <c r="IQ422" s="6"/>
      <c r="IR422" s="6"/>
      <c r="IS422" s="6"/>
      <c r="IT422" s="6"/>
      <c r="IU422" s="6"/>
      <c r="IV422" s="6"/>
      <c r="IW422" s="6"/>
      <c r="IX422" s="6"/>
      <c r="IY422" s="6"/>
      <c r="IZ422" s="6"/>
      <c r="JA422" s="6"/>
      <c r="JB422" s="6"/>
      <c r="JC422" s="6"/>
      <c r="JD422" s="6"/>
      <c r="JE422" s="6"/>
      <c r="JF422" s="6"/>
      <c r="JG422" s="6"/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6"/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6"/>
      <c r="KZ422" s="6"/>
      <c r="LA422" s="6"/>
      <c r="LB422" s="6"/>
      <c r="LC422" s="6"/>
      <c r="LD422" s="6"/>
      <c r="LE422" s="6"/>
      <c r="LF422" s="6"/>
      <c r="LG422" s="6"/>
      <c r="LH422" s="6"/>
      <c r="LI422" s="6"/>
      <c r="LJ422" s="6"/>
      <c r="LK422" s="6"/>
      <c r="LL422" s="6"/>
      <c r="LM422" s="6"/>
      <c r="LN422" s="6"/>
      <c r="LO422" s="6"/>
      <c r="LP422" s="6"/>
      <c r="LQ422" s="6"/>
      <c r="LR422" s="6"/>
      <c r="LS422" s="6"/>
      <c r="LT422" s="6"/>
      <c r="LU422" s="6"/>
      <c r="LV422" s="6"/>
      <c r="LW422" s="6"/>
      <c r="LX422" s="6"/>
      <c r="LY422" s="6"/>
      <c r="LZ422" s="6"/>
      <c r="MA422" s="6"/>
      <c r="MB422" s="6"/>
      <c r="MC422" s="6"/>
      <c r="MD422" s="6"/>
      <c r="ME422" s="6"/>
      <c r="MF422" s="6"/>
      <c r="MG422" s="6"/>
      <c r="MH422" s="6"/>
      <c r="MI422" s="6"/>
      <c r="MJ422" s="6"/>
      <c r="MK422" s="6"/>
      <c r="ML422" s="6"/>
      <c r="MM422" s="6"/>
      <c r="MN422" s="6"/>
      <c r="MO422" s="6"/>
      <c r="MP422" s="6"/>
      <c r="MQ422" s="6"/>
      <c r="MR422" s="6"/>
      <c r="MS422" s="6"/>
      <c r="MT422" s="6"/>
      <c r="MU422" s="6"/>
      <c r="MV422" s="6"/>
      <c r="MW422" s="6"/>
      <c r="MX422" s="6"/>
      <c r="MY422" s="6"/>
      <c r="MZ422" s="6"/>
      <c r="NA422" s="6"/>
      <c r="NB422" s="6"/>
      <c r="NC422" s="6"/>
      <c r="ND422" s="6"/>
      <c r="NE422" s="6"/>
      <c r="NF422" s="6"/>
      <c r="NG422" s="6"/>
      <c r="NH422" s="6"/>
      <c r="NI422" s="6"/>
      <c r="NJ422" s="6"/>
      <c r="NK422" s="6"/>
      <c r="NL422" s="6"/>
      <c r="NM422" s="6"/>
      <c r="NN422" s="6"/>
      <c r="NO422" s="6"/>
      <c r="NP422" s="6"/>
      <c r="NQ422" s="6"/>
      <c r="NR422" s="6"/>
      <c r="NS422" s="6"/>
      <c r="NT422" s="6"/>
      <c r="NU422" s="6"/>
      <c r="NV422" s="6"/>
    </row>
    <row r="423" spans="1:386" s="19" customFormat="1" ht="20.100000000000001" customHeight="1" x14ac:dyDescent="0.35">
      <c r="A423" s="1"/>
      <c r="B423" s="2"/>
      <c r="C423" s="3"/>
      <c r="D423" s="2"/>
      <c r="E423" s="2"/>
      <c r="F423" s="4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9"/>
      <c r="FL423" s="9"/>
      <c r="FM423" s="9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135"/>
      <c r="IK423" s="135"/>
      <c r="IL423" s="135"/>
      <c r="IN423" s="6"/>
      <c r="IO423" s="6"/>
      <c r="IP423" s="6"/>
      <c r="IQ423" s="6"/>
      <c r="IR423" s="6"/>
      <c r="IS423" s="6"/>
      <c r="IT423" s="6"/>
      <c r="IU423" s="6"/>
      <c r="IV423" s="6"/>
      <c r="IW423" s="6"/>
      <c r="IX423" s="6"/>
      <c r="IY423" s="6"/>
      <c r="IZ423" s="6"/>
      <c r="JA423" s="6"/>
      <c r="JB423" s="6"/>
      <c r="JC423" s="6"/>
      <c r="JD423" s="6"/>
      <c r="JE423" s="6"/>
      <c r="JF423" s="6"/>
      <c r="JG423" s="6"/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6"/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6"/>
      <c r="KZ423" s="6"/>
      <c r="LA423" s="6"/>
      <c r="LB423" s="6"/>
      <c r="LC423" s="6"/>
      <c r="LD423" s="6"/>
      <c r="LE423" s="6"/>
      <c r="LF423" s="6"/>
      <c r="LG423" s="6"/>
      <c r="LH423" s="6"/>
      <c r="LI423" s="6"/>
      <c r="LJ423" s="6"/>
      <c r="LK423" s="6"/>
      <c r="LL423" s="6"/>
      <c r="LM423" s="6"/>
      <c r="LN423" s="6"/>
      <c r="LO423" s="6"/>
      <c r="LP423" s="6"/>
      <c r="LQ423" s="6"/>
      <c r="LR423" s="6"/>
      <c r="LS423" s="6"/>
      <c r="LT423" s="6"/>
      <c r="LU423" s="6"/>
      <c r="LV423" s="6"/>
      <c r="LW423" s="6"/>
      <c r="LX423" s="6"/>
      <c r="LY423" s="6"/>
      <c r="LZ423" s="6"/>
      <c r="MA423" s="6"/>
      <c r="MB423" s="6"/>
      <c r="MC423" s="6"/>
      <c r="MD423" s="6"/>
      <c r="ME423" s="6"/>
      <c r="MF423" s="6"/>
      <c r="MG423" s="6"/>
      <c r="MH423" s="6"/>
      <c r="MI423" s="6"/>
      <c r="MJ423" s="6"/>
      <c r="MK423" s="6"/>
      <c r="ML423" s="6"/>
      <c r="MM423" s="6"/>
      <c r="MN423" s="6"/>
      <c r="MO423" s="6"/>
      <c r="MP423" s="6"/>
      <c r="MQ423" s="6"/>
      <c r="MR423" s="6"/>
      <c r="MS423" s="6"/>
      <c r="MT423" s="6"/>
      <c r="MU423" s="6"/>
      <c r="MV423" s="6"/>
      <c r="MW423" s="6"/>
      <c r="MX423" s="6"/>
      <c r="MY423" s="6"/>
      <c r="MZ423" s="6"/>
      <c r="NA423" s="6"/>
      <c r="NB423" s="6"/>
      <c r="NC423" s="6"/>
      <c r="ND423" s="6"/>
      <c r="NE423" s="6"/>
      <c r="NF423" s="6"/>
      <c r="NG423" s="6"/>
      <c r="NH423" s="6"/>
      <c r="NI423" s="6"/>
      <c r="NJ423" s="6"/>
      <c r="NK423" s="6"/>
      <c r="NL423" s="6"/>
      <c r="NM423" s="6"/>
      <c r="NN423" s="6"/>
      <c r="NO423" s="6"/>
      <c r="NP423" s="6"/>
      <c r="NQ423" s="6"/>
      <c r="NR423" s="6"/>
      <c r="NS423" s="6"/>
      <c r="NT423" s="6"/>
      <c r="NU423" s="6"/>
      <c r="NV423" s="6"/>
    </row>
    <row r="424" spans="1:386" s="19" customFormat="1" ht="20.100000000000001" customHeight="1" x14ac:dyDescent="0.35">
      <c r="A424" s="1"/>
      <c r="B424" s="2"/>
      <c r="C424" s="3"/>
      <c r="D424" s="2"/>
      <c r="E424" s="2"/>
      <c r="F424" s="4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9"/>
      <c r="FL424" s="9"/>
      <c r="FM424" s="9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135"/>
      <c r="IK424" s="135"/>
      <c r="IL424" s="135"/>
      <c r="IN424" s="6"/>
      <c r="IO424" s="6"/>
      <c r="IP424" s="6"/>
      <c r="IQ424" s="6"/>
      <c r="IR424" s="6"/>
      <c r="IS424" s="6"/>
      <c r="IT424" s="6"/>
      <c r="IU424" s="6"/>
      <c r="IV424" s="6"/>
      <c r="IW424" s="6"/>
      <c r="IX424" s="6"/>
      <c r="IY424" s="6"/>
      <c r="IZ424" s="6"/>
      <c r="JA424" s="6"/>
      <c r="JB424" s="6"/>
      <c r="JC424" s="6"/>
      <c r="JD424" s="6"/>
      <c r="JE424" s="6"/>
      <c r="JF424" s="6"/>
      <c r="JG424" s="6"/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6"/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6"/>
      <c r="LB424" s="6"/>
      <c r="LC424" s="6"/>
      <c r="LD424" s="6"/>
      <c r="LE424" s="6"/>
      <c r="LF424" s="6"/>
      <c r="LG424" s="6"/>
      <c r="LH424" s="6"/>
      <c r="LI424" s="6"/>
      <c r="LJ424" s="6"/>
      <c r="LK424" s="6"/>
      <c r="LL424" s="6"/>
      <c r="LM424" s="6"/>
      <c r="LN424" s="6"/>
      <c r="LO424" s="6"/>
      <c r="LP424" s="6"/>
      <c r="LQ424" s="6"/>
      <c r="LR424" s="6"/>
      <c r="LS424" s="6"/>
      <c r="LT424" s="6"/>
      <c r="LU424" s="6"/>
      <c r="LV424" s="6"/>
      <c r="LW424" s="6"/>
      <c r="LX424" s="6"/>
      <c r="LY424" s="6"/>
      <c r="LZ424" s="6"/>
      <c r="MA424" s="6"/>
      <c r="MB424" s="6"/>
      <c r="MC424" s="6"/>
      <c r="MD424" s="6"/>
      <c r="ME424" s="6"/>
      <c r="MF424" s="6"/>
      <c r="MG424" s="6"/>
      <c r="MH424" s="6"/>
      <c r="MI424" s="6"/>
      <c r="MJ424" s="6"/>
      <c r="MK424" s="6"/>
      <c r="ML424" s="6"/>
      <c r="MM424" s="6"/>
      <c r="MN424" s="6"/>
      <c r="MO424" s="6"/>
      <c r="MP424" s="6"/>
      <c r="MQ424" s="6"/>
      <c r="MR424" s="6"/>
      <c r="MS424" s="6"/>
      <c r="MT424" s="6"/>
      <c r="MU424" s="6"/>
      <c r="MV424" s="6"/>
      <c r="MW424" s="6"/>
      <c r="MX424" s="6"/>
      <c r="MY424" s="6"/>
      <c r="MZ424" s="6"/>
      <c r="NA424" s="6"/>
      <c r="NB424" s="6"/>
      <c r="NC424" s="6"/>
      <c r="ND424" s="6"/>
      <c r="NE424" s="6"/>
      <c r="NF424" s="6"/>
      <c r="NG424" s="6"/>
      <c r="NH424" s="6"/>
      <c r="NI424" s="6"/>
      <c r="NJ424" s="6"/>
      <c r="NK424" s="6"/>
      <c r="NL424" s="6"/>
      <c r="NM424" s="6"/>
      <c r="NN424" s="6"/>
      <c r="NO424" s="6"/>
      <c r="NP424" s="6"/>
      <c r="NQ424" s="6"/>
      <c r="NR424" s="6"/>
      <c r="NS424" s="6"/>
      <c r="NT424" s="6"/>
      <c r="NU424" s="6"/>
      <c r="NV424" s="6"/>
    </row>
    <row r="425" spans="1:386" s="19" customFormat="1" ht="20.100000000000001" customHeight="1" x14ac:dyDescent="0.35">
      <c r="A425" s="1"/>
      <c r="B425" s="2"/>
      <c r="C425" s="3"/>
      <c r="D425" s="2"/>
      <c r="E425" s="2"/>
      <c r="F425" s="4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9"/>
      <c r="FL425" s="9"/>
      <c r="FM425" s="9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135"/>
      <c r="IK425" s="135"/>
      <c r="IL425" s="135"/>
      <c r="IN425" s="6"/>
      <c r="IO425" s="6"/>
      <c r="IP425" s="6"/>
      <c r="IQ425" s="6"/>
      <c r="IR425" s="6"/>
      <c r="IS425" s="6"/>
      <c r="IT425" s="6"/>
      <c r="IU425" s="6"/>
      <c r="IV425" s="6"/>
      <c r="IW425" s="6"/>
      <c r="IX425" s="6"/>
      <c r="IY425" s="6"/>
      <c r="IZ425" s="6"/>
      <c r="JA425" s="6"/>
      <c r="JB425" s="6"/>
      <c r="JC425" s="6"/>
      <c r="JD425" s="6"/>
      <c r="JE425" s="6"/>
      <c r="JF425" s="6"/>
      <c r="JG425" s="6"/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6"/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6"/>
      <c r="KZ425" s="6"/>
      <c r="LA425" s="6"/>
      <c r="LB425" s="6"/>
      <c r="LC425" s="6"/>
      <c r="LD425" s="6"/>
      <c r="LE425" s="6"/>
      <c r="LF425" s="6"/>
      <c r="LG425" s="6"/>
      <c r="LH425" s="6"/>
      <c r="LI425" s="6"/>
      <c r="LJ425" s="6"/>
      <c r="LK425" s="6"/>
      <c r="LL425" s="6"/>
      <c r="LM425" s="6"/>
      <c r="LN425" s="6"/>
      <c r="LO425" s="6"/>
      <c r="LP425" s="6"/>
      <c r="LQ425" s="6"/>
      <c r="LR425" s="6"/>
      <c r="LS425" s="6"/>
      <c r="LT425" s="6"/>
      <c r="LU425" s="6"/>
      <c r="LV425" s="6"/>
      <c r="LW425" s="6"/>
      <c r="LX425" s="6"/>
      <c r="LY425" s="6"/>
      <c r="LZ425" s="6"/>
      <c r="MA425" s="6"/>
      <c r="MB425" s="6"/>
      <c r="MC425" s="6"/>
      <c r="MD425" s="6"/>
      <c r="ME425" s="6"/>
      <c r="MF425" s="6"/>
      <c r="MG425" s="6"/>
      <c r="MH425" s="6"/>
      <c r="MI425" s="6"/>
      <c r="MJ425" s="6"/>
      <c r="MK425" s="6"/>
      <c r="ML425" s="6"/>
      <c r="MM425" s="6"/>
      <c r="MN425" s="6"/>
      <c r="MO425" s="6"/>
      <c r="MP425" s="6"/>
      <c r="MQ425" s="6"/>
      <c r="MR425" s="6"/>
      <c r="MS425" s="6"/>
      <c r="MT425" s="6"/>
      <c r="MU425" s="6"/>
      <c r="MV425" s="6"/>
      <c r="MW425" s="6"/>
      <c r="MX425" s="6"/>
      <c r="MY425" s="6"/>
      <c r="MZ425" s="6"/>
      <c r="NA425" s="6"/>
      <c r="NB425" s="6"/>
      <c r="NC425" s="6"/>
      <c r="ND425" s="6"/>
      <c r="NE425" s="6"/>
      <c r="NF425" s="6"/>
      <c r="NG425" s="6"/>
      <c r="NH425" s="6"/>
      <c r="NI425" s="6"/>
      <c r="NJ425" s="6"/>
      <c r="NK425" s="6"/>
      <c r="NL425" s="6"/>
      <c r="NM425" s="6"/>
      <c r="NN425" s="6"/>
      <c r="NO425" s="6"/>
      <c r="NP425" s="6"/>
      <c r="NQ425" s="6"/>
      <c r="NR425" s="6"/>
      <c r="NS425" s="6"/>
      <c r="NT425" s="6"/>
      <c r="NU425" s="6"/>
      <c r="NV425" s="6"/>
    </row>
    <row r="426" spans="1:386" s="19" customFormat="1" ht="20.100000000000001" customHeight="1" x14ac:dyDescent="0.35">
      <c r="A426" s="1"/>
      <c r="B426" s="2"/>
      <c r="C426" s="3"/>
      <c r="D426" s="2"/>
      <c r="E426" s="2"/>
      <c r="F426" s="4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9"/>
      <c r="FL426" s="9"/>
      <c r="FM426" s="9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135"/>
      <c r="IK426" s="135"/>
      <c r="IL426" s="135"/>
      <c r="IN426" s="6"/>
      <c r="IO426" s="6"/>
      <c r="IP426" s="6"/>
      <c r="IQ426" s="6"/>
      <c r="IR426" s="6"/>
      <c r="IS426" s="6"/>
      <c r="IT426" s="6"/>
      <c r="IU426" s="6"/>
      <c r="IV426" s="6"/>
      <c r="IW426" s="6"/>
      <c r="IX426" s="6"/>
      <c r="IY426" s="6"/>
      <c r="IZ426" s="6"/>
      <c r="JA426" s="6"/>
      <c r="JB426" s="6"/>
      <c r="JC426" s="6"/>
      <c r="JD426" s="6"/>
      <c r="JE426" s="6"/>
      <c r="JF426" s="6"/>
      <c r="JG426" s="6"/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6"/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6"/>
      <c r="KZ426" s="6"/>
      <c r="LA426" s="6"/>
      <c r="LB426" s="6"/>
      <c r="LC426" s="6"/>
      <c r="LD426" s="6"/>
      <c r="LE426" s="6"/>
      <c r="LF426" s="6"/>
      <c r="LG426" s="6"/>
      <c r="LH426" s="6"/>
      <c r="LI426" s="6"/>
      <c r="LJ426" s="6"/>
      <c r="LK426" s="6"/>
      <c r="LL426" s="6"/>
      <c r="LM426" s="6"/>
      <c r="LN426" s="6"/>
      <c r="LO426" s="6"/>
      <c r="LP426" s="6"/>
      <c r="LQ426" s="6"/>
      <c r="LR426" s="6"/>
      <c r="LS426" s="6"/>
      <c r="LT426" s="6"/>
      <c r="LU426" s="6"/>
      <c r="LV426" s="6"/>
      <c r="LW426" s="6"/>
      <c r="LX426" s="6"/>
      <c r="LY426" s="6"/>
      <c r="LZ426" s="6"/>
      <c r="MA426" s="6"/>
      <c r="MB426" s="6"/>
      <c r="MC426" s="6"/>
      <c r="MD426" s="6"/>
      <c r="ME426" s="6"/>
      <c r="MF426" s="6"/>
      <c r="MG426" s="6"/>
      <c r="MH426" s="6"/>
      <c r="MI426" s="6"/>
      <c r="MJ426" s="6"/>
      <c r="MK426" s="6"/>
      <c r="ML426" s="6"/>
      <c r="MM426" s="6"/>
      <c r="MN426" s="6"/>
      <c r="MO426" s="6"/>
      <c r="MP426" s="6"/>
      <c r="MQ426" s="6"/>
      <c r="MR426" s="6"/>
      <c r="MS426" s="6"/>
      <c r="MT426" s="6"/>
      <c r="MU426" s="6"/>
      <c r="MV426" s="6"/>
      <c r="MW426" s="6"/>
      <c r="MX426" s="6"/>
      <c r="MY426" s="6"/>
      <c r="MZ426" s="6"/>
      <c r="NA426" s="6"/>
      <c r="NB426" s="6"/>
      <c r="NC426" s="6"/>
      <c r="ND426" s="6"/>
      <c r="NE426" s="6"/>
      <c r="NF426" s="6"/>
      <c r="NG426" s="6"/>
      <c r="NH426" s="6"/>
      <c r="NI426" s="6"/>
      <c r="NJ426" s="6"/>
      <c r="NK426" s="6"/>
      <c r="NL426" s="6"/>
      <c r="NM426" s="6"/>
      <c r="NN426" s="6"/>
      <c r="NO426" s="6"/>
      <c r="NP426" s="6"/>
      <c r="NQ426" s="6"/>
      <c r="NR426" s="6"/>
      <c r="NS426" s="6"/>
      <c r="NT426" s="6"/>
      <c r="NU426" s="6"/>
      <c r="NV426" s="6"/>
    </row>
    <row r="427" spans="1:386" s="19" customFormat="1" ht="20.100000000000001" customHeight="1" x14ac:dyDescent="0.35">
      <c r="A427" s="1"/>
      <c r="B427" s="2"/>
      <c r="C427" s="3"/>
      <c r="D427" s="2"/>
      <c r="E427" s="2"/>
      <c r="F427" s="4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9"/>
      <c r="FL427" s="9"/>
      <c r="FM427" s="9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135"/>
      <c r="IK427" s="135"/>
      <c r="IL427" s="135"/>
      <c r="IN427" s="6"/>
      <c r="IO427" s="6"/>
      <c r="IP427" s="6"/>
      <c r="IQ427" s="6"/>
      <c r="IR427" s="6"/>
      <c r="IS427" s="6"/>
      <c r="IT427" s="6"/>
      <c r="IU427" s="6"/>
      <c r="IV427" s="6"/>
      <c r="IW427" s="6"/>
      <c r="IX427" s="6"/>
      <c r="IY427" s="6"/>
      <c r="IZ427" s="6"/>
      <c r="JA427" s="6"/>
      <c r="JB427" s="6"/>
      <c r="JC427" s="6"/>
      <c r="JD427" s="6"/>
      <c r="JE427" s="6"/>
      <c r="JF427" s="6"/>
      <c r="JG427" s="6"/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6"/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6"/>
      <c r="KZ427" s="6"/>
      <c r="LA427" s="6"/>
      <c r="LB427" s="6"/>
      <c r="LC427" s="6"/>
      <c r="LD427" s="6"/>
      <c r="LE427" s="6"/>
      <c r="LF427" s="6"/>
      <c r="LG427" s="6"/>
      <c r="LH427" s="6"/>
      <c r="LI427" s="6"/>
      <c r="LJ427" s="6"/>
      <c r="LK427" s="6"/>
      <c r="LL427" s="6"/>
      <c r="LM427" s="6"/>
      <c r="LN427" s="6"/>
      <c r="LO427" s="6"/>
      <c r="LP427" s="6"/>
      <c r="LQ427" s="6"/>
      <c r="LR427" s="6"/>
      <c r="LS427" s="6"/>
      <c r="LT427" s="6"/>
      <c r="LU427" s="6"/>
      <c r="LV427" s="6"/>
      <c r="LW427" s="6"/>
      <c r="LX427" s="6"/>
      <c r="LY427" s="6"/>
      <c r="LZ427" s="6"/>
      <c r="MA427" s="6"/>
      <c r="MB427" s="6"/>
      <c r="MC427" s="6"/>
      <c r="MD427" s="6"/>
      <c r="ME427" s="6"/>
      <c r="MF427" s="6"/>
      <c r="MG427" s="6"/>
      <c r="MH427" s="6"/>
      <c r="MI427" s="6"/>
      <c r="MJ427" s="6"/>
      <c r="MK427" s="6"/>
      <c r="ML427" s="6"/>
      <c r="MM427" s="6"/>
      <c r="MN427" s="6"/>
      <c r="MO427" s="6"/>
      <c r="MP427" s="6"/>
      <c r="MQ427" s="6"/>
      <c r="MR427" s="6"/>
      <c r="MS427" s="6"/>
      <c r="MT427" s="6"/>
      <c r="MU427" s="6"/>
      <c r="MV427" s="6"/>
      <c r="MW427" s="6"/>
      <c r="MX427" s="6"/>
      <c r="MY427" s="6"/>
      <c r="MZ427" s="6"/>
      <c r="NA427" s="6"/>
      <c r="NB427" s="6"/>
      <c r="NC427" s="6"/>
      <c r="ND427" s="6"/>
      <c r="NE427" s="6"/>
      <c r="NF427" s="6"/>
      <c r="NG427" s="6"/>
      <c r="NH427" s="6"/>
      <c r="NI427" s="6"/>
      <c r="NJ427" s="6"/>
      <c r="NK427" s="6"/>
      <c r="NL427" s="6"/>
      <c r="NM427" s="6"/>
      <c r="NN427" s="6"/>
      <c r="NO427" s="6"/>
      <c r="NP427" s="6"/>
      <c r="NQ427" s="6"/>
      <c r="NR427" s="6"/>
      <c r="NS427" s="6"/>
      <c r="NT427" s="6"/>
      <c r="NU427" s="6"/>
      <c r="NV427" s="6"/>
    </row>
    <row r="428" spans="1:386" s="19" customFormat="1" ht="20.100000000000001" customHeight="1" x14ac:dyDescent="0.35">
      <c r="A428" s="1"/>
      <c r="B428" s="2"/>
      <c r="C428" s="3"/>
      <c r="D428" s="2"/>
      <c r="E428" s="2"/>
      <c r="F428" s="4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9"/>
      <c r="FL428" s="9"/>
      <c r="FM428" s="9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135"/>
      <c r="IK428" s="135"/>
      <c r="IL428" s="135"/>
      <c r="IN428" s="6"/>
      <c r="IO428" s="6"/>
      <c r="IP428" s="6"/>
      <c r="IQ428" s="6"/>
      <c r="IR428" s="6"/>
      <c r="IS428" s="6"/>
      <c r="IT428" s="6"/>
      <c r="IU428" s="6"/>
      <c r="IV428" s="6"/>
      <c r="IW428" s="6"/>
      <c r="IX428" s="6"/>
      <c r="IY428" s="6"/>
      <c r="IZ428" s="6"/>
      <c r="JA428" s="6"/>
      <c r="JB428" s="6"/>
      <c r="JC428" s="6"/>
      <c r="JD428" s="6"/>
      <c r="JE428" s="6"/>
      <c r="JF428" s="6"/>
      <c r="JG428" s="6"/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6"/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6"/>
      <c r="KZ428" s="6"/>
      <c r="LA428" s="6"/>
      <c r="LB428" s="6"/>
      <c r="LC428" s="6"/>
      <c r="LD428" s="6"/>
      <c r="LE428" s="6"/>
      <c r="LF428" s="6"/>
      <c r="LG428" s="6"/>
      <c r="LH428" s="6"/>
      <c r="LI428" s="6"/>
      <c r="LJ428" s="6"/>
      <c r="LK428" s="6"/>
      <c r="LL428" s="6"/>
      <c r="LM428" s="6"/>
      <c r="LN428" s="6"/>
      <c r="LO428" s="6"/>
      <c r="LP428" s="6"/>
      <c r="LQ428" s="6"/>
      <c r="LR428" s="6"/>
      <c r="LS428" s="6"/>
      <c r="LT428" s="6"/>
      <c r="LU428" s="6"/>
      <c r="LV428" s="6"/>
      <c r="LW428" s="6"/>
      <c r="LX428" s="6"/>
      <c r="LY428" s="6"/>
      <c r="LZ428" s="6"/>
      <c r="MA428" s="6"/>
      <c r="MB428" s="6"/>
      <c r="MC428" s="6"/>
      <c r="MD428" s="6"/>
      <c r="ME428" s="6"/>
      <c r="MF428" s="6"/>
      <c r="MG428" s="6"/>
      <c r="MH428" s="6"/>
      <c r="MI428" s="6"/>
      <c r="MJ428" s="6"/>
      <c r="MK428" s="6"/>
      <c r="ML428" s="6"/>
      <c r="MM428" s="6"/>
      <c r="MN428" s="6"/>
      <c r="MO428" s="6"/>
      <c r="MP428" s="6"/>
      <c r="MQ428" s="6"/>
      <c r="MR428" s="6"/>
      <c r="MS428" s="6"/>
      <c r="MT428" s="6"/>
      <c r="MU428" s="6"/>
      <c r="MV428" s="6"/>
      <c r="MW428" s="6"/>
      <c r="MX428" s="6"/>
      <c r="MY428" s="6"/>
      <c r="MZ428" s="6"/>
      <c r="NA428" s="6"/>
      <c r="NB428" s="6"/>
      <c r="NC428" s="6"/>
      <c r="ND428" s="6"/>
      <c r="NE428" s="6"/>
      <c r="NF428" s="6"/>
      <c r="NG428" s="6"/>
      <c r="NH428" s="6"/>
      <c r="NI428" s="6"/>
      <c r="NJ428" s="6"/>
      <c r="NK428" s="6"/>
      <c r="NL428" s="6"/>
      <c r="NM428" s="6"/>
      <c r="NN428" s="6"/>
      <c r="NO428" s="6"/>
      <c r="NP428" s="6"/>
      <c r="NQ428" s="6"/>
      <c r="NR428" s="6"/>
      <c r="NS428" s="6"/>
      <c r="NT428" s="6"/>
      <c r="NU428" s="6"/>
      <c r="NV428" s="6"/>
    </row>
    <row r="429" spans="1:386" s="19" customFormat="1" ht="20.100000000000001" customHeight="1" x14ac:dyDescent="0.35">
      <c r="A429" s="1"/>
      <c r="B429" s="2"/>
      <c r="C429" s="3"/>
      <c r="D429" s="2"/>
      <c r="E429" s="2"/>
      <c r="F429" s="4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9"/>
      <c r="FL429" s="9"/>
      <c r="FM429" s="9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135"/>
      <c r="IK429" s="135"/>
      <c r="IL429" s="135"/>
      <c r="IN429" s="6"/>
      <c r="IO429" s="6"/>
      <c r="IP429" s="6"/>
      <c r="IQ429" s="6"/>
      <c r="IR429" s="6"/>
      <c r="IS429" s="6"/>
      <c r="IT429" s="6"/>
      <c r="IU429" s="6"/>
      <c r="IV429" s="6"/>
      <c r="IW429" s="6"/>
      <c r="IX429" s="6"/>
      <c r="IY429" s="6"/>
      <c r="IZ429" s="6"/>
      <c r="JA429" s="6"/>
      <c r="JB429" s="6"/>
      <c r="JC429" s="6"/>
      <c r="JD429" s="6"/>
      <c r="JE429" s="6"/>
      <c r="JF429" s="6"/>
      <c r="JG429" s="6"/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6"/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6"/>
      <c r="KZ429" s="6"/>
      <c r="LA429" s="6"/>
      <c r="LB429" s="6"/>
      <c r="LC429" s="6"/>
      <c r="LD429" s="6"/>
      <c r="LE429" s="6"/>
      <c r="LF429" s="6"/>
      <c r="LG429" s="6"/>
      <c r="LH429" s="6"/>
      <c r="LI429" s="6"/>
      <c r="LJ429" s="6"/>
      <c r="LK429" s="6"/>
      <c r="LL429" s="6"/>
      <c r="LM429" s="6"/>
      <c r="LN429" s="6"/>
      <c r="LO429" s="6"/>
      <c r="LP429" s="6"/>
      <c r="LQ429" s="6"/>
      <c r="LR429" s="6"/>
      <c r="LS429" s="6"/>
      <c r="LT429" s="6"/>
      <c r="LU429" s="6"/>
      <c r="LV429" s="6"/>
      <c r="LW429" s="6"/>
      <c r="LX429" s="6"/>
      <c r="LY429" s="6"/>
      <c r="LZ429" s="6"/>
      <c r="MA429" s="6"/>
      <c r="MB429" s="6"/>
      <c r="MC429" s="6"/>
      <c r="MD429" s="6"/>
      <c r="ME429" s="6"/>
      <c r="MF429" s="6"/>
      <c r="MG429" s="6"/>
      <c r="MH429" s="6"/>
      <c r="MI429" s="6"/>
      <c r="MJ429" s="6"/>
      <c r="MK429" s="6"/>
      <c r="ML429" s="6"/>
      <c r="MM429" s="6"/>
      <c r="MN429" s="6"/>
      <c r="MO429" s="6"/>
      <c r="MP429" s="6"/>
      <c r="MQ429" s="6"/>
      <c r="MR429" s="6"/>
      <c r="MS429" s="6"/>
      <c r="MT429" s="6"/>
      <c r="MU429" s="6"/>
      <c r="MV429" s="6"/>
      <c r="MW429" s="6"/>
      <c r="MX429" s="6"/>
      <c r="MY429" s="6"/>
      <c r="MZ429" s="6"/>
      <c r="NA429" s="6"/>
      <c r="NB429" s="6"/>
      <c r="NC429" s="6"/>
      <c r="ND429" s="6"/>
      <c r="NE429" s="6"/>
      <c r="NF429" s="6"/>
      <c r="NG429" s="6"/>
      <c r="NH429" s="6"/>
      <c r="NI429" s="6"/>
      <c r="NJ429" s="6"/>
      <c r="NK429" s="6"/>
      <c r="NL429" s="6"/>
      <c r="NM429" s="6"/>
      <c r="NN429" s="6"/>
      <c r="NO429" s="6"/>
      <c r="NP429" s="6"/>
      <c r="NQ429" s="6"/>
      <c r="NR429" s="6"/>
      <c r="NS429" s="6"/>
      <c r="NT429" s="6"/>
      <c r="NU429" s="6"/>
      <c r="NV429" s="6"/>
    </row>
    <row r="430" spans="1:386" s="19" customFormat="1" ht="20.100000000000001" customHeight="1" x14ac:dyDescent="0.35">
      <c r="A430" s="1"/>
      <c r="B430" s="2"/>
      <c r="C430" s="3"/>
      <c r="D430" s="2"/>
      <c r="E430" s="2"/>
      <c r="F430" s="4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9"/>
      <c r="FL430" s="9"/>
      <c r="FM430" s="9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135"/>
      <c r="IK430" s="135"/>
      <c r="IL430" s="135"/>
      <c r="IN430" s="6"/>
      <c r="IO430" s="6"/>
      <c r="IP430" s="6"/>
      <c r="IQ430" s="6"/>
      <c r="IR430" s="6"/>
      <c r="IS430" s="6"/>
      <c r="IT430" s="6"/>
      <c r="IU430" s="6"/>
      <c r="IV430" s="6"/>
      <c r="IW430" s="6"/>
      <c r="IX430" s="6"/>
      <c r="IY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6"/>
      <c r="KZ430" s="6"/>
      <c r="LA430" s="6"/>
      <c r="LB430" s="6"/>
      <c r="LC430" s="6"/>
      <c r="LD430" s="6"/>
      <c r="LE430" s="6"/>
      <c r="LF430" s="6"/>
      <c r="LG430" s="6"/>
      <c r="LH430" s="6"/>
      <c r="LI430" s="6"/>
      <c r="LJ430" s="6"/>
      <c r="LK430" s="6"/>
      <c r="LL430" s="6"/>
      <c r="LM430" s="6"/>
      <c r="LN430" s="6"/>
      <c r="LO430" s="6"/>
      <c r="LP430" s="6"/>
      <c r="LQ430" s="6"/>
      <c r="LR430" s="6"/>
      <c r="LS430" s="6"/>
      <c r="LT430" s="6"/>
      <c r="LU430" s="6"/>
      <c r="LV430" s="6"/>
      <c r="LW430" s="6"/>
      <c r="LX430" s="6"/>
      <c r="LY430" s="6"/>
      <c r="LZ430" s="6"/>
      <c r="MA430" s="6"/>
      <c r="MB430" s="6"/>
      <c r="MC430" s="6"/>
      <c r="MD430" s="6"/>
      <c r="ME430" s="6"/>
      <c r="MF430" s="6"/>
      <c r="MG430" s="6"/>
      <c r="MH430" s="6"/>
      <c r="MI430" s="6"/>
      <c r="MJ430" s="6"/>
      <c r="MK430" s="6"/>
      <c r="ML430" s="6"/>
      <c r="MM430" s="6"/>
      <c r="MN430" s="6"/>
      <c r="MO430" s="6"/>
      <c r="MP430" s="6"/>
      <c r="MQ430" s="6"/>
      <c r="MR430" s="6"/>
      <c r="MS430" s="6"/>
      <c r="MT430" s="6"/>
      <c r="MU430" s="6"/>
      <c r="MV430" s="6"/>
      <c r="MW430" s="6"/>
      <c r="MX430" s="6"/>
      <c r="MY430" s="6"/>
      <c r="MZ430" s="6"/>
      <c r="NA430" s="6"/>
      <c r="NB430" s="6"/>
      <c r="NC430" s="6"/>
      <c r="ND430" s="6"/>
      <c r="NE430" s="6"/>
      <c r="NF430" s="6"/>
      <c r="NG430" s="6"/>
      <c r="NH430" s="6"/>
      <c r="NI430" s="6"/>
      <c r="NJ430" s="6"/>
      <c r="NK430" s="6"/>
      <c r="NL430" s="6"/>
      <c r="NM430" s="6"/>
      <c r="NN430" s="6"/>
      <c r="NO430" s="6"/>
      <c r="NP430" s="6"/>
      <c r="NQ430" s="6"/>
      <c r="NR430" s="6"/>
      <c r="NS430" s="6"/>
      <c r="NT430" s="6"/>
      <c r="NU430" s="6"/>
      <c r="NV430" s="6"/>
    </row>
    <row r="431" spans="1:386" s="19" customFormat="1" ht="20.100000000000001" customHeight="1" x14ac:dyDescent="0.35">
      <c r="A431" s="1"/>
      <c r="B431" s="2"/>
      <c r="C431" s="3"/>
      <c r="D431" s="2"/>
      <c r="E431" s="2"/>
      <c r="F431" s="4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9"/>
      <c r="FL431" s="9"/>
      <c r="FM431" s="9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135"/>
      <c r="IK431" s="135"/>
      <c r="IL431" s="135"/>
      <c r="IN431" s="6"/>
      <c r="IO431" s="6"/>
      <c r="IP431" s="6"/>
      <c r="IQ431" s="6"/>
      <c r="IR431" s="6"/>
      <c r="IS431" s="6"/>
      <c r="IT431" s="6"/>
      <c r="IU431" s="6"/>
      <c r="IV431" s="6"/>
      <c r="IW431" s="6"/>
      <c r="IX431" s="6"/>
      <c r="IY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6"/>
      <c r="KZ431" s="6"/>
      <c r="LA431" s="6"/>
      <c r="LB431" s="6"/>
      <c r="LC431" s="6"/>
      <c r="LD431" s="6"/>
      <c r="LE431" s="6"/>
      <c r="LF431" s="6"/>
      <c r="LG431" s="6"/>
      <c r="LH431" s="6"/>
      <c r="LI431" s="6"/>
      <c r="LJ431" s="6"/>
      <c r="LK431" s="6"/>
      <c r="LL431" s="6"/>
      <c r="LM431" s="6"/>
      <c r="LN431" s="6"/>
      <c r="LO431" s="6"/>
      <c r="LP431" s="6"/>
      <c r="LQ431" s="6"/>
      <c r="LR431" s="6"/>
      <c r="LS431" s="6"/>
      <c r="LT431" s="6"/>
      <c r="LU431" s="6"/>
      <c r="LV431" s="6"/>
      <c r="LW431" s="6"/>
      <c r="LX431" s="6"/>
      <c r="LY431" s="6"/>
      <c r="LZ431" s="6"/>
      <c r="MA431" s="6"/>
      <c r="MB431" s="6"/>
      <c r="MC431" s="6"/>
      <c r="MD431" s="6"/>
      <c r="ME431" s="6"/>
      <c r="MF431" s="6"/>
      <c r="MG431" s="6"/>
      <c r="MH431" s="6"/>
      <c r="MI431" s="6"/>
      <c r="MJ431" s="6"/>
      <c r="MK431" s="6"/>
      <c r="ML431" s="6"/>
      <c r="MM431" s="6"/>
      <c r="MN431" s="6"/>
      <c r="MO431" s="6"/>
      <c r="MP431" s="6"/>
      <c r="MQ431" s="6"/>
      <c r="MR431" s="6"/>
      <c r="MS431" s="6"/>
      <c r="MT431" s="6"/>
      <c r="MU431" s="6"/>
      <c r="MV431" s="6"/>
      <c r="MW431" s="6"/>
      <c r="MX431" s="6"/>
      <c r="MY431" s="6"/>
      <c r="MZ431" s="6"/>
      <c r="NA431" s="6"/>
      <c r="NB431" s="6"/>
      <c r="NC431" s="6"/>
      <c r="ND431" s="6"/>
      <c r="NE431" s="6"/>
      <c r="NF431" s="6"/>
      <c r="NG431" s="6"/>
      <c r="NH431" s="6"/>
      <c r="NI431" s="6"/>
      <c r="NJ431" s="6"/>
      <c r="NK431" s="6"/>
      <c r="NL431" s="6"/>
      <c r="NM431" s="6"/>
      <c r="NN431" s="6"/>
      <c r="NO431" s="6"/>
      <c r="NP431" s="6"/>
      <c r="NQ431" s="6"/>
      <c r="NR431" s="6"/>
      <c r="NS431" s="6"/>
      <c r="NT431" s="6"/>
      <c r="NU431" s="6"/>
      <c r="NV431" s="6"/>
    </row>
    <row r="432" spans="1:386" s="19" customFormat="1" ht="20.100000000000001" customHeight="1" x14ac:dyDescent="0.35">
      <c r="A432" s="1"/>
      <c r="B432" s="2"/>
      <c r="C432" s="3"/>
      <c r="D432" s="2"/>
      <c r="E432" s="2"/>
      <c r="F432" s="4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9"/>
      <c r="FL432" s="9"/>
      <c r="FM432" s="9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135"/>
      <c r="IK432" s="135"/>
      <c r="IL432" s="135"/>
      <c r="IN432" s="6"/>
      <c r="IO432" s="6"/>
      <c r="IP432" s="6"/>
      <c r="IQ432" s="6"/>
      <c r="IR432" s="6"/>
      <c r="IS432" s="6"/>
      <c r="IT432" s="6"/>
      <c r="IU432" s="6"/>
      <c r="IV432" s="6"/>
      <c r="IW432" s="6"/>
      <c r="IX432" s="6"/>
      <c r="IY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6"/>
      <c r="KZ432" s="6"/>
      <c r="LA432" s="6"/>
      <c r="LB432" s="6"/>
      <c r="LC432" s="6"/>
      <c r="LD432" s="6"/>
      <c r="LE432" s="6"/>
      <c r="LF432" s="6"/>
      <c r="LG432" s="6"/>
      <c r="LH432" s="6"/>
      <c r="LI432" s="6"/>
      <c r="LJ432" s="6"/>
      <c r="LK432" s="6"/>
      <c r="LL432" s="6"/>
      <c r="LM432" s="6"/>
      <c r="LN432" s="6"/>
      <c r="LO432" s="6"/>
      <c r="LP432" s="6"/>
      <c r="LQ432" s="6"/>
      <c r="LR432" s="6"/>
      <c r="LS432" s="6"/>
      <c r="LT432" s="6"/>
      <c r="LU432" s="6"/>
      <c r="LV432" s="6"/>
      <c r="LW432" s="6"/>
      <c r="LX432" s="6"/>
      <c r="LY432" s="6"/>
      <c r="LZ432" s="6"/>
      <c r="MA432" s="6"/>
      <c r="MB432" s="6"/>
      <c r="MC432" s="6"/>
      <c r="MD432" s="6"/>
      <c r="ME432" s="6"/>
      <c r="MF432" s="6"/>
      <c r="MG432" s="6"/>
      <c r="MH432" s="6"/>
      <c r="MI432" s="6"/>
      <c r="MJ432" s="6"/>
      <c r="MK432" s="6"/>
      <c r="ML432" s="6"/>
      <c r="MM432" s="6"/>
      <c r="MN432" s="6"/>
      <c r="MO432" s="6"/>
      <c r="MP432" s="6"/>
      <c r="MQ432" s="6"/>
      <c r="MR432" s="6"/>
      <c r="MS432" s="6"/>
      <c r="MT432" s="6"/>
      <c r="MU432" s="6"/>
      <c r="MV432" s="6"/>
      <c r="MW432" s="6"/>
      <c r="MX432" s="6"/>
      <c r="MY432" s="6"/>
      <c r="MZ432" s="6"/>
      <c r="NA432" s="6"/>
      <c r="NB432" s="6"/>
      <c r="NC432" s="6"/>
      <c r="ND432" s="6"/>
      <c r="NE432" s="6"/>
      <c r="NF432" s="6"/>
      <c r="NG432" s="6"/>
      <c r="NH432" s="6"/>
      <c r="NI432" s="6"/>
      <c r="NJ432" s="6"/>
      <c r="NK432" s="6"/>
      <c r="NL432" s="6"/>
      <c r="NM432" s="6"/>
      <c r="NN432" s="6"/>
      <c r="NO432" s="6"/>
      <c r="NP432" s="6"/>
      <c r="NQ432" s="6"/>
      <c r="NR432" s="6"/>
      <c r="NS432" s="6"/>
      <c r="NT432" s="6"/>
      <c r="NU432" s="6"/>
      <c r="NV432" s="6"/>
    </row>
    <row r="433" spans="1:386" s="19" customFormat="1" ht="20.100000000000001" customHeight="1" x14ac:dyDescent="0.35">
      <c r="A433" s="1"/>
      <c r="B433" s="2"/>
      <c r="C433" s="3"/>
      <c r="D433" s="2"/>
      <c r="E433" s="2"/>
      <c r="F433" s="4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9"/>
      <c r="FL433" s="9"/>
      <c r="FM433" s="9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135"/>
      <c r="IK433" s="135"/>
      <c r="IL433" s="135"/>
      <c r="IN433" s="6"/>
      <c r="IO433" s="6"/>
      <c r="IP433" s="6"/>
      <c r="IQ433" s="6"/>
      <c r="IR433" s="6"/>
      <c r="IS433" s="6"/>
      <c r="IT433" s="6"/>
      <c r="IU433" s="6"/>
      <c r="IV433" s="6"/>
      <c r="IW433" s="6"/>
      <c r="IX433" s="6"/>
      <c r="IY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6"/>
      <c r="KZ433" s="6"/>
      <c r="LA433" s="6"/>
      <c r="LB433" s="6"/>
      <c r="LC433" s="6"/>
      <c r="LD433" s="6"/>
      <c r="LE433" s="6"/>
      <c r="LF433" s="6"/>
      <c r="LG433" s="6"/>
      <c r="LH433" s="6"/>
      <c r="LI433" s="6"/>
      <c r="LJ433" s="6"/>
      <c r="LK433" s="6"/>
      <c r="LL433" s="6"/>
      <c r="LM433" s="6"/>
      <c r="LN433" s="6"/>
      <c r="LO433" s="6"/>
      <c r="LP433" s="6"/>
      <c r="LQ433" s="6"/>
      <c r="LR433" s="6"/>
      <c r="LS433" s="6"/>
      <c r="LT433" s="6"/>
      <c r="LU433" s="6"/>
      <c r="LV433" s="6"/>
      <c r="LW433" s="6"/>
      <c r="LX433" s="6"/>
      <c r="LY433" s="6"/>
      <c r="LZ433" s="6"/>
      <c r="MA433" s="6"/>
      <c r="MB433" s="6"/>
      <c r="MC433" s="6"/>
      <c r="MD433" s="6"/>
      <c r="ME433" s="6"/>
      <c r="MF433" s="6"/>
      <c r="MG433" s="6"/>
      <c r="MH433" s="6"/>
      <c r="MI433" s="6"/>
      <c r="MJ433" s="6"/>
      <c r="MK433" s="6"/>
      <c r="ML433" s="6"/>
      <c r="MM433" s="6"/>
      <c r="MN433" s="6"/>
      <c r="MO433" s="6"/>
      <c r="MP433" s="6"/>
      <c r="MQ433" s="6"/>
      <c r="MR433" s="6"/>
      <c r="MS433" s="6"/>
      <c r="MT433" s="6"/>
      <c r="MU433" s="6"/>
      <c r="MV433" s="6"/>
      <c r="MW433" s="6"/>
      <c r="MX433" s="6"/>
      <c r="MY433" s="6"/>
      <c r="MZ433" s="6"/>
      <c r="NA433" s="6"/>
      <c r="NB433" s="6"/>
      <c r="NC433" s="6"/>
      <c r="ND433" s="6"/>
      <c r="NE433" s="6"/>
      <c r="NF433" s="6"/>
      <c r="NG433" s="6"/>
      <c r="NH433" s="6"/>
      <c r="NI433" s="6"/>
      <c r="NJ433" s="6"/>
      <c r="NK433" s="6"/>
      <c r="NL433" s="6"/>
      <c r="NM433" s="6"/>
      <c r="NN433" s="6"/>
      <c r="NO433" s="6"/>
      <c r="NP433" s="6"/>
      <c r="NQ433" s="6"/>
      <c r="NR433" s="6"/>
      <c r="NS433" s="6"/>
      <c r="NT433" s="6"/>
      <c r="NU433" s="6"/>
      <c r="NV433" s="6"/>
    </row>
    <row r="434" spans="1:386" s="19" customFormat="1" ht="20.100000000000001" customHeight="1" x14ac:dyDescent="0.35">
      <c r="A434" s="1"/>
      <c r="B434" s="2"/>
      <c r="C434" s="3"/>
      <c r="D434" s="2"/>
      <c r="E434" s="2"/>
      <c r="F434" s="4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9"/>
      <c r="FL434" s="9"/>
      <c r="FM434" s="9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135"/>
      <c r="IK434" s="135"/>
      <c r="IL434" s="135"/>
      <c r="IN434" s="6"/>
      <c r="IO434" s="6"/>
      <c r="IP434" s="6"/>
      <c r="IQ434" s="6"/>
      <c r="IR434" s="6"/>
      <c r="IS434" s="6"/>
      <c r="IT434" s="6"/>
      <c r="IU434" s="6"/>
      <c r="IV434" s="6"/>
      <c r="IW434" s="6"/>
      <c r="IX434" s="6"/>
      <c r="IY434" s="6"/>
      <c r="IZ434" s="6"/>
      <c r="JA434" s="6"/>
      <c r="JB434" s="6"/>
      <c r="JC434" s="6"/>
      <c r="JD434" s="6"/>
      <c r="JE434" s="6"/>
      <c r="JF434" s="6"/>
      <c r="JG434" s="6"/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6"/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6"/>
      <c r="KZ434" s="6"/>
      <c r="LA434" s="6"/>
      <c r="LB434" s="6"/>
      <c r="LC434" s="6"/>
      <c r="LD434" s="6"/>
      <c r="LE434" s="6"/>
      <c r="LF434" s="6"/>
      <c r="LG434" s="6"/>
      <c r="LH434" s="6"/>
      <c r="LI434" s="6"/>
      <c r="LJ434" s="6"/>
      <c r="LK434" s="6"/>
      <c r="LL434" s="6"/>
      <c r="LM434" s="6"/>
      <c r="LN434" s="6"/>
      <c r="LO434" s="6"/>
      <c r="LP434" s="6"/>
      <c r="LQ434" s="6"/>
      <c r="LR434" s="6"/>
      <c r="LS434" s="6"/>
      <c r="LT434" s="6"/>
      <c r="LU434" s="6"/>
      <c r="LV434" s="6"/>
      <c r="LW434" s="6"/>
      <c r="LX434" s="6"/>
      <c r="LY434" s="6"/>
      <c r="LZ434" s="6"/>
      <c r="MA434" s="6"/>
      <c r="MB434" s="6"/>
      <c r="MC434" s="6"/>
      <c r="MD434" s="6"/>
      <c r="ME434" s="6"/>
      <c r="MF434" s="6"/>
      <c r="MG434" s="6"/>
      <c r="MH434" s="6"/>
      <c r="MI434" s="6"/>
      <c r="MJ434" s="6"/>
      <c r="MK434" s="6"/>
      <c r="ML434" s="6"/>
      <c r="MM434" s="6"/>
      <c r="MN434" s="6"/>
      <c r="MO434" s="6"/>
      <c r="MP434" s="6"/>
      <c r="MQ434" s="6"/>
      <c r="MR434" s="6"/>
      <c r="MS434" s="6"/>
      <c r="MT434" s="6"/>
      <c r="MU434" s="6"/>
      <c r="MV434" s="6"/>
      <c r="MW434" s="6"/>
      <c r="MX434" s="6"/>
      <c r="MY434" s="6"/>
      <c r="MZ434" s="6"/>
      <c r="NA434" s="6"/>
      <c r="NB434" s="6"/>
      <c r="NC434" s="6"/>
      <c r="ND434" s="6"/>
      <c r="NE434" s="6"/>
      <c r="NF434" s="6"/>
      <c r="NG434" s="6"/>
      <c r="NH434" s="6"/>
      <c r="NI434" s="6"/>
      <c r="NJ434" s="6"/>
      <c r="NK434" s="6"/>
      <c r="NL434" s="6"/>
      <c r="NM434" s="6"/>
      <c r="NN434" s="6"/>
      <c r="NO434" s="6"/>
      <c r="NP434" s="6"/>
      <c r="NQ434" s="6"/>
      <c r="NR434" s="6"/>
      <c r="NS434" s="6"/>
      <c r="NT434" s="6"/>
      <c r="NU434" s="6"/>
      <c r="NV434" s="6"/>
    </row>
    <row r="435" spans="1:386" s="19" customFormat="1" ht="20.100000000000001" customHeight="1" x14ac:dyDescent="0.35">
      <c r="A435" s="1"/>
      <c r="B435" s="2"/>
      <c r="C435" s="3"/>
      <c r="D435" s="2"/>
      <c r="E435" s="2"/>
      <c r="F435" s="4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9"/>
      <c r="FL435" s="9"/>
      <c r="FM435" s="9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135"/>
      <c r="IK435" s="135"/>
      <c r="IL435" s="135"/>
      <c r="IN435" s="6"/>
      <c r="IO435" s="6"/>
      <c r="IP435" s="6"/>
      <c r="IQ435" s="6"/>
      <c r="IR435" s="6"/>
      <c r="IS435" s="6"/>
      <c r="IT435" s="6"/>
      <c r="IU435" s="6"/>
      <c r="IV435" s="6"/>
      <c r="IW435" s="6"/>
      <c r="IX435" s="6"/>
      <c r="IY435" s="6"/>
      <c r="IZ435" s="6"/>
      <c r="JA435" s="6"/>
      <c r="JB435" s="6"/>
      <c r="JC435" s="6"/>
      <c r="JD435" s="6"/>
      <c r="JE435" s="6"/>
      <c r="JF435" s="6"/>
      <c r="JG435" s="6"/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6"/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6"/>
      <c r="KZ435" s="6"/>
      <c r="LA435" s="6"/>
      <c r="LB435" s="6"/>
      <c r="LC435" s="6"/>
      <c r="LD435" s="6"/>
      <c r="LE435" s="6"/>
      <c r="LF435" s="6"/>
      <c r="LG435" s="6"/>
      <c r="LH435" s="6"/>
      <c r="LI435" s="6"/>
      <c r="LJ435" s="6"/>
      <c r="LK435" s="6"/>
      <c r="LL435" s="6"/>
      <c r="LM435" s="6"/>
      <c r="LN435" s="6"/>
      <c r="LO435" s="6"/>
      <c r="LP435" s="6"/>
      <c r="LQ435" s="6"/>
      <c r="LR435" s="6"/>
      <c r="LS435" s="6"/>
      <c r="LT435" s="6"/>
      <c r="LU435" s="6"/>
      <c r="LV435" s="6"/>
      <c r="LW435" s="6"/>
      <c r="LX435" s="6"/>
      <c r="LY435" s="6"/>
      <c r="LZ435" s="6"/>
      <c r="MA435" s="6"/>
      <c r="MB435" s="6"/>
      <c r="MC435" s="6"/>
      <c r="MD435" s="6"/>
      <c r="ME435" s="6"/>
      <c r="MF435" s="6"/>
      <c r="MG435" s="6"/>
      <c r="MH435" s="6"/>
      <c r="MI435" s="6"/>
      <c r="MJ435" s="6"/>
      <c r="MK435" s="6"/>
      <c r="ML435" s="6"/>
      <c r="MM435" s="6"/>
      <c r="MN435" s="6"/>
      <c r="MO435" s="6"/>
      <c r="MP435" s="6"/>
      <c r="MQ435" s="6"/>
      <c r="MR435" s="6"/>
      <c r="MS435" s="6"/>
      <c r="MT435" s="6"/>
      <c r="MU435" s="6"/>
      <c r="MV435" s="6"/>
      <c r="MW435" s="6"/>
      <c r="MX435" s="6"/>
      <c r="MY435" s="6"/>
      <c r="MZ435" s="6"/>
      <c r="NA435" s="6"/>
      <c r="NB435" s="6"/>
      <c r="NC435" s="6"/>
      <c r="ND435" s="6"/>
      <c r="NE435" s="6"/>
      <c r="NF435" s="6"/>
      <c r="NG435" s="6"/>
      <c r="NH435" s="6"/>
      <c r="NI435" s="6"/>
      <c r="NJ435" s="6"/>
      <c r="NK435" s="6"/>
      <c r="NL435" s="6"/>
      <c r="NM435" s="6"/>
      <c r="NN435" s="6"/>
      <c r="NO435" s="6"/>
      <c r="NP435" s="6"/>
      <c r="NQ435" s="6"/>
      <c r="NR435" s="6"/>
      <c r="NS435" s="6"/>
      <c r="NT435" s="6"/>
      <c r="NU435" s="6"/>
      <c r="NV435" s="6"/>
    </row>
    <row r="436" spans="1:386" s="19" customFormat="1" ht="20.100000000000001" customHeight="1" x14ac:dyDescent="0.35">
      <c r="A436" s="1"/>
      <c r="B436" s="2"/>
      <c r="C436" s="3"/>
      <c r="D436" s="2"/>
      <c r="E436" s="2"/>
      <c r="F436" s="4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9"/>
      <c r="FL436" s="9"/>
      <c r="FM436" s="9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135"/>
      <c r="IK436" s="135"/>
      <c r="IL436" s="135"/>
      <c r="IN436" s="6"/>
      <c r="IO436" s="6"/>
      <c r="IP436" s="6"/>
      <c r="IQ436" s="6"/>
      <c r="IR436" s="6"/>
      <c r="IS436" s="6"/>
      <c r="IT436" s="6"/>
      <c r="IU436" s="6"/>
      <c r="IV436" s="6"/>
      <c r="IW436" s="6"/>
      <c r="IX436" s="6"/>
      <c r="IY436" s="6"/>
      <c r="IZ436" s="6"/>
      <c r="JA436" s="6"/>
      <c r="JB436" s="6"/>
      <c r="JC436" s="6"/>
      <c r="JD436" s="6"/>
      <c r="JE436" s="6"/>
      <c r="JF436" s="6"/>
      <c r="JG436" s="6"/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6"/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6"/>
      <c r="KZ436" s="6"/>
      <c r="LA436" s="6"/>
      <c r="LB436" s="6"/>
      <c r="LC436" s="6"/>
      <c r="LD436" s="6"/>
      <c r="LE436" s="6"/>
      <c r="LF436" s="6"/>
      <c r="LG436" s="6"/>
      <c r="LH436" s="6"/>
      <c r="LI436" s="6"/>
      <c r="LJ436" s="6"/>
      <c r="LK436" s="6"/>
      <c r="LL436" s="6"/>
      <c r="LM436" s="6"/>
      <c r="LN436" s="6"/>
      <c r="LO436" s="6"/>
      <c r="LP436" s="6"/>
      <c r="LQ436" s="6"/>
      <c r="LR436" s="6"/>
      <c r="LS436" s="6"/>
      <c r="LT436" s="6"/>
      <c r="LU436" s="6"/>
      <c r="LV436" s="6"/>
      <c r="LW436" s="6"/>
      <c r="LX436" s="6"/>
      <c r="LY436" s="6"/>
      <c r="LZ436" s="6"/>
      <c r="MA436" s="6"/>
      <c r="MB436" s="6"/>
      <c r="MC436" s="6"/>
      <c r="MD436" s="6"/>
      <c r="ME436" s="6"/>
      <c r="MF436" s="6"/>
      <c r="MG436" s="6"/>
      <c r="MH436" s="6"/>
      <c r="MI436" s="6"/>
      <c r="MJ436" s="6"/>
      <c r="MK436" s="6"/>
      <c r="ML436" s="6"/>
      <c r="MM436" s="6"/>
      <c r="MN436" s="6"/>
      <c r="MO436" s="6"/>
      <c r="MP436" s="6"/>
      <c r="MQ436" s="6"/>
      <c r="MR436" s="6"/>
      <c r="MS436" s="6"/>
      <c r="MT436" s="6"/>
      <c r="MU436" s="6"/>
      <c r="MV436" s="6"/>
      <c r="MW436" s="6"/>
      <c r="MX436" s="6"/>
      <c r="MY436" s="6"/>
      <c r="MZ436" s="6"/>
      <c r="NA436" s="6"/>
      <c r="NB436" s="6"/>
      <c r="NC436" s="6"/>
      <c r="ND436" s="6"/>
      <c r="NE436" s="6"/>
      <c r="NF436" s="6"/>
      <c r="NG436" s="6"/>
      <c r="NH436" s="6"/>
      <c r="NI436" s="6"/>
      <c r="NJ436" s="6"/>
      <c r="NK436" s="6"/>
      <c r="NL436" s="6"/>
      <c r="NM436" s="6"/>
      <c r="NN436" s="6"/>
      <c r="NO436" s="6"/>
      <c r="NP436" s="6"/>
      <c r="NQ436" s="6"/>
      <c r="NR436" s="6"/>
      <c r="NS436" s="6"/>
      <c r="NT436" s="6"/>
      <c r="NU436" s="6"/>
      <c r="NV436" s="6"/>
    </row>
    <row r="437" spans="1:386" s="19" customFormat="1" ht="20.100000000000001" customHeight="1" x14ac:dyDescent="0.35">
      <c r="A437" s="1"/>
      <c r="B437" s="2"/>
      <c r="C437" s="3"/>
      <c r="D437" s="2"/>
      <c r="E437" s="2"/>
      <c r="F437" s="4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9"/>
      <c r="FL437" s="9"/>
      <c r="FM437" s="9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135"/>
      <c r="IK437" s="135"/>
      <c r="IL437" s="135"/>
      <c r="IN437" s="6"/>
      <c r="IO437" s="6"/>
      <c r="IP437" s="6"/>
      <c r="IQ437" s="6"/>
      <c r="IR437" s="6"/>
      <c r="IS437" s="6"/>
      <c r="IT437" s="6"/>
      <c r="IU437" s="6"/>
      <c r="IV437" s="6"/>
      <c r="IW437" s="6"/>
      <c r="IX437" s="6"/>
      <c r="IY437" s="6"/>
      <c r="IZ437" s="6"/>
      <c r="JA437" s="6"/>
      <c r="JB437" s="6"/>
      <c r="JC437" s="6"/>
      <c r="JD437" s="6"/>
      <c r="JE437" s="6"/>
      <c r="JF437" s="6"/>
      <c r="JG437" s="6"/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6"/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6"/>
      <c r="KZ437" s="6"/>
      <c r="LA437" s="6"/>
      <c r="LB437" s="6"/>
      <c r="LC437" s="6"/>
      <c r="LD437" s="6"/>
      <c r="LE437" s="6"/>
      <c r="LF437" s="6"/>
      <c r="LG437" s="6"/>
      <c r="LH437" s="6"/>
      <c r="LI437" s="6"/>
      <c r="LJ437" s="6"/>
      <c r="LK437" s="6"/>
      <c r="LL437" s="6"/>
      <c r="LM437" s="6"/>
      <c r="LN437" s="6"/>
      <c r="LO437" s="6"/>
      <c r="LP437" s="6"/>
      <c r="LQ437" s="6"/>
      <c r="LR437" s="6"/>
      <c r="LS437" s="6"/>
      <c r="LT437" s="6"/>
      <c r="LU437" s="6"/>
      <c r="LV437" s="6"/>
      <c r="LW437" s="6"/>
      <c r="LX437" s="6"/>
      <c r="LY437" s="6"/>
      <c r="LZ437" s="6"/>
      <c r="MA437" s="6"/>
      <c r="MB437" s="6"/>
      <c r="MC437" s="6"/>
      <c r="MD437" s="6"/>
      <c r="ME437" s="6"/>
      <c r="MF437" s="6"/>
      <c r="MG437" s="6"/>
      <c r="MH437" s="6"/>
      <c r="MI437" s="6"/>
      <c r="MJ437" s="6"/>
      <c r="MK437" s="6"/>
      <c r="ML437" s="6"/>
      <c r="MM437" s="6"/>
      <c r="MN437" s="6"/>
      <c r="MO437" s="6"/>
      <c r="MP437" s="6"/>
      <c r="MQ437" s="6"/>
      <c r="MR437" s="6"/>
      <c r="MS437" s="6"/>
      <c r="MT437" s="6"/>
      <c r="MU437" s="6"/>
      <c r="MV437" s="6"/>
      <c r="MW437" s="6"/>
      <c r="MX437" s="6"/>
      <c r="MY437" s="6"/>
      <c r="MZ437" s="6"/>
      <c r="NA437" s="6"/>
      <c r="NB437" s="6"/>
      <c r="NC437" s="6"/>
      <c r="ND437" s="6"/>
      <c r="NE437" s="6"/>
      <c r="NF437" s="6"/>
      <c r="NG437" s="6"/>
      <c r="NH437" s="6"/>
      <c r="NI437" s="6"/>
      <c r="NJ437" s="6"/>
      <c r="NK437" s="6"/>
      <c r="NL437" s="6"/>
      <c r="NM437" s="6"/>
      <c r="NN437" s="6"/>
      <c r="NO437" s="6"/>
      <c r="NP437" s="6"/>
      <c r="NQ437" s="6"/>
      <c r="NR437" s="6"/>
      <c r="NS437" s="6"/>
      <c r="NT437" s="6"/>
      <c r="NU437" s="6"/>
      <c r="NV437" s="6"/>
    </row>
    <row r="438" spans="1:386" s="19" customFormat="1" ht="20.100000000000001" customHeight="1" x14ac:dyDescent="0.35">
      <c r="A438" s="1"/>
      <c r="B438" s="2"/>
      <c r="C438" s="3"/>
      <c r="D438" s="2"/>
      <c r="E438" s="2"/>
      <c r="F438" s="4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9"/>
      <c r="FL438" s="9"/>
      <c r="FM438" s="9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135"/>
      <c r="IK438" s="135"/>
      <c r="IL438" s="135"/>
      <c r="IN438" s="6"/>
      <c r="IO438" s="6"/>
      <c r="IP438" s="6"/>
      <c r="IQ438" s="6"/>
      <c r="IR438" s="6"/>
      <c r="IS438" s="6"/>
      <c r="IT438" s="6"/>
      <c r="IU438" s="6"/>
      <c r="IV438" s="6"/>
      <c r="IW438" s="6"/>
      <c r="IX438" s="6"/>
      <c r="IY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6"/>
      <c r="KZ438" s="6"/>
      <c r="LA438" s="6"/>
      <c r="LB438" s="6"/>
      <c r="LC438" s="6"/>
      <c r="LD438" s="6"/>
      <c r="LE438" s="6"/>
      <c r="LF438" s="6"/>
      <c r="LG438" s="6"/>
      <c r="LH438" s="6"/>
      <c r="LI438" s="6"/>
      <c r="LJ438" s="6"/>
      <c r="LK438" s="6"/>
      <c r="LL438" s="6"/>
      <c r="LM438" s="6"/>
      <c r="LN438" s="6"/>
      <c r="LO438" s="6"/>
      <c r="LP438" s="6"/>
      <c r="LQ438" s="6"/>
      <c r="LR438" s="6"/>
      <c r="LS438" s="6"/>
      <c r="LT438" s="6"/>
      <c r="LU438" s="6"/>
      <c r="LV438" s="6"/>
      <c r="LW438" s="6"/>
      <c r="LX438" s="6"/>
      <c r="LY438" s="6"/>
      <c r="LZ438" s="6"/>
      <c r="MA438" s="6"/>
      <c r="MB438" s="6"/>
      <c r="MC438" s="6"/>
      <c r="MD438" s="6"/>
      <c r="ME438" s="6"/>
      <c r="MF438" s="6"/>
      <c r="MG438" s="6"/>
      <c r="MH438" s="6"/>
      <c r="MI438" s="6"/>
      <c r="MJ438" s="6"/>
      <c r="MK438" s="6"/>
      <c r="ML438" s="6"/>
      <c r="MM438" s="6"/>
      <c r="MN438" s="6"/>
      <c r="MO438" s="6"/>
      <c r="MP438" s="6"/>
      <c r="MQ438" s="6"/>
      <c r="MR438" s="6"/>
      <c r="MS438" s="6"/>
      <c r="MT438" s="6"/>
      <c r="MU438" s="6"/>
      <c r="MV438" s="6"/>
      <c r="MW438" s="6"/>
      <c r="MX438" s="6"/>
      <c r="MY438" s="6"/>
      <c r="MZ438" s="6"/>
      <c r="NA438" s="6"/>
      <c r="NB438" s="6"/>
      <c r="NC438" s="6"/>
      <c r="ND438" s="6"/>
      <c r="NE438" s="6"/>
      <c r="NF438" s="6"/>
      <c r="NG438" s="6"/>
      <c r="NH438" s="6"/>
      <c r="NI438" s="6"/>
      <c r="NJ438" s="6"/>
      <c r="NK438" s="6"/>
      <c r="NL438" s="6"/>
      <c r="NM438" s="6"/>
      <c r="NN438" s="6"/>
      <c r="NO438" s="6"/>
      <c r="NP438" s="6"/>
      <c r="NQ438" s="6"/>
      <c r="NR438" s="6"/>
      <c r="NS438" s="6"/>
      <c r="NT438" s="6"/>
      <c r="NU438" s="6"/>
      <c r="NV438" s="6"/>
    </row>
    <row r="439" spans="1:386" s="19" customFormat="1" ht="20.100000000000001" customHeight="1" x14ac:dyDescent="0.35">
      <c r="A439" s="1"/>
      <c r="B439" s="2"/>
      <c r="C439" s="3"/>
      <c r="D439" s="2"/>
      <c r="E439" s="2"/>
      <c r="F439" s="4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9"/>
      <c r="FL439" s="9"/>
      <c r="FM439" s="9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135"/>
      <c r="IK439" s="135"/>
      <c r="IL439" s="135"/>
      <c r="IN439" s="6"/>
      <c r="IO439" s="6"/>
      <c r="IP439" s="6"/>
      <c r="IQ439" s="6"/>
      <c r="IR439" s="6"/>
      <c r="IS439" s="6"/>
      <c r="IT439" s="6"/>
      <c r="IU439" s="6"/>
      <c r="IV439" s="6"/>
      <c r="IW439" s="6"/>
      <c r="IX439" s="6"/>
      <c r="IY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6"/>
      <c r="KZ439" s="6"/>
      <c r="LA439" s="6"/>
      <c r="LB439" s="6"/>
      <c r="LC439" s="6"/>
      <c r="LD439" s="6"/>
      <c r="LE439" s="6"/>
      <c r="LF439" s="6"/>
      <c r="LG439" s="6"/>
      <c r="LH439" s="6"/>
      <c r="LI439" s="6"/>
      <c r="LJ439" s="6"/>
      <c r="LK439" s="6"/>
      <c r="LL439" s="6"/>
      <c r="LM439" s="6"/>
      <c r="LN439" s="6"/>
      <c r="LO439" s="6"/>
      <c r="LP439" s="6"/>
      <c r="LQ439" s="6"/>
      <c r="LR439" s="6"/>
      <c r="LS439" s="6"/>
      <c r="LT439" s="6"/>
      <c r="LU439" s="6"/>
      <c r="LV439" s="6"/>
      <c r="LW439" s="6"/>
      <c r="LX439" s="6"/>
      <c r="LY439" s="6"/>
      <c r="LZ439" s="6"/>
      <c r="MA439" s="6"/>
      <c r="MB439" s="6"/>
      <c r="MC439" s="6"/>
      <c r="MD439" s="6"/>
      <c r="ME439" s="6"/>
      <c r="MF439" s="6"/>
      <c r="MG439" s="6"/>
      <c r="MH439" s="6"/>
      <c r="MI439" s="6"/>
      <c r="MJ439" s="6"/>
      <c r="MK439" s="6"/>
      <c r="ML439" s="6"/>
      <c r="MM439" s="6"/>
      <c r="MN439" s="6"/>
      <c r="MO439" s="6"/>
      <c r="MP439" s="6"/>
      <c r="MQ439" s="6"/>
      <c r="MR439" s="6"/>
      <c r="MS439" s="6"/>
      <c r="MT439" s="6"/>
      <c r="MU439" s="6"/>
      <c r="MV439" s="6"/>
      <c r="MW439" s="6"/>
      <c r="MX439" s="6"/>
      <c r="MY439" s="6"/>
      <c r="MZ439" s="6"/>
      <c r="NA439" s="6"/>
      <c r="NB439" s="6"/>
      <c r="NC439" s="6"/>
      <c r="ND439" s="6"/>
      <c r="NE439" s="6"/>
      <c r="NF439" s="6"/>
      <c r="NG439" s="6"/>
      <c r="NH439" s="6"/>
      <c r="NI439" s="6"/>
      <c r="NJ439" s="6"/>
      <c r="NK439" s="6"/>
      <c r="NL439" s="6"/>
      <c r="NM439" s="6"/>
      <c r="NN439" s="6"/>
      <c r="NO439" s="6"/>
      <c r="NP439" s="6"/>
      <c r="NQ439" s="6"/>
      <c r="NR439" s="6"/>
      <c r="NS439" s="6"/>
      <c r="NT439" s="6"/>
      <c r="NU439" s="6"/>
      <c r="NV439" s="6"/>
    </row>
    <row r="440" spans="1:386" s="19" customFormat="1" ht="20.100000000000001" customHeight="1" x14ac:dyDescent="0.35">
      <c r="A440" s="1"/>
      <c r="B440" s="2"/>
      <c r="C440" s="3"/>
      <c r="D440" s="2"/>
      <c r="E440" s="2"/>
      <c r="F440" s="4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9"/>
      <c r="FL440" s="9"/>
      <c r="FM440" s="9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135"/>
      <c r="IK440" s="135"/>
      <c r="IL440" s="135"/>
      <c r="IN440" s="6"/>
      <c r="IO440" s="6"/>
      <c r="IP440" s="6"/>
      <c r="IQ440" s="6"/>
      <c r="IR440" s="6"/>
      <c r="IS440" s="6"/>
      <c r="IT440" s="6"/>
      <c r="IU440" s="6"/>
      <c r="IV440" s="6"/>
      <c r="IW440" s="6"/>
      <c r="IX440" s="6"/>
      <c r="IY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6"/>
      <c r="KZ440" s="6"/>
      <c r="LA440" s="6"/>
      <c r="LB440" s="6"/>
      <c r="LC440" s="6"/>
      <c r="LD440" s="6"/>
      <c r="LE440" s="6"/>
      <c r="LF440" s="6"/>
      <c r="LG440" s="6"/>
      <c r="LH440" s="6"/>
      <c r="LI440" s="6"/>
      <c r="LJ440" s="6"/>
      <c r="LK440" s="6"/>
      <c r="LL440" s="6"/>
      <c r="LM440" s="6"/>
      <c r="LN440" s="6"/>
      <c r="LO440" s="6"/>
      <c r="LP440" s="6"/>
      <c r="LQ440" s="6"/>
      <c r="LR440" s="6"/>
      <c r="LS440" s="6"/>
      <c r="LT440" s="6"/>
      <c r="LU440" s="6"/>
      <c r="LV440" s="6"/>
      <c r="LW440" s="6"/>
      <c r="LX440" s="6"/>
      <c r="LY440" s="6"/>
      <c r="LZ440" s="6"/>
      <c r="MA440" s="6"/>
      <c r="MB440" s="6"/>
      <c r="MC440" s="6"/>
      <c r="MD440" s="6"/>
      <c r="ME440" s="6"/>
      <c r="MF440" s="6"/>
      <c r="MG440" s="6"/>
      <c r="MH440" s="6"/>
      <c r="MI440" s="6"/>
      <c r="MJ440" s="6"/>
      <c r="MK440" s="6"/>
      <c r="ML440" s="6"/>
      <c r="MM440" s="6"/>
      <c r="MN440" s="6"/>
      <c r="MO440" s="6"/>
      <c r="MP440" s="6"/>
      <c r="MQ440" s="6"/>
      <c r="MR440" s="6"/>
      <c r="MS440" s="6"/>
      <c r="MT440" s="6"/>
      <c r="MU440" s="6"/>
      <c r="MV440" s="6"/>
      <c r="MW440" s="6"/>
      <c r="MX440" s="6"/>
      <c r="MY440" s="6"/>
      <c r="MZ440" s="6"/>
      <c r="NA440" s="6"/>
      <c r="NB440" s="6"/>
      <c r="NC440" s="6"/>
      <c r="ND440" s="6"/>
      <c r="NE440" s="6"/>
      <c r="NF440" s="6"/>
      <c r="NG440" s="6"/>
      <c r="NH440" s="6"/>
      <c r="NI440" s="6"/>
      <c r="NJ440" s="6"/>
      <c r="NK440" s="6"/>
      <c r="NL440" s="6"/>
      <c r="NM440" s="6"/>
      <c r="NN440" s="6"/>
      <c r="NO440" s="6"/>
      <c r="NP440" s="6"/>
      <c r="NQ440" s="6"/>
      <c r="NR440" s="6"/>
      <c r="NS440" s="6"/>
      <c r="NT440" s="6"/>
      <c r="NU440" s="6"/>
      <c r="NV440" s="6"/>
    </row>
    <row r="441" spans="1:386" s="19" customFormat="1" ht="20.100000000000001" customHeight="1" x14ac:dyDescent="0.35">
      <c r="A441" s="1"/>
      <c r="B441" s="2"/>
      <c r="C441" s="3"/>
      <c r="D441" s="2"/>
      <c r="E441" s="2"/>
      <c r="F441" s="4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9"/>
      <c r="FL441" s="9"/>
      <c r="FM441" s="9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135"/>
      <c r="IK441" s="135"/>
      <c r="IL441" s="135"/>
      <c r="IN441" s="6"/>
      <c r="IO441" s="6"/>
      <c r="IP441" s="6"/>
      <c r="IQ441" s="6"/>
      <c r="IR441" s="6"/>
      <c r="IS441" s="6"/>
      <c r="IT441" s="6"/>
      <c r="IU441" s="6"/>
      <c r="IV441" s="6"/>
      <c r="IW441" s="6"/>
      <c r="IX441" s="6"/>
      <c r="IY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6"/>
      <c r="KZ441" s="6"/>
      <c r="LA441" s="6"/>
      <c r="LB441" s="6"/>
      <c r="LC441" s="6"/>
      <c r="LD441" s="6"/>
      <c r="LE441" s="6"/>
      <c r="LF441" s="6"/>
      <c r="LG441" s="6"/>
      <c r="LH441" s="6"/>
      <c r="LI441" s="6"/>
      <c r="LJ441" s="6"/>
      <c r="LK441" s="6"/>
      <c r="LL441" s="6"/>
      <c r="LM441" s="6"/>
      <c r="LN441" s="6"/>
      <c r="LO441" s="6"/>
      <c r="LP441" s="6"/>
      <c r="LQ441" s="6"/>
      <c r="LR441" s="6"/>
      <c r="LS441" s="6"/>
      <c r="LT441" s="6"/>
      <c r="LU441" s="6"/>
      <c r="LV441" s="6"/>
      <c r="LW441" s="6"/>
      <c r="LX441" s="6"/>
      <c r="LY441" s="6"/>
      <c r="LZ441" s="6"/>
      <c r="MA441" s="6"/>
      <c r="MB441" s="6"/>
      <c r="MC441" s="6"/>
      <c r="MD441" s="6"/>
      <c r="ME441" s="6"/>
      <c r="MF441" s="6"/>
      <c r="MG441" s="6"/>
      <c r="MH441" s="6"/>
      <c r="MI441" s="6"/>
      <c r="MJ441" s="6"/>
      <c r="MK441" s="6"/>
      <c r="ML441" s="6"/>
      <c r="MM441" s="6"/>
      <c r="MN441" s="6"/>
      <c r="MO441" s="6"/>
      <c r="MP441" s="6"/>
      <c r="MQ441" s="6"/>
      <c r="MR441" s="6"/>
      <c r="MS441" s="6"/>
      <c r="MT441" s="6"/>
      <c r="MU441" s="6"/>
      <c r="MV441" s="6"/>
      <c r="MW441" s="6"/>
      <c r="MX441" s="6"/>
      <c r="MY441" s="6"/>
      <c r="MZ441" s="6"/>
      <c r="NA441" s="6"/>
      <c r="NB441" s="6"/>
      <c r="NC441" s="6"/>
      <c r="ND441" s="6"/>
      <c r="NE441" s="6"/>
      <c r="NF441" s="6"/>
      <c r="NG441" s="6"/>
      <c r="NH441" s="6"/>
      <c r="NI441" s="6"/>
      <c r="NJ441" s="6"/>
      <c r="NK441" s="6"/>
      <c r="NL441" s="6"/>
      <c r="NM441" s="6"/>
      <c r="NN441" s="6"/>
      <c r="NO441" s="6"/>
      <c r="NP441" s="6"/>
      <c r="NQ441" s="6"/>
      <c r="NR441" s="6"/>
      <c r="NS441" s="6"/>
      <c r="NT441" s="6"/>
      <c r="NU441" s="6"/>
      <c r="NV441" s="6"/>
    </row>
    <row r="442" spans="1:386" s="19" customFormat="1" ht="20.100000000000001" customHeight="1" x14ac:dyDescent="0.35">
      <c r="A442" s="1"/>
      <c r="B442" s="2"/>
      <c r="C442" s="3"/>
      <c r="D442" s="2"/>
      <c r="E442" s="2"/>
      <c r="F442" s="4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9"/>
      <c r="FL442" s="9"/>
      <c r="FM442" s="9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135"/>
      <c r="IK442" s="135"/>
      <c r="IL442" s="135"/>
      <c r="IN442" s="6"/>
      <c r="IO442" s="6"/>
      <c r="IP442" s="6"/>
      <c r="IQ442" s="6"/>
      <c r="IR442" s="6"/>
      <c r="IS442" s="6"/>
      <c r="IT442" s="6"/>
      <c r="IU442" s="6"/>
      <c r="IV442" s="6"/>
      <c r="IW442" s="6"/>
      <c r="IX442" s="6"/>
      <c r="IY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6"/>
      <c r="KZ442" s="6"/>
      <c r="LA442" s="6"/>
      <c r="LB442" s="6"/>
      <c r="LC442" s="6"/>
      <c r="LD442" s="6"/>
      <c r="LE442" s="6"/>
      <c r="LF442" s="6"/>
      <c r="LG442" s="6"/>
      <c r="LH442" s="6"/>
      <c r="LI442" s="6"/>
      <c r="LJ442" s="6"/>
      <c r="LK442" s="6"/>
      <c r="LL442" s="6"/>
      <c r="LM442" s="6"/>
      <c r="LN442" s="6"/>
      <c r="LO442" s="6"/>
      <c r="LP442" s="6"/>
      <c r="LQ442" s="6"/>
      <c r="LR442" s="6"/>
      <c r="LS442" s="6"/>
      <c r="LT442" s="6"/>
      <c r="LU442" s="6"/>
      <c r="LV442" s="6"/>
      <c r="LW442" s="6"/>
      <c r="LX442" s="6"/>
      <c r="LY442" s="6"/>
      <c r="LZ442" s="6"/>
      <c r="MA442" s="6"/>
      <c r="MB442" s="6"/>
      <c r="MC442" s="6"/>
      <c r="MD442" s="6"/>
      <c r="ME442" s="6"/>
      <c r="MF442" s="6"/>
      <c r="MG442" s="6"/>
      <c r="MH442" s="6"/>
      <c r="MI442" s="6"/>
      <c r="MJ442" s="6"/>
      <c r="MK442" s="6"/>
      <c r="ML442" s="6"/>
      <c r="MM442" s="6"/>
      <c r="MN442" s="6"/>
      <c r="MO442" s="6"/>
      <c r="MP442" s="6"/>
      <c r="MQ442" s="6"/>
      <c r="MR442" s="6"/>
      <c r="MS442" s="6"/>
      <c r="MT442" s="6"/>
      <c r="MU442" s="6"/>
      <c r="MV442" s="6"/>
      <c r="MW442" s="6"/>
      <c r="MX442" s="6"/>
      <c r="MY442" s="6"/>
      <c r="MZ442" s="6"/>
      <c r="NA442" s="6"/>
      <c r="NB442" s="6"/>
      <c r="NC442" s="6"/>
      <c r="ND442" s="6"/>
      <c r="NE442" s="6"/>
      <c r="NF442" s="6"/>
      <c r="NG442" s="6"/>
      <c r="NH442" s="6"/>
      <c r="NI442" s="6"/>
      <c r="NJ442" s="6"/>
      <c r="NK442" s="6"/>
      <c r="NL442" s="6"/>
      <c r="NM442" s="6"/>
      <c r="NN442" s="6"/>
      <c r="NO442" s="6"/>
      <c r="NP442" s="6"/>
      <c r="NQ442" s="6"/>
      <c r="NR442" s="6"/>
      <c r="NS442" s="6"/>
      <c r="NT442" s="6"/>
      <c r="NU442" s="6"/>
      <c r="NV442" s="6"/>
    </row>
    <row r="443" spans="1:386" s="19" customFormat="1" ht="20.100000000000001" customHeight="1" x14ac:dyDescent="0.35">
      <c r="A443" s="1"/>
      <c r="B443" s="2"/>
      <c r="C443" s="3"/>
      <c r="D443" s="2"/>
      <c r="E443" s="2"/>
      <c r="F443" s="4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9"/>
      <c r="FL443" s="9"/>
      <c r="FM443" s="9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135"/>
      <c r="IK443" s="135"/>
      <c r="IL443" s="135"/>
      <c r="IN443" s="6"/>
      <c r="IO443" s="6"/>
      <c r="IP443" s="6"/>
      <c r="IQ443" s="6"/>
      <c r="IR443" s="6"/>
      <c r="IS443" s="6"/>
      <c r="IT443" s="6"/>
      <c r="IU443" s="6"/>
      <c r="IV443" s="6"/>
      <c r="IW443" s="6"/>
      <c r="IX443" s="6"/>
      <c r="IY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6"/>
      <c r="KZ443" s="6"/>
      <c r="LA443" s="6"/>
      <c r="LB443" s="6"/>
      <c r="LC443" s="6"/>
      <c r="LD443" s="6"/>
      <c r="LE443" s="6"/>
      <c r="LF443" s="6"/>
      <c r="LG443" s="6"/>
      <c r="LH443" s="6"/>
      <c r="LI443" s="6"/>
      <c r="LJ443" s="6"/>
      <c r="LK443" s="6"/>
      <c r="LL443" s="6"/>
      <c r="LM443" s="6"/>
      <c r="LN443" s="6"/>
      <c r="LO443" s="6"/>
      <c r="LP443" s="6"/>
      <c r="LQ443" s="6"/>
      <c r="LR443" s="6"/>
      <c r="LS443" s="6"/>
      <c r="LT443" s="6"/>
      <c r="LU443" s="6"/>
      <c r="LV443" s="6"/>
      <c r="LW443" s="6"/>
      <c r="LX443" s="6"/>
      <c r="LY443" s="6"/>
      <c r="LZ443" s="6"/>
      <c r="MA443" s="6"/>
      <c r="MB443" s="6"/>
      <c r="MC443" s="6"/>
      <c r="MD443" s="6"/>
      <c r="ME443" s="6"/>
      <c r="MF443" s="6"/>
      <c r="MG443" s="6"/>
      <c r="MH443" s="6"/>
      <c r="MI443" s="6"/>
      <c r="MJ443" s="6"/>
      <c r="MK443" s="6"/>
      <c r="ML443" s="6"/>
      <c r="MM443" s="6"/>
      <c r="MN443" s="6"/>
      <c r="MO443" s="6"/>
      <c r="MP443" s="6"/>
      <c r="MQ443" s="6"/>
      <c r="MR443" s="6"/>
      <c r="MS443" s="6"/>
      <c r="MT443" s="6"/>
      <c r="MU443" s="6"/>
      <c r="MV443" s="6"/>
      <c r="MW443" s="6"/>
      <c r="MX443" s="6"/>
      <c r="MY443" s="6"/>
      <c r="MZ443" s="6"/>
      <c r="NA443" s="6"/>
      <c r="NB443" s="6"/>
      <c r="NC443" s="6"/>
      <c r="ND443" s="6"/>
      <c r="NE443" s="6"/>
      <c r="NF443" s="6"/>
      <c r="NG443" s="6"/>
      <c r="NH443" s="6"/>
      <c r="NI443" s="6"/>
      <c r="NJ443" s="6"/>
      <c r="NK443" s="6"/>
      <c r="NL443" s="6"/>
      <c r="NM443" s="6"/>
      <c r="NN443" s="6"/>
      <c r="NO443" s="6"/>
      <c r="NP443" s="6"/>
      <c r="NQ443" s="6"/>
      <c r="NR443" s="6"/>
      <c r="NS443" s="6"/>
      <c r="NT443" s="6"/>
      <c r="NU443" s="6"/>
      <c r="NV443" s="6"/>
    </row>
    <row r="444" spans="1:386" s="19" customFormat="1" ht="20.100000000000001" customHeight="1" x14ac:dyDescent="0.35">
      <c r="A444" s="1"/>
      <c r="B444" s="2"/>
      <c r="C444" s="3"/>
      <c r="D444" s="2"/>
      <c r="E444" s="2"/>
      <c r="F444" s="4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9"/>
      <c r="FL444" s="9"/>
      <c r="FM444" s="9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135"/>
      <c r="IK444" s="135"/>
      <c r="IL444" s="135"/>
      <c r="IN444" s="6"/>
      <c r="IO444" s="6"/>
      <c r="IP444" s="6"/>
      <c r="IQ444" s="6"/>
      <c r="IR444" s="6"/>
      <c r="IS444" s="6"/>
      <c r="IT444" s="6"/>
      <c r="IU444" s="6"/>
      <c r="IV444" s="6"/>
      <c r="IW444" s="6"/>
      <c r="IX444" s="6"/>
      <c r="IY444" s="6"/>
      <c r="IZ444" s="6"/>
      <c r="JA444" s="6"/>
      <c r="JB444" s="6"/>
      <c r="JC444" s="6"/>
      <c r="JD444" s="6"/>
      <c r="JE444" s="6"/>
      <c r="JF444" s="6"/>
      <c r="JG444" s="6"/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6"/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6"/>
      <c r="KZ444" s="6"/>
      <c r="LA444" s="6"/>
      <c r="LB444" s="6"/>
      <c r="LC444" s="6"/>
      <c r="LD444" s="6"/>
      <c r="LE444" s="6"/>
      <c r="LF444" s="6"/>
      <c r="LG444" s="6"/>
      <c r="LH444" s="6"/>
      <c r="LI444" s="6"/>
      <c r="LJ444" s="6"/>
      <c r="LK444" s="6"/>
      <c r="LL444" s="6"/>
      <c r="LM444" s="6"/>
      <c r="LN444" s="6"/>
      <c r="LO444" s="6"/>
      <c r="LP444" s="6"/>
      <c r="LQ444" s="6"/>
      <c r="LR444" s="6"/>
      <c r="LS444" s="6"/>
      <c r="LT444" s="6"/>
      <c r="LU444" s="6"/>
      <c r="LV444" s="6"/>
      <c r="LW444" s="6"/>
      <c r="LX444" s="6"/>
      <c r="LY444" s="6"/>
      <c r="LZ444" s="6"/>
      <c r="MA444" s="6"/>
      <c r="MB444" s="6"/>
      <c r="MC444" s="6"/>
      <c r="MD444" s="6"/>
      <c r="ME444" s="6"/>
      <c r="MF444" s="6"/>
      <c r="MG444" s="6"/>
      <c r="MH444" s="6"/>
      <c r="MI444" s="6"/>
      <c r="MJ444" s="6"/>
      <c r="MK444" s="6"/>
      <c r="ML444" s="6"/>
      <c r="MM444" s="6"/>
      <c r="MN444" s="6"/>
      <c r="MO444" s="6"/>
      <c r="MP444" s="6"/>
      <c r="MQ444" s="6"/>
      <c r="MR444" s="6"/>
      <c r="MS444" s="6"/>
      <c r="MT444" s="6"/>
      <c r="MU444" s="6"/>
      <c r="MV444" s="6"/>
      <c r="MW444" s="6"/>
      <c r="MX444" s="6"/>
      <c r="MY444" s="6"/>
      <c r="MZ444" s="6"/>
      <c r="NA444" s="6"/>
      <c r="NB444" s="6"/>
      <c r="NC444" s="6"/>
      <c r="ND444" s="6"/>
      <c r="NE444" s="6"/>
      <c r="NF444" s="6"/>
      <c r="NG444" s="6"/>
      <c r="NH444" s="6"/>
      <c r="NI444" s="6"/>
      <c r="NJ444" s="6"/>
      <c r="NK444" s="6"/>
      <c r="NL444" s="6"/>
      <c r="NM444" s="6"/>
      <c r="NN444" s="6"/>
      <c r="NO444" s="6"/>
      <c r="NP444" s="6"/>
      <c r="NQ444" s="6"/>
      <c r="NR444" s="6"/>
      <c r="NS444" s="6"/>
      <c r="NT444" s="6"/>
      <c r="NU444" s="6"/>
      <c r="NV444" s="6"/>
    </row>
    <row r="445" spans="1:386" s="19" customFormat="1" ht="20.100000000000001" customHeight="1" x14ac:dyDescent="0.35">
      <c r="A445" s="1"/>
      <c r="B445" s="2"/>
      <c r="C445" s="3"/>
      <c r="D445" s="2"/>
      <c r="E445" s="2"/>
      <c r="F445" s="4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9"/>
      <c r="FL445" s="9"/>
      <c r="FM445" s="9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135"/>
      <c r="IK445" s="135"/>
      <c r="IL445" s="135"/>
      <c r="IN445" s="6"/>
      <c r="IO445" s="6"/>
      <c r="IP445" s="6"/>
      <c r="IQ445" s="6"/>
      <c r="IR445" s="6"/>
      <c r="IS445" s="6"/>
      <c r="IT445" s="6"/>
      <c r="IU445" s="6"/>
      <c r="IV445" s="6"/>
      <c r="IW445" s="6"/>
      <c r="IX445" s="6"/>
      <c r="IY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6"/>
      <c r="KZ445" s="6"/>
      <c r="LA445" s="6"/>
      <c r="LB445" s="6"/>
      <c r="LC445" s="6"/>
      <c r="LD445" s="6"/>
      <c r="LE445" s="6"/>
      <c r="LF445" s="6"/>
      <c r="LG445" s="6"/>
      <c r="LH445" s="6"/>
      <c r="LI445" s="6"/>
      <c r="LJ445" s="6"/>
      <c r="LK445" s="6"/>
      <c r="LL445" s="6"/>
      <c r="LM445" s="6"/>
      <c r="LN445" s="6"/>
      <c r="LO445" s="6"/>
      <c r="LP445" s="6"/>
      <c r="LQ445" s="6"/>
      <c r="LR445" s="6"/>
      <c r="LS445" s="6"/>
      <c r="LT445" s="6"/>
      <c r="LU445" s="6"/>
      <c r="LV445" s="6"/>
      <c r="LW445" s="6"/>
      <c r="LX445" s="6"/>
      <c r="LY445" s="6"/>
      <c r="LZ445" s="6"/>
      <c r="MA445" s="6"/>
      <c r="MB445" s="6"/>
      <c r="MC445" s="6"/>
      <c r="MD445" s="6"/>
      <c r="ME445" s="6"/>
      <c r="MF445" s="6"/>
      <c r="MG445" s="6"/>
      <c r="MH445" s="6"/>
      <c r="MI445" s="6"/>
      <c r="MJ445" s="6"/>
      <c r="MK445" s="6"/>
      <c r="ML445" s="6"/>
      <c r="MM445" s="6"/>
      <c r="MN445" s="6"/>
      <c r="MO445" s="6"/>
      <c r="MP445" s="6"/>
      <c r="MQ445" s="6"/>
      <c r="MR445" s="6"/>
      <c r="MS445" s="6"/>
      <c r="MT445" s="6"/>
      <c r="MU445" s="6"/>
      <c r="MV445" s="6"/>
      <c r="MW445" s="6"/>
      <c r="MX445" s="6"/>
      <c r="MY445" s="6"/>
      <c r="MZ445" s="6"/>
      <c r="NA445" s="6"/>
      <c r="NB445" s="6"/>
      <c r="NC445" s="6"/>
      <c r="ND445" s="6"/>
      <c r="NE445" s="6"/>
      <c r="NF445" s="6"/>
      <c r="NG445" s="6"/>
      <c r="NH445" s="6"/>
      <c r="NI445" s="6"/>
      <c r="NJ445" s="6"/>
      <c r="NK445" s="6"/>
      <c r="NL445" s="6"/>
      <c r="NM445" s="6"/>
      <c r="NN445" s="6"/>
      <c r="NO445" s="6"/>
      <c r="NP445" s="6"/>
      <c r="NQ445" s="6"/>
      <c r="NR445" s="6"/>
      <c r="NS445" s="6"/>
      <c r="NT445" s="6"/>
      <c r="NU445" s="6"/>
      <c r="NV445" s="6"/>
    </row>
    <row r="446" spans="1:386" s="19" customFormat="1" ht="20.100000000000001" customHeight="1" x14ac:dyDescent="0.35">
      <c r="A446" s="1"/>
      <c r="B446" s="2"/>
      <c r="C446" s="3"/>
      <c r="D446" s="2"/>
      <c r="E446" s="2"/>
      <c r="F446" s="4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9"/>
      <c r="FL446" s="9"/>
      <c r="FM446" s="9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135"/>
      <c r="IK446" s="135"/>
      <c r="IL446" s="135"/>
      <c r="IN446" s="6"/>
      <c r="IO446" s="6"/>
      <c r="IP446" s="6"/>
      <c r="IQ446" s="6"/>
      <c r="IR446" s="6"/>
      <c r="IS446" s="6"/>
      <c r="IT446" s="6"/>
      <c r="IU446" s="6"/>
      <c r="IV446" s="6"/>
      <c r="IW446" s="6"/>
      <c r="IX446" s="6"/>
      <c r="IY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6"/>
      <c r="KZ446" s="6"/>
      <c r="LA446" s="6"/>
      <c r="LB446" s="6"/>
      <c r="LC446" s="6"/>
      <c r="LD446" s="6"/>
      <c r="LE446" s="6"/>
      <c r="LF446" s="6"/>
      <c r="LG446" s="6"/>
      <c r="LH446" s="6"/>
      <c r="LI446" s="6"/>
      <c r="LJ446" s="6"/>
      <c r="LK446" s="6"/>
      <c r="LL446" s="6"/>
      <c r="LM446" s="6"/>
      <c r="LN446" s="6"/>
      <c r="LO446" s="6"/>
      <c r="LP446" s="6"/>
      <c r="LQ446" s="6"/>
      <c r="LR446" s="6"/>
      <c r="LS446" s="6"/>
      <c r="LT446" s="6"/>
      <c r="LU446" s="6"/>
      <c r="LV446" s="6"/>
      <c r="LW446" s="6"/>
      <c r="LX446" s="6"/>
      <c r="LY446" s="6"/>
      <c r="LZ446" s="6"/>
      <c r="MA446" s="6"/>
      <c r="MB446" s="6"/>
      <c r="MC446" s="6"/>
      <c r="MD446" s="6"/>
      <c r="ME446" s="6"/>
      <c r="MF446" s="6"/>
      <c r="MG446" s="6"/>
      <c r="MH446" s="6"/>
      <c r="MI446" s="6"/>
      <c r="MJ446" s="6"/>
      <c r="MK446" s="6"/>
      <c r="ML446" s="6"/>
      <c r="MM446" s="6"/>
      <c r="MN446" s="6"/>
      <c r="MO446" s="6"/>
      <c r="MP446" s="6"/>
      <c r="MQ446" s="6"/>
      <c r="MR446" s="6"/>
      <c r="MS446" s="6"/>
      <c r="MT446" s="6"/>
      <c r="MU446" s="6"/>
      <c r="MV446" s="6"/>
      <c r="MW446" s="6"/>
      <c r="MX446" s="6"/>
      <c r="MY446" s="6"/>
      <c r="MZ446" s="6"/>
      <c r="NA446" s="6"/>
      <c r="NB446" s="6"/>
      <c r="NC446" s="6"/>
      <c r="ND446" s="6"/>
      <c r="NE446" s="6"/>
      <c r="NF446" s="6"/>
      <c r="NG446" s="6"/>
      <c r="NH446" s="6"/>
      <c r="NI446" s="6"/>
      <c r="NJ446" s="6"/>
      <c r="NK446" s="6"/>
      <c r="NL446" s="6"/>
      <c r="NM446" s="6"/>
      <c r="NN446" s="6"/>
      <c r="NO446" s="6"/>
      <c r="NP446" s="6"/>
      <c r="NQ446" s="6"/>
      <c r="NR446" s="6"/>
      <c r="NS446" s="6"/>
      <c r="NT446" s="6"/>
      <c r="NU446" s="6"/>
      <c r="NV446" s="6"/>
    </row>
    <row r="447" spans="1:386" s="19" customFormat="1" ht="20.100000000000001" customHeight="1" x14ac:dyDescent="0.35">
      <c r="A447" s="1"/>
      <c r="B447" s="2"/>
      <c r="C447" s="3"/>
      <c r="D447" s="2"/>
      <c r="E447" s="2"/>
      <c r="F447" s="4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9"/>
      <c r="FL447" s="9"/>
      <c r="FM447" s="9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135"/>
      <c r="IK447" s="135"/>
      <c r="IL447" s="135"/>
      <c r="IN447" s="6"/>
      <c r="IO447" s="6"/>
      <c r="IP447" s="6"/>
      <c r="IQ447" s="6"/>
      <c r="IR447" s="6"/>
      <c r="IS447" s="6"/>
      <c r="IT447" s="6"/>
      <c r="IU447" s="6"/>
      <c r="IV447" s="6"/>
      <c r="IW447" s="6"/>
      <c r="IX447" s="6"/>
      <c r="IY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6"/>
      <c r="KZ447" s="6"/>
      <c r="LA447" s="6"/>
      <c r="LB447" s="6"/>
      <c r="LC447" s="6"/>
      <c r="LD447" s="6"/>
      <c r="LE447" s="6"/>
      <c r="LF447" s="6"/>
      <c r="LG447" s="6"/>
      <c r="LH447" s="6"/>
      <c r="LI447" s="6"/>
      <c r="LJ447" s="6"/>
      <c r="LK447" s="6"/>
      <c r="LL447" s="6"/>
      <c r="LM447" s="6"/>
      <c r="LN447" s="6"/>
      <c r="LO447" s="6"/>
      <c r="LP447" s="6"/>
      <c r="LQ447" s="6"/>
      <c r="LR447" s="6"/>
      <c r="LS447" s="6"/>
      <c r="LT447" s="6"/>
      <c r="LU447" s="6"/>
      <c r="LV447" s="6"/>
      <c r="LW447" s="6"/>
      <c r="LX447" s="6"/>
      <c r="LY447" s="6"/>
      <c r="LZ447" s="6"/>
      <c r="MA447" s="6"/>
      <c r="MB447" s="6"/>
      <c r="MC447" s="6"/>
      <c r="MD447" s="6"/>
      <c r="ME447" s="6"/>
      <c r="MF447" s="6"/>
      <c r="MG447" s="6"/>
      <c r="MH447" s="6"/>
      <c r="MI447" s="6"/>
      <c r="MJ447" s="6"/>
      <c r="MK447" s="6"/>
      <c r="ML447" s="6"/>
      <c r="MM447" s="6"/>
      <c r="MN447" s="6"/>
      <c r="MO447" s="6"/>
      <c r="MP447" s="6"/>
      <c r="MQ447" s="6"/>
      <c r="MR447" s="6"/>
      <c r="MS447" s="6"/>
      <c r="MT447" s="6"/>
      <c r="MU447" s="6"/>
      <c r="MV447" s="6"/>
      <c r="MW447" s="6"/>
      <c r="MX447" s="6"/>
      <c r="MY447" s="6"/>
      <c r="MZ447" s="6"/>
      <c r="NA447" s="6"/>
      <c r="NB447" s="6"/>
      <c r="NC447" s="6"/>
      <c r="ND447" s="6"/>
      <c r="NE447" s="6"/>
      <c r="NF447" s="6"/>
      <c r="NG447" s="6"/>
      <c r="NH447" s="6"/>
      <c r="NI447" s="6"/>
      <c r="NJ447" s="6"/>
      <c r="NK447" s="6"/>
      <c r="NL447" s="6"/>
      <c r="NM447" s="6"/>
      <c r="NN447" s="6"/>
      <c r="NO447" s="6"/>
      <c r="NP447" s="6"/>
      <c r="NQ447" s="6"/>
      <c r="NR447" s="6"/>
      <c r="NS447" s="6"/>
      <c r="NT447" s="6"/>
      <c r="NU447" s="6"/>
      <c r="NV447" s="6"/>
    </row>
    <row r="448" spans="1:386" s="19" customFormat="1" ht="20.100000000000001" customHeight="1" x14ac:dyDescent="0.35">
      <c r="A448" s="1"/>
      <c r="B448" s="2"/>
      <c r="C448" s="3"/>
      <c r="D448" s="2"/>
      <c r="E448" s="2"/>
      <c r="F448" s="4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9"/>
      <c r="FL448" s="9"/>
      <c r="FM448" s="9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135"/>
      <c r="IK448" s="135"/>
      <c r="IL448" s="135"/>
      <c r="IN448" s="6"/>
      <c r="IO448" s="6"/>
      <c r="IP448" s="6"/>
      <c r="IQ448" s="6"/>
      <c r="IR448" s="6"/>
      <c r="IS448" s="6"/>
      <c r="IT448" s="6"/>
      <c r="IU448" s="6"/>
      <c r="IV448" s="6"/>
      <c r="IW448" s="6"/>
      <c r="IX448" s="6"/>
      <c r="IY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6"/>
      <c r="KZ448" s="6"/>
      <c r="LA448" s="6"/>
      <c r="LB448" s="6"/>
      <c r="LC448" s="6"/>
      <c r="LD448" s="6"/>
      <c r="LE448" s="6"/>
      <c r="LF448" s="6"/>
      <c r="LG448" s="6"/>
      <c r="LH448" s="6"/>
      <c r="LI448" s="6"/>
      <c r="LJ448" s="6"/>
      <c r="LK448" s="6"/>
      <c r="LL448" s="6"/>
      <c r="LM448" s="6"/>
      <c r="LN448" s="6"/>
      <c r="LO448" s="6"/>
      <c r="LP448" s="6"/>
      <c r="LQ448" s="6"/>
      <c r="LR448" s="6"/>
      <c r="LS448" s="6"/>
      <c r="LT448" s="6"/>
      <c r="LU448" s="6"/>
      <c r="LV448" s="6"/>
      <c r="LW448" s="6"/>
      <c r="LX448" s="6"/>
      <c r="LY448" s="6"/>
      <c r="LZ448" s="6"/>
      <c r="MA448" s="6"/>
      <c r="MB448" s="6"/>
      <c r="MC448" s="6"/>
      <c r="MD448" s="6"/>
      <c r="ME448" s="6"/>
      <c r="MF448" s="6"/>
      <c r="MG448" s="6"/>
      <c r="MH448" s="6"/>
      <c r="MI448" s="6"/>
      <c r="MJ448" s="6"/>
      <c r="MK448" s="6"/>
      <c r="ML448" s="6"/>
      <c r="MM448" s="6"/>
      <c r="MN448" s="6"/>
      <c r="MO448" s="6"/>
      <c r="MP448" s="6"/>
      <c r="MQ448" s="6"/>
      <c r="MR448" s="6"/>
      <c r="MS448" s="6"/>
      <c r="MT448" s="6"/>
      <c r="MU448" s="6"/>
      <c r="MV448" s="6"/>
      <c r="MW448" s="6"/>
      <c r="MX448" s="6"/>
      <c r="MY448" s="6"/>
      <c r="MZ448" s="6"/>
      <c r="NA448" s="6"/>
      <c r="NB448" s="6"/>
      <c r="NC448" s="6"/>
      <c r="ND448" s="6"/>
      <c r="NE448" s="6"/>
      <c r="NF448" s="6"/>
      <c r="NG448" s="6"/>
      <c r="NH448" s="6"/>
      <c r="NI448" s="6"/>
      <c r="NJ448" s="6"/>
      <c r="NK448" s="6"/>
      <c r="NL448" s="6"/>
      <c r="NM448" s="6"/>
      <c r="NN448" s="6"/>
      <c r="NO448" s="6"/>
      <c r="NP448" s="6"/>
      <c r="NQ448" s="6"/>
      <c r="NR448" s="6"/>
      <c r="NS448" s="6"/>
      <c r="NT448" s="6"/>
      <c r="NU448" s="6"/>
      <c r="NV448" s="6"/>
    </row>
    <row r="449" spans="1:386" s="19" customFormat="1" ht="20.100000000000001" customHeight="1" x14ac:dyDescent="0.35">
      <c r="A449" s="1"/>
      <c r="B449" s="2"/>
      <c r="C449" s="3"/>
      <c r="D449" s="2"/>
      <c r="E449" s="2"/>
      <c r="F449" s="4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9"/>
      <c r="FL449" s="9"/>
      <c r="FM449" s="9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135"/>
      <c r="IK449" s="135"/>
      <c r="IL449" s="135"/>
      <c r="IN449" s="6"/>
      <c r="IO449" s="6"/>
      <c r="IP449" s="6"/>
      <c r="IQ449" s="6"/>
      <c r="IR449" s="6"/>
      <c r="IS449" s="6"/>
      <c r="IT449" s="6"/>
      <c r="IU449" s="6"/>
      <c r="IV449" s="6"/>
      <c r="IW449" s="6"/>
      <c r="IX449" s="6"/>
      <c r="IY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6"/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6"/>
      <c r="KZ449" s="6"/>
      <c r="LA449" s="6"/>
      <c r="LB449" s="6"/>
      <c r="LC449" s="6"/>
      <c r="LD449" s="6"/>
      <c r="LE449" s="6"/>
      <c r="LF449" s="6"/>
      <c r="LG449" s="6"/>
      <c r="LH449" s="6"/>
      <c r="LI449" s="6"/>
      <c r="LJ449" s="6"/>
      <c r="LK449" s="6"/>
      <c r="LL449" s="6"/>
      <c r="LM449" s="6"/>
      <c r="LN449" s="6"/>
      <c r="LO449" s="6"/>
      <c r="LP449" s="6"/>
      <c r="LQ449" s="6"/>
      <c r="LR449" s="6"/>
      <c r="LS449" s="6"/>
      <c r="LT449" s="6"/>
      <c r="LU449" s="6"/>
      <c r="LV449" s="6"/>
      <c r="LW449" s="6"/>
      <c r="LX449" s="6"/>
      <c r="LY449" s="6"/>
      <c r="LZ449" s="6"/>
      <c r="MA449" s="6"/>
      <c r="MB449" s="6"/>
      <c r="MC449" s="6"/>
      <c r="MD449" s="6"/>
      <c r="ME449" s="6"/>
      <c r="MF449" s="6"/>
      <c r="MG449" s="6"/>
      <c r="MH449" s="6"/>
      <c r="MI449" s="6"/>
      <c r="MJ449" s="6"/>
      <c r="MK449" s="6"/>
      <c r="ML449" s="6"/>
      <c r="MM449" s="6"/>
      <c r="MN449" s="6"/>
      <c r="MO449" s="6"/>
      <c r="MP449" s="6"/>
      <c r="MQ449" s="6"/>
      <c r="MR449" s="6"/>
      <c r="MS449" s="6"/>
      <c r="MT449" s="6"/>
      <c r="MU449" s="6"/>
      <c r="MV449" s="6"/>
      <c r="MW449" s="6"/>
      <c r="MX449" s="6"/>
      <c r="MY449" s="6"/>
      <c r="MZ449" s="6"/>
      <c r="NA449" s="6"/>
      <c r="NB449" s="6"/>
      <c r="NC449" s="6"/>
      <c r="ND449" s="6"/>
      <c r="NE449" s="6"/>
      <c r="NF449" s="6"/>
      <c r="NG449" s="6"/>
      <c r="NH449" s="6"/>
      <c r="NI449" s="6"/>
      <c r="NJ449" s="6"/>
      <c r="NK449" s="6"/>
      <c r="NL449" s="6"/>
      <c r="NM449" s="6"/>
      <c r="NN449" s="6"/>
      <c r="NO449" s="6"/>
      <c r="NP449" s="6"/>
      <c r="NQ449" s="6"/>
      <c r="NR449" s="6"/>
      <c r="NS449" s="6"/>
      <c r="NT449" s="6"/>
      <c r="NU449" s="6"/>
      <c r="NV449" s="6"/>
    </row>
    <row r="450" spans="1:386" s="19" customFormat="1" ht="20.100000000000001" customHeight="1" x14ac:dyDescent="0.35">
      <c r="A450" s="1"/>
      <c r="B450" s="2"/>
      <c r="C450" s="3"/>
      <c r="D450" s="2"/>
      <c r="E450" s="2"/>
      <c r="F450" s="4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9"/>
      <c r="FL450" s="9"/>
      <c r="FM450" s="9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135"/>
      <c r="IK450" s="135"/>
      <c r="IL450" s="135"/>
      <c r="IN450" s="6"/>
      <c r="IO450" s="6"/>
      <c r="IP450" s="6"/>
      <c r="IQ450" s="6"/>
      <c r="IR450" s="6"/>
      <c r="IS450" s="6"/>
      <c r="IT450" s="6"/>
      <c r="IU450" s="6"/>
      <c r="IV450" s="6"/>
      <c r="IW450" s="6"/>
      <c r="IX450" s="6"/>
      <c r="IY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6"/>
      <c r="KZ450" s="6"/>
      <c r="LA450" s="6"/>
      <c r="LB450" s="6"/>
      <c r="LC450" s="6"/>
      <c r="LD450" s="6"/>
      <c r="LE450" s="6"/>
      <c r="LF450" s="6"/>
      <c r="LG450" s="6"/>
      <c r="LH450" s="6"/>
      <c r="LI450" s="6"/>
      <c r="LJ450" s="6"/>
      <c r="LK450" s="6"/>
      <c r="LL450" s="6"/>
      <c r="LM450" s="6"/>
      <c r="LN450" s="6"/>
      <c r="LO450" s="6"/>
      <c r="LP450" s="6"/>
      <c r="LQ450" s="6"/>
      <c r="LR450" s="6"/>
      <c r="LS450" s="6"/>
      <c r="LT450" s="6"/>
      <c r="LU450" s="6"/>
      <c r="LV450" s="6"/>
      <c r="LW450" s="6"/>
      <c r="LX450" s="6"/>
      <c r="LY450" s="6"/>
      <c r="LZ450" s="6"/>
      <c r="MA450" s="6"/>
      <c r="MB450" s="6"/>
      <c r="MC450" s="6"/>
      <c r="MD450" s="6"/>
      <c r="ME450" s="6"/>
      <c r="MF450" s="6"/>
      <c r="MG450" s="6"/>
      <c r="MH450" s="6"/>
      <c r="MI450" s="6"/>
      <c r="MJ450" s="6"/>
      <c r="MK450" s="6"/>
      <c r="ML450" s="6"/>
      <c r="MM450" s="6"/>
      <c r="MN450" s="6"/>
      <c r="MO450" s="6"/>
      <c r="MP450" s="6"/>
      <c r="MQ450" s="6"/>
      <c r="MR450" s="6"/>
      <c r="MS450" s="6"/>
      <c r="MT450" s="6"/>
      <c r="MU450" s="6"/>
      <c r="MV450" s="6"/>
      <c r="MW450" s="6"/>
      <c r="MX450" s="6"/>
      <c r="MY450" s="6"/>
      <c r="MZ450" s="6"/>
      <c r="NA450" s="6"/>
      <c r="NB450" s="6"/>
      <c r="NC450" s="6"/>
      <c r="ND450" s="6"/>
      <c r="NE450" s="6"/>
      <c r="NF450" s="6"/>
      <c r="NG450" s="6"/>
      <c r="NH450" s="6"/>
      <c r="NI450" s="6"/>
      <c r="NJ450" s="6"/>
      <c r="NK450" s="6"/>
      <c r="NL450" s="6"/>
      <c r="NM450" s="6"/>
      <c r="NN450" s="6"/>
      <c r="NO450" s="6"/>
      <c r="NP450" s="6"/>
      <c r="NQ450" s="6"/>
      <c r="NR450" s="6"/>
      <c r="NS450" s="6"/>
      <c r="NT450" s="6"/>
      <c r="NU450" s="6"/>
      <c r="NV450" s="6"/>
    </row>
    <row r="451" spans="1:386" s="19" customFormat="1" ht="20.100000000000001" customHeight="1" x14ac:dyDescent="0.35">
      <c r="A451" s="1"/>
      <c r="B451" s="2"/>
      <c r="C451" s="3"/>
      <c r="D451" s="2"/>
      <c r="E451" s="2"/>
      <c r="F451" s="4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9"/>
      <c r="FL451" s="9"/>
      <c r="FM451" s="9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135"/>
      <c r="IK451" s="135"/>
      <c r="IL451" s="135"/>
      <c r="IN451" s="6"/>
      <c r="IO451" s="6"/>
      <c r="IP451" s="6"/>
      <c r="IQ451" s="6"/>
      <c r="IR451" s="6"/>
      <c r="IS451" s="6"/>
      <c r="IT451" s="6"/>
      <c r="IU451" s="6"/>
      <c r="IV451" s="6"/>
      <c r="IW451" s="6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JY451" s="6"/>
      <c r="JZ451" s="6"/>
      <c r="KA451" s="6"/>
      <c r="KB451" s="6"/>
      <c r="KC451" s="6"/>
      <c r="KD451" s="6"/>
      <c r="KE451" s="6"/>
      <c r="KF451" s="6"/>
      <c r="KG451" s="6"/>
      <c r="KH451" s="6"/>
      <c r="KI451" s="6"/>
      <c r="KJ451" s="6"/>
      <c r="KK451" s="6"/>
      <c r="KL451" s="6"/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6"/>
      <c r="KZ451" s="6"/>
      <c r="LA451" s="6"/>
      <c r="LB451" s="6"/>
      <c r="LC451" s="6"/>
      <c r="LD451" s="6"/>
      <c r="LE451" s="6"/>
      <c r="LF451" s="6"/>
      <c r="LG451" s="6"/>
      <c r="LH451" s="6"/>
      <c r="LI451" s="6"/>
      <c r="LJ451" s="6"/>
      <c r="LK451" s="6"/>
      <c r="LL451" s="6"/>
      <c r="LM451" s="6"/>
      <c r="LN451" s="6"/>
      <c r="LO451" s="6"/>
      <c r="LP451" s="6"/>
      <c r="LQ451" s="6"/>
      <c r="LR451" s="6"/>
      <c r="LS451" s="6"/>
      <c r="LT451" s="6"/>
      <c r="LU451" s="6"/>
      <c r="LV451" s="6"/>
      <c r="LW451" s="6"/>
      <c r="LX451" s="6"/>
      <c r="LY451" s="6"/>
      <c r="LZ451" s="6"/>
      <c r="MA451" s="6"/>
      <c r="MB451" s="6"/>
      <c r="MC451" s="6"/>
      <c r="MD451" s="6"/>
      <c r="ME451" s="6"/>
      <c r="MF451" s="6"/>
      <c r="MG451" s="6"/>
      <c r="MH451" s="6"/>
      <c r="MI451" s="6"/>
      <c r="MJ451" s="6"/>
      <c r="MK451" s="6"/>
      <c r="ML451" s="6"/>
      <c r="MM451" s="6"/>
      <c r="MN451" s="6"/>
      <c r="MO451" s="6"/>
      <c r="MP451" s="6"/>
      <c r="MQ451" s="6"/>
      <c r="MR451" s="6"/>
      <c r="MS451" s="6"/>
      <c r="MT451" s="6"/>
      <c r="MU451" s="6"/>
      <c r="MV451" s="6"/>
      <c r="MW451" s="6"/>
      <c r="MX451" s="6"/>
      <c r="MY451" s="6"/>
      <c r="MZ451" s="6"/>
      <c r="NA451" s="6"/>
      <c r="NB451" s="6"/>
      <c r="NC451" s="6"/>
      <c r="ND451" s="6"/>
      <c r="NE451" s="6"/>
      <c r="NF451" s="6"/>
      <c r="NG451" s="6"/>
      <c r="NH451" s="6"/>
      <c r="NI451" s="6"/>
      <c r="NJ451" s="6"/>
      <c r="NK451" s="6"/>
      <c r="NL451" s="6"/>
      <c r="NM451" s="6"/>
      <c r="NN451" s="6"/>
      <c r="NO451" s="6"/>
      <c r="NP451" s="6"/>
      <c r="NQ451" s="6"/>
      <c r="NR451" s="6"/>
      <c r="NS451" s="6"/>
      <c r="NT451" s="6"/>
      <c r="NU451" s="6"/>
      <c r="NV451" s="6"/>
    </row>
    <row r="452" spans="1:386" s="19" customFormat="1" ht="20.100000000000001" customHeight="1" x14ac:dyDescent="0.35">
      <c r="A452" s="1"/>
      <c r="B452" s="2"/>
      <c r="C452" s="3"/>
      <c r="D452" s="2"/>
      <c r="E452" s="2"/>
      <c r="F452" s="4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9"/>
      <c r="FL452" s="9"/>
      <c r="FM452" s="9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135"/>
      <c r="IK452" s="135"/>
      <c r="IL452" s="135"/>
      <c r="IN452" s="6"/>
      <c r="IO452" s="6"/>
      <c r="IP452" s="6"/>
      <c r="IQ452" s="6"/>
      <c r="IR452" s="6"/>
      <c r="IS452" s="6"/>
      <c r="IT452" s="6"/>
      <c r="IU452" s="6"/>
      <c r="IV452" s="6"/>
      <c r="IW452" s="6"/>
      <c r="IX452" s="6"/>
      <c r="IY452" s="6"/>
      <c r="IZ452" s="6"/>
      <c r="JA452" s="6"/>
      <c r="JB452" s="6"/>
      <c r="JC452" s="6"/>
      <c r="JD452" s="6"/>
      <c r="JE452" s="6"/>
      <c r="JF452" s="6"/>
      <c r="JG452" s="6"/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6"/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6"/>
      <c r="KZ452" s="6"/>
      <c r="LA452" s="6"/>
      <c r="LB452" s="6"/>
      <c r="LC452" s="6"/>
      <c r="LD452" s="6"/>
      <c r="LE452" s="6"/>
      <c r="LF452" s="6"/>
      <c r="LG452" s="6"/>
      <c r="LH452" s="6"/>
      <c r="LI452" s="6"/>
      <c r="LJ452" s="6"/>
      <c r="LK452" s="6"/>
      <c r="LL452" s="6"/>
      <c r="LM452" s="6"/>
      <c r="LN452" s="6"/>
      <c r="LO452" s="6"/>
      <c r="LP452" s="6"/>
      <c r="LQ452" s="6"/>
      <c r="LR452" s="6"/>
      <c r="LS452" s="6"/>
      <c r="LT452" s="6"/>
      <c r="LU452" s="6"/>
      <c r="LV452" s="6"/>
      <c r="LW452" s="6"/>
      <c r="LX452" s="6"/>
      <c r="LY452" s="6"/>
      <c r="LZ452" s="6"/>
      <c r="MA452" s="6"/>
      <c r="MB452" s="6"/>
      <c r="MC452" s="6"/>
      <c r="MD452" s="6"/>
      <c r="ME452" s="6"/>
      <c r="MF452" s="6"/>
      <c r="MG452" s="6"/>
      <c r="MH452" s="6"/>
      <c r="MI452" s="6"/>
      <c r="MJ452" s="6"/>
      <c r="MK452" s="6"/>
      <c r="ML452" s="6"/>
      <c r="MM452" s="6"/>
      <c r="MN452" s="6"/>
      <c r="MO452" s="6"/>
      <c r="MP452" s="6"/>
      <c r="MQ452" s="6"/>
      <c r="MR452" s="6"/>
      <c r="MS452" s="6"/>
      <c r="MT452" s="6"/>
      <c r="MU452" s="6"/>
      <c r="MV452" s="6"/>
      <c r="MW452" s="6"/>
      <c r="MX452" s="6"/>
      <c r="MY452" s="6"/>
      <c r="MZ452" s="6"/>
      <c r="NA452" s="6"/>
      <c r="NB452" s="6"/>
      <c r="NC452" s="6"/>
      <c r="ND452" s="6"/>
      <c r="NE452" s="6"/>
      <c r="NF452" s="6"/>
      <c r="NG452" s="6"/>
      <c r="NH452" s="6"/>
      <c r="NI452" s="6"/>
      <c r="NJ452" s="6"/>
      <c r="NK452" s="6"/>
      <c r="NL452" s="6"/>
      <c r="NM452" s="6"/>
      <c r="NN452" s="6"/>
      <c r="NO452" s="6"/>
      <c r="NP452" s="6"/>
      <c r="NQ452" s="6"/>
      <c r="NR452" s="6"/>
      <c r="NS452" s="6"/>
      <c r="NT452" s="6"/>
      <c r="NU452" s="6"/>
      <c r="NV452" s="6"/>
    </row>
    <row r="453" spans="1:386" s="19" customFormat="1" ht="20.100000000000001" customHeight="1" x14ac:dyDescent="0.35">
      <c r="A453" s="1"/>
      <c r="B453" s="2"/>
      <c r="C453" s="3"/>
      <c r="D453" s="2"/>
      <c r="E453" s="2"/>
      <c r="F453" s="4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9"/>
      <c r="FL453" s="9"/>
      <c r="FM453" s="9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135"/>
      <c r="IK453" s="135"/>
      <c r="IL453" s="135"/>
      <c r="IN453" s="6"/>
      <c r="IO453" s="6"/>
      <c r="IP453" s="6"/>
      <c r="IQ453" s="6"/>
      <c r="IR453" s="6"/>
      <c r="IS453" s="6"/>
      <c r="IT453" s="6"/>
      <c r="IU453" s="6"/>
      <c r="IV453" s="6"/>
      <c r="IW453" s="6"/>
      <c r="IX453" s="6"/>
      <c r="IY453" s="6"/>
      <c r="IZ453" s="6"/>
      <c r="JA453" s="6"/>
      <c r="JB453" s="6"/>
      <c r="JC453" s="6"/>
      <c r="JD453" s="6"/>
      <c r="JE453" s="6"/>
      <c r="JF453" s="6"/>
      <c r="JG453" s="6"/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6"/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6"/>
      <c r="KZ453" s="6"/>
      <c r="LA453" s="6"/>
      <c r="LB453" s="6"/>
      <c r="LC453" s="6"/>
      <c r="LD453" s="6"/>
      <c r="LE453" s="6"/>
      <c r="LF453" s="6"/>
      <c r="LG453" s="6"/>
      <c r="LH453" s="6"/>
      <c r="LI453" s="6"/>
      <c r="LJ453" s="6"/>
      <c r="LK453" s="6"/>
      <c r="LL453" s="6"/>
      <c r="LM453" s="6"/>
      <c r="LN453" s="6"/>
      <c r="LO453" s="6"/>
      <c r="LP453" s="6"/>
      <c r="LQ453" s="6"/>
      <c r="LR453" s="6"/>
      <c r="LS453" s="6"/>
      <c r="LT453" s="6"/>
      <c r="LU453" s="6"/>
      <c r="LV453" s="6"/>
      <c r="LW453" s="6"/>
      <c r="LX453" s="6"/>
      <c r="LY453" s="6"/>
      <c r="LZ453" s="6"/>
      <c r="MA453" s="6"/>
      <c r="MB453" s="6"/>
      <c r="MC453" s="6"/>
      <c r="MD453" s="6"/>
      <c r="ME453" s="6"/>
      <c r="MF453" s="6"/>
      <c r="MG453" s="6"/>
      <c r="MH453" s="6"/>
      <c r="MI453" s="6"/>
      <c r="MJ453" s="6"/>
      <c r="MK453" s="6"/>
      <c r="ML453" s="6"/>
      <c r="MM453" s="6"/>
      <c r="MN453" s="6"/>
      <c r="MO453" s="6"/>
      <c r="MP453" s="6"/>
      <c r="MQ453" s="6"/>
      <c r="MR453" s="6"/>
      <c r="MS453" s="6"/>
      <c r="MT453" s="6"/>
      <c r="MU453" s="6"/>
      <c r="MV453" s="6"/>
      <c r="MW453" s="6"/>
      <c r="MX453" s="6"/>
      <c r="MY453" s="6"/>
      <c r="MZ453" s="6"/>
      <c r="NA453" s="6"/>
      <c r="NB453" s="6"/>
      <c r="NC453" s="6"/>
      <c r="ND453" s="6"/>
      <c r="NE453" s="6"/>
      <c r="NF453" s="6"/>
      <c r="NG453" s="6"/>
      <c r="NH453" s="6"/>
      <c r="NI453" s="6"/>
      <c r="NJ453" s="6"/>
      <c r="NK453" s="6"/>
      <c r="NL453" s="6"/>
      <c r="NM453" s="6"/>
      <c r="NN453" s="6"/>
      <c r="NO453" s="6"/>
      <c r="NP453" s="6"/>
      <c r="NQ453" s="6"/>
      <c r="NR453" s="6"/>
      <c r="NS453" s="6"/>
      <c r="NT453" s="6"/>
      <c r="NU453" s="6"/>
      <c r="NV453" s="6"/>
    </row>
    <row r="454" spans="1:386" s="19" customFormat="1" ht="20.100000000000001" customHeight="1" x14ac:dyDescent="0.35">
      <c r="A454" s="1"/>
      <c r="B454" s="2"/>
      <c r="C454" s="3"/>
      <c r="D454" s="2"/>
      <c r="E454" s="2"/>
      <c r="F454" s="4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9"/>
      <c r="FL454" s="9"/>
      <c r="FM454" s="9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135"/>
      <c r="IK454" s="135"/>
      <c r="IL454" s="135"/>
      <c r="IN454" s="6"/>
      <c r="IO454" s="6"/>
      <c r="IP454" s="6"/>
      <c r="IQ454" s="6"/>
      <c r="IR454" s="6"/>
      <c r="IS454" s="6"/>
      <c r="IT454" s="6"/>
      <c r="IU454" s="6"/>
      <c r="IV454" s="6"/>
      <c r="IW454" s="6"/>
      <c r="IX454" s="6"/>
      <c r="IY454" s="6"/>
      <c r="IZ454" s="6"/>
      <c r="JA454" s="6"/>
      <c r="JB454" s="6"/>
      <c r="JC454" s="6"/>
      <c r="JD454" s="6"/>
      <c r="JE454" s="6"/>
      <c r="JF454" s="6"/>
      <c r="JG454" s="6"/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6"/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6"/>
      <c r="KZ454" s="6"/>
      <c r="LA454" s="6"/>
      <c r="LB454" s="6"/>
      <c r="LC454" s="6"/>
      <c r="LD454" s="6"/>
      <c r="LE454" s="6"/>
      <c r="LF454" s="6"/>
      <c r="LG454" s="6"/>
      <c r="LH454" s="6"/>
      <c r="LI454" s="6"/>
      <c r="LJ454" s="6"/>
      <c r="LK454" s="6"/>
      <c r="LL454" s="6"/>
      <c r="LM454" s="6"/>
      <c r="LN454" s="6"/>
      <c r="LO454" s="6"/>
      <c r="LP454" s="6"/>
      <c r="LQ454" s="6"/>
      <c r="LR454" s="6"/>
      <c r="LS454" s="6"/>
      <c r="LT454" s="6"/>
      <c r="LU454" s="6"/>
      <c r="LV454" s="6"/>
      <c r="LW454" s="6"/>
      <c r="LX454" s="6"/>
      <c r="LY454" s="6"/>
      <c r="LZ454" s="6"/>
      <c r="MA454" s="6"/>
      <c r="MB454" s="6"/>
      <c r="MC454" s="6"/>
      <c r="MD454" s="6"/>
      <c r="ME454" s="6"/>
      <c r="MF454" s="6"/>
      <c r="MG454" s="6"/>
      <c r="MH454" s="6"/>
      <c r="MI454" s="6"/>
      <c r="MJ454" s="6"/>
      <c r="MK454" s="6"/>
      <c r="ML454" s="6"/>
      <c r="MM454" s="6"/>
      <c r="MN454" s="6"/>
      <c r="MO454" s="6"/>
      <c r="MP454" s="6"/>
      <c r="MQ454" s="6"/>
      <c r="MR454" s="6"/>
      <c r="MS454" s="6"/>
      <c r="MT454" s="6"/>
      <c r="MU454" s="6"/>
      <c r="MV454" s="6"/>
      <c r="MW454" s="6"/>
      <c r="MX454" s="6"/>
      <c r="MY454" s="6"/>
      <c r="MZ454" s="6"/>
      <c r="NA454" s="6"/>
      <c r="NB454" s="6"/>
      <c r="NC454" s="6"/>
      <c r="ND454" s="6"/>
      <c r="NE454" s="6"/>
      <c r="NF454" s="6"/>
      <c r="NG454" s="6"/>
      <c r="NH454" s="6"/>
      <c r="NI454" s="6"/>
      <c r="NJ454" s="6"/>
      <c r="NK454" s="6"/>
      <c r="NL454" s="6"/>
      <c r="NM454" s="6"/>
      <c r="NN454" s="6"/>
      <c r="NO454" s="6"/>
      <c r="NP454" s="6"/>
      <c r="NQ454" s="6"/>
      <c r="NR454" s="6"/>
      <c r="NS454" s="6"/>
      <c r="NT454" s="6"/>
      <c r="NU454" s="6"/>
      <c r="NV454" s="6"/>
    </row>
    <row r="455" spans="1:386" s="19" customFormat="1" ht="20.100000000000001" customHeight="1" x14ac:dyDescent="0.35">
      <c r="A455" s="1"/>
      <c r="B455" s="2"/>
      <c r="C455" s="3"/>
      <c r="D455" s="2"/>
      <c r="E455" s="2"/>
      <c r="F455" s="4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9"/>
      <c r="FL455" s="9"/>
      <c r="FM455" s="9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135"/>
      <c r="IK455" s="135"/>
      <c r="IL455" s="135"/>
      <c r="IN455" s="6"/>
      <c r="IO455" s="6"/>
      <c r="IP455" s="6"/>
      <c r="IQ455" s="6"/>
      <c r="IR455" s="6"/>
      <c r="IS455" s="6"/>
      <c r="IT455" s="6"/>
      <c r="IU455" s="6"/>
      <c r="IV455" s="6"/>
      <c r="IW455" s="6"/>
      <c r="IX455" s="6"/>
      <c r="IY455" s="6"/>
      <c r="IZ455" s="6"/>
      <c r="JA455" s="6"/>
      <c r="JB455" s="6"/>
      <c r="JC455" s="6"/>
      <c r="JD455" s="6"/>
      <c r="JE455" s="6"/>
      <c r="JF455" s="6"/>
      <c r="JG455" s="6"/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6"/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6"/>
      <c r="KZ455" s="6"/>
      <c r="LA455" s="6"/>
      <c r="LB455" s="6"/>
      <c r="LC455" s="6"/>
      <c r="LD455" s="6"/>
      <c r="LE455" s="6"/>
      <c r="LF455" s="6"/>
      <c r="LG455" s="6"/>
      <c r="LH455" s="6"/>
      <c r="LI455" s="6"/>
      <c r="LJ455" s="6"/>
      <c r="LK455" s="6"/>
      <c r="LL455" s="6"/>
      <c r="LM455" s="6"/>
      <c r="LN455" s="6"/>
      <c r="LO455" s="6"/>
      <c r="LP455" s="6"/>
      <c r="LQ455" s="6"/>
      <c r="LR455" s="6"/>
      <c r="LS455" s="6"/>
      <c r="LT455" s="6"/>
      <c r="LU455" s="6"/>
      <c r="LV455" s="6"/>
      <c r="LW455" s="6"/>
      <c r="LX455" s="6"/>
      <c r="LY455" s="6"/>
      <c r="LZ455" s="6"/>
      <c r="MA455" s="6"/>
      <c r="MB455" s="6"/>
      <c r="MC455" s="6"/>
      <c r="MD455" s="6"/>
      <c r="ME455" s="6"/>
      <c r="MF455" s="6"/>
      <c r="MG455" s="6"/>
      <c r="MH455" s="6"/>
      <c r="MI455" s="6"/>
      <c r="MJ455" s="6"/>
      <c r="MK455" s="6"/>
      <c r="ML455" s="6"/>
      <c r="MM455" s="6"/>
      <c r="MN455" s="6"/>
      <c r="MO455" s="6"/>
      <c r="MP455" s="6"/>
      <c r="MQ455" s="6"/>
      <c r="MR455" s="6"/>
      <c r="MS455" s="6"/>
      <c r="MT455" s="6"/>
      <c r="MU455" s="6"/>
      <c r="MV455" s="6"/>
      <c r="MW455" s="6"/>
      <c r="MX455" s="6"/>
      <c r="MY455" s="6"/>
      <c r="MZ455" s="6"/>
      <c r="NA455" s="6"/>
      <c r="NB455" s="6"/>
      <c r="NC455" s="6"/>
      <c r="ND455" s="6"/>
      <c r="NE455" s="6"/>
      <c r="NF455" s="6"/>
      <c r="NG455" s="6"/>
      <c r="NH455" s="6"/>
      <c r="NI455" s="6"/>
      <c r="NJ455" s="6"/>
      <c r="NK455" s="6"/>
      <c r="NL455" s="6"/>
      <c r="NM455" s="6"/>
      <c r="NN455" s="6"/>
      <c r="NO455" s="6"/>
      <c r="NP455" s="6"/>
      <c r="NQ455" s="6"/>
      <c r="NR455" s="6"/>
      <c r="NS455" s="6"/>
      <c r="NT455" s="6"/>
      <c r="NU455" s="6"/>
      <c r="NV455" s="6"/>
    </row>
    <row r="456" spans="1:386" s="19" customFormat="1" ht="20.100000000000001" customHeight="1" x14ac:dyDescent="0.35">
      <c r="A456" s="1"/>
      <c r="B456" s="2"/>
      <c r="C456" s="3"/>
      <c r="D456" s="2"/>
      <c r="E456" s="2"/>
      <c r="F456" s="4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9"/>
      <c r="FL456" s="9"/>
      <c r="FM456" s="9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135"/>
      <c r="IK456" s="135"/>
      <c r="IL456" s="135"/>
      <c r="IN456" s="6"/>
      <c r="IO456" s="6"/>
      <c r="IP456" s="6"/>
      <c r="IQ456" s="6"/>
      <c r="IR456" s="6"/>
      <c r="IS456" s="6"/>
      <c r="IT456" s="6"/>
      <c r="IU456" s="6"/>
      <c r="IV456" s="6"/>
      <c r="IW456" s="6"/>
      <c r="IX456" s="6"/>
      <c r="IY456" s="6"/>
      <c r="IZ456" s="6"/>
      <c r="JA456" s="6"/>
      <c r="JB456" s="6"/>
      <c r="JC456" s="6"/>
      <c r="JD456" s="6"/>
      <c r="JE456" s="6"/>
      <c r="JF456" s="6"/>
      <c r="JG456" s="6"/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6"/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6"/>
      <c r="KZ456" s="6"/>
      <c r="LA456" s="6"/>
      <c r="LB456" s="6"/>
      <c r="LC456" s="6"/>
      <c r="LD456" s="6"/>
      <c r="LE456" s="6"/>
      <c r="LF456" s="6"/>
      <c r="LG456" s="6"/>
      <c r="LH456" s="6"/>
      <c r="LI456" s="6"/>
      <c r="LJ456" s="6"/>
      <c r="LK456" s="6"/>
      <c r="LL456" s="6"/>
      <c r="LM456" s="6"/>
      <c r="LN456" s="6"/>
      <c r="LO456" s="6"/>
      <c r="LP456" s="6"/>
      <c r="LQ456" s="6"/>
      <c r="LR456" s="6"/>
      <c r="LS456" s="6"/>
      <c r="LT456" s="6"/>
      <c r="LU456" s="6"/>
      <c r="LV456" s="6"/>
      <c r="LW456" s="6"/>
      <c r="LX456" s="6"/>
      <c r="LY456" s="6"/>
      <c r="LZ456" s="6"/>
      <c r="MA456" s="6"/>
      <c r="MB456" s="6"/>
      <c r="MC456" s="6"/>
      <c r="MD456" s="6"/>
      <c r="ME456" s="6"/>
      <c r="MF456" s="6"/>
      <c r="MG456" s="6"/>
      <c r="MH456" s="6"/>
      <c r="MI456" s="6"/>
      <c r="MJ456" s="6"/>
      <c r="MK456" s="6"/>
      <c r="ML456" s="6"/>
      <c r="MM456" s="6"/>
      <c r="MN456" s="6"/>
      <c r="MO456" s="6"/>
      <c r="MP456" s="6"/>
      <c r="MQ456" s="6"/>
      <c r="MR456" s="6"/>
      <c r="MS456" s="6"/>
      <c r="MT456" s="6"/>
      <c r="MU456" s="6"/>
      <c r="MV456" s="6"/>
      <c r="MW456" s="6"/>
      <c r="MX456" s="6"/>
      <c r="MY456" s="6"/>
      <c r="MZ456" s="6"/>
      <c r="NA456" s="6"/>
      <c r="NB456" s="6"/>
      <c r="NC456" s="6"/>
      <c r="ND456" s="6"/>
      <c r="NE456" s="6"/>
      <c r="NF456" s="6"/>
      <c r="NG456" s="6"/>
      <c r="NH456" s="6"/>
      <c r="NI456" s="6"/>
      <c r="NJ456" s="6"/>
      <c r="NK456" s="6"/>
      <c r="NL456" s="6"/>
      <c r="NM456" s="6"/>
      <c r="NN456" s="6"/>
      <c r="NO456" s="6"/>
      <c r="NP456" s="6"/>
      <c r="NQ456" s="6"/>
      <c r="NR456" s="6"/>
      <c r="NS456" s="6"/>
      <c r="NT456" s="6"/>
      <c r="NU456" s="6"/>
      <c r="NV456" s="6"/>
    </row>
    <row r="457" spans="1:386" s="19" customFormat="1" ht="20.100000000000001" customHeight="1" x14ac:dyDescent="0.35">
      <c r="A457" s="1"/>
      <c r="B457" s="2"/>
      <c r="C457" s="3"/>
      <c r="D457" s="2"/>
      <c r="E457" s="2"/>
      <c r="F457" s="4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9"/>
      <c r="FL457" s="9"/>
      <c r="FM457" s="9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135"/>
      <c r="IK457" s="135"/>
      <c r="IL457" s="135"/>
      <c r="IN457" s="6"/>
      <c r="IO457" s="6"/>
      <c r="IP457" s="6"/>
      <c r="IQ457" s="6"/>
      <c r="IR457" s="6"/>
      <c r="IS457" s="6"/>
      <c r="IT457" s="6"/>
      <c r="IU457" s="6"/>
      <c r="IV457" s="6"/>
      <c r="IW457" s="6"/>
      <c r="IX457" s="6"/>
      <c r="IY457" s="6"/>
      <c r="IZ457" s="6"/>
      <c r="JA457" s="6"/>
      <c r="JB457" s="6"/>
      <c r="JC457" s="6"/>
      <c r="JD457" s="6"/>
      <c r="JE457" s="6"/>
      <c r="JF457" s="6"/>
      <c r="JG457" s="6"/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6"/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6"/>
      <c r="KZ457" s="6"/>
      <c r="LA457" s="6"/>
      <c r="LB457" s="6"/>
      <c r="LC457" s="6"/>
      <c r="LD457" s="6"/>
      <c r="LE457" s="6"/>
      <c r="LF457" s="6"/>
      <c r="LG457" s="6"/>
      <c r="LH457" s="6"/>
      <c r="LI457" s="6"/>
      <c r="LJ457" s="6"/>
      <c r="LK457" s="6"/>
      <c r="LL457" s="6"/>
      <c r="LM457" s="6"/>
      <c r="LN457" s="6"/>
      <c r="LO457" s="6"/>
      <c r="LP457" s="6"/>
      <c r="LQ457" s="6"/>
      <c r="LR457" s="6"/>
      <c r="LS457" s="6"/>
      <c r="LT457" s="6"/>
      <c r="LU457" s="6"/>
      <c r="LV457" s="6"/>
      <c r="LW457" s="6"/>
      <c r="LX457" s="6"/>
      <c r="LY457" s="6"/>
      <c r="LZ457" s="6"/>
      <c r="MA457" s="6"/>
      <c r="MB457" s="6"/>
      <c r="MC457" s="6"/>
      <c r="MD457" s="6"/>
      <c r="ME457" s="6"/>
      <c r="MF457" s="6"/>
      <c r="MG457" s="6"/>
      <c r="MH457" s="6"/>
      <c r="MI457" s="6"/>
      <c r="MJ457" s="6"/>
      <c r="MK457" s="6"/>
      <c r="ML457" s="6"/>
      <c r="MM457" s="6"/>
      <c r="MN457" s="6"/>
      <c r="MO457" s="6"/>
      <c r="MP457" s="6"/>
      <c r="MQ457" s="6"/>
      <c r="MR457" s="6"/>
      <c r="MS457" s="6"/>
      <c r="MT457" s="6"/>
      <c r="MU457" s="6"/>
      <c r="MV457" s="6"/>
      <c r="MW457" s="6"/>
      <c r="MX457" s="6"/>
      <c r="MY457" s="6"/>
      <c r="MZ457" s="6"/>
      <c r="NA457" s="6"/>
      <c r="NB457" s="6"/>
      <c r="NC457" s="6"/>
      <c r="ND457" s="6"/>
      <c r="NE457" s="6"/>
      <c r="NF457" s="6"/>
      <c r="NG457" s="6"/>
      <c r="NH457" s="6"/>
      <c r="NI457" s="6"/>
      <c r="NJ457" s="6"/>
      <c r="NK457" s="6"/>
      <c r="NL457" s="6"/>
      <c r="NM457" s="6"/>
      <c r="NN457" s="6"/>
      <c r="NO457" s="6"/>
      <c r="NP457" s="6"/>
      <c r="NQ457" s="6"/>
      <c r="NR457" s="6"/>
      <c r="NS457" s="6"/>
      <c r="NT457" s="6"/>
      <c r="NU457" s="6"/>
      <c r="NV457" s="6"/>
    </row>
    <row r="458" spans="1:386" s="19" customFormat="1" ht="20.100000000000001" customHeight="1" x14ac:dyDescent="0.35">
      <c r="A458" s="1"/>
      <c r="B458" s="2"/>
      <c r="C458" s="3"/>
      <c r="D458" s="2"/>
      <c r="E458" s="2"/>
      <c r="F458" s="4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9"/>
      <c r="FL458" s="9"/>
      <c r="FM458" s="9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135"/>
      <c r="IK458" s="135"/>
      <c r="IL458" s="135"/>
      <c r="IN458" s="6"/>
      <c r="IO458" s="6"/>
      <c r="IP458" s="6"/>
      <c r="IQ458" s="6"/>
      <c r="IR458" s="6"/>
      <c r="IS458" s="6"/>
      <c r="IT458" s="6"/>
      <c r="IU458" s="6"/>
      <c r="IV458" s="6"/>
      <c r="IW458" s="6"/>
      <c r="IX458" s="6"/>
      <c r="IY458" s="6"/>
      <c r="IZ458" s="6"/>
      <c r="JA458" s="6"/>
      <c r="JB458" s="6"/>
      <c r="JC458" s="6"/>
      <c r="JD458" s="6"/>
      <c r="JE458" s="6"/>
      <c r="JF458" s="6"/>
      <c r="JG458" s="6"/>
      <c r="JH458" s="6"/>
      <c r="JI458" s="6"/>
      <c r="JJ458" s="6"/>
      <c r="JK458" s="6"/>
      <c r="JL458" s="6"/>
      <c r="JM458" s="6"/>
      <c r="JN458" s="6"/>
      <c r="JO458" s="6"/>
      <c r="JP458" s="6"/>
      <c r="JQ458" s="6"/>
      <c r="JR458" s="6"/>
      <c r="JS458" s="6"/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6"/>
      <c r="KZ458" s="6"/>
      <c r="LA458" s="6"/>
      <c r="LB458" s="6"/>
      <c r="LC458" s="6"/>
      <c r="LD458" s="6"/>
      <c r="LE458" s="6"/>
      <c r="LF458" s="6"/>
      <c r="LG458" s="6"/>
      <c r="LH458" s="6"/>
      <c r="LI458" s="6"/>
      <c r="LJ458" s="6"/>
      <c r="LK458" s="6"/>
      <c r="LL458" s="6"/>
      <c r="LM458" s="6"/>
      <c r="LN458" s="6"/>
      <c r="LO458" s="6"/>
      <c r="LP458" s="6"/>
      <c r="LQ458" s="6"/>
      <c r="LR458" s="6"/>
      <c r="LS458" s="6"/>
      <c r="LT458" s="6"/>
      <c r="LU458" s="6"/>
      <c r="LV458" s="6"/>
      <c r="LW458" s="6"/>
      <c r="LX458" s="6"/>
      <c r="LY458" s="6"/>
      <c r="LZ458" s="6"/>
      <c r="MA458" s="6"/>
      <c r="MB458" s="6"/>
      <c r="MC458" s="6"/>
      <c r="MD458" s="6"/>
      <c r="ME458" s="6"/>
      <c r="MF458" s="6"/>
      <c r="MG458" s="6"/>
      <c r="MH458" s="6"/>
      <c r="MI458" s="6"/>
      <c r="MJ458" s="6"/>
      <c r="MK458" s="6"/>
      <c r="ML458" s="6"/>
      <c r="MM458" s="6"/>
      <c r="MN458" s="6"/>
      <c r="MO458" s="6"/>
      <c r="MP458" s="6"/>
      <c r="MQ458" s="6"/>
      <c r="MR458" s="6"/>
      <c r="MS458" s="6"/>
      <c r="MT458" s="6"/>
      <c r="MU458" s="6"/>
      <c r="MV458" s="6"/>
      <c r="MW458" s="6"/>
      <c r="MX458" s="6"/>
      <c r="MY458" s="6"/>
      <c r="MZ458" s="6"/>
      <c r="NA458" s="6"/>
      <c r="NB458" s="6"/>
      <c r="NC458" s="6"/>
      <c r="ND458" s="6"/>
      <c r="NE458" s="6"/>
      <c r="NF458" s="6"/>
      <c r="NG458" s="6"/>
      <c r="NH458" s="6"/>
      <c r="NI458" s="6"/>
      <c r="NJ458" s="6"/>
      <c r="NK458" s="6"/>
      <c r="NL458" s="6"/>
      <c r="NM458" s="6"/>
      <c r="NN458" s="6"/>
      <c r="NO458" s="6"/>
      <c r="NP458" s="6"/>
      <c r="NQ458" s="6"/>
      <c r="NR458" s="6"/>
      <c r="NS458" s="6"/>
      <c r="NT458" s="6"/>
      <c r="NU458" s="6"/>
      <c r="NV458" s="6"/>
    </row>
    <row r="459" spans="1:386" s="19" customFormat="1" ht="20.100000000000001" customHeight="1" x14ac:dyDescent="0.35">
      <c r="A459" s="1"/>
      <c r="B459" s="2"/>
      <c r="C459" s="3"/>
      <c r="D459" s="2"/>
      <c r="E459" s="2"/>
      <c r="F459" s="4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9"/>
      <c r="FL459" s="9"/>
      <c r="FM459" s="9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135"/>
      <c r="IK459" s="135"/>
      <c r="IL459" s="135"/>
      <c r="IN459" s="6"/>
      <c r="IO459" s="6"/>
      <c r="IP459" s="6"/>
      <c r="IQ459" s="6"/>
      <c r="IR459" s="6"/>
      <c r="IS459" s="6"/>
      <c r="IT459" s="6"/>
      <c r="IU459" s="6"/>
      <c r="IV459" s="6"/>
      <c r="IW459" s="6"/>
      <c r="IX459" s="6"/>
      <c r="IY459" s="6"/>
      <c r="IZ459" s="6"/>
      <c r="JA459" s="6"/>
      <c r="JB459" s="6"/>
      <c r="JC459" s="6"/>
      <c r="JD459" s="6"/>
      <c r="JE459" s="6"/>
      <c r="JF459" s="6"/>
      <c r="JG459" s="6"/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6"/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6"/>
      <c r="KZ459" s="6"/>
      <c r="LA459" s="6"/>
      <c r="LB459" s="6"/>
      <c r="LC459" s="6"/>
      <c r="LD459" s="6"/>
      <c r="LE459" s="6"/>
      <c r="LF459" s="6"/>
      <c r="LG459" s="6"/>
      <c r="LH459" s="6"/>
      <c r="LI459" s="6"/>
      <c r="LJ459" s="6"/>
      <c r="LK459" s="6"/>
      <c r="LL459" s="6"/>
      <c r="LM459" s="6"/>
      <c r="LN459" s="6"/>
      <c r="LO459" s="6"/>
      <c r="LP459" s="6"/>
      <c r="LQ459" s="6"/>
      <c r="LR459" s="6"/>
      <c r="LS459" s="6"/>
      <c r="LT459" s="6"/>
      <c r="LU459" s="6"/>
      <c r="LV459" s="6"/>
      <c r="LW459" s="6"/>
      <c r="LX459" s="6"/>
      <c r="LY459" s="6"/>
      <c r="LZ459" s="6"/>
      <c r="MA459" s="6"/>
      <c r="MB459" s="6"/>
      <c r="MC459" s="6"/>
      <c r="MD459" s="6"/>
      <c r="ME459" s="6"/>
      <c r="MF459" s="6"/>
      <c r="MG459" s="6"/>
      <c r="MH459" s="6"/>
      <c r="MI459" s="6"/>
      <c r="MJ459" s="6"/>
      <c r="MK459" s="6"/>
      <c r="ML459" s="6"/>
      <c r="MM459" s="6"/>
      <c r="MN459" s="6"/>
      <c r="MO459" s="6"/>
      <c r="MP459" s="6"/>
      <c r="MQ459" s="6"/>
      <c r="MR459" s="6"/>
      <c r="MS459" s="6"/>
      <c r="MT459" s="6"/>
      <c r="MU459" s="6"/>
      <c r="MV459" s="6"/>
      <c r="MW459" s="6"/>
      <c r="MX459" s="6"/>
      <c r="MY459" s="6"/>
      <c r="MZ459" s="6"/>
      <c r="NA459" s="6"/>
      <c r="NB459" s="6"/>
      <c r="NC459" s="6"/>
      <c r="ND459" s="6"/>
      <c r="NE459" s="6"/>
      <c r="NF459" s="6"/>
      <c r="NG459" s="6"/>
      <c r="NH459" s="6"/>
      <c r="NI459" s="6"/>
      <c r="NJ459" s="6"/>
      <c r="NK459" s="6"/>
      <c r="NL459" s="6"/>
      <c r="NM459" s="6"/>
      <c r="NN459" s="6"/>
      <c r="NO459" s="6"/>
      <c r="NP459" s="6"/>
      <c r="NQ459" s="6"/>
      <c r="NR459" s="6"/>
      <c r="NS459" s="6"/>
      <c r="NT459" s="6"/>
      <c r="NU459" s="6"/>
      <c r="NV459" s="6"/>
    </row>
    <row r="460" spans="1:386" s="19" customFormat="1" ht="20.100000000000001" customHeight="1" x14ac:dyDescent="0.35">
      <c r="A460" s="1"/>
      <c r="B460" s="2"/>
      <c r="C460" s="3"/>
      <c r="D460" s="2"/>
      <c r="E460" s="2"/>
      <c r="F460" s="4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9"/>
      <c r="FL460" s="9"/>
      <c r="FM460" s="9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135"/>
      <c r="IK460" s="135"/>
      <c r="IL460" s="135"/>
      <c r="IN460" s="6"/>
      <c r="IO460" s="6"/>
      <c r="IP460" s="6"/>
      <c r="IQ460" s="6"/>
      <c r="IR460" s="6"/>
      <c r="IS460" s="6"/>
      <c r="IT460" s="6"/>
      <c r="IU460" s="6"/>
      <c r="IV460" s="6"/>
      <c r="IW460" s="6"/>
      <c r="IX460" s="6"/>
      <c r="IY460" s="6"/>
      <c r="IZ460" s="6"/>
      <c r="JA460" s="6"/>
      <c r="JB460" s="6"/>
      <c r="JC460" s="6"/>
      <c r="JD460" s="6"/>
      <c r="JE460" s="6"/>
      <c r="JF460" s="6"/>
      <c r="JG460" s="6"/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6"/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6"/>
      <c r="KZ460" s="6"/>
      <c r="LA460" s="6"/>
      <c r="LB460" s="6"/>
      <c r="LC460" s="6"/>
      <c r="LD460" s="6"/>
      <c r="LE460" s="6"/>
      <c r="LF460" s="6"/>
      <c r="LG460" s="6"/>
      <c r="LH460" s="6"/>
      <c r="LI460" s="6"/>
      <c r="LJ460" s="6"/>
      <c r="LK460" s="6"/>
      <c r="LL460" s="6"/>
      <c r="LM460" s="6"/>
      <c r="LN460" s="6"/>
      <c r="LO460" s="6"/>
      <c r="LP460" s="6"/>
      <c r="LQ460" s="6"/>
      <c r="LR460" s="6"/>
      <c r="LS460" s="6"/>
      <c r="LT460" s="6"/>
      <c r="LU460" s="6"/>
      <c r="LV460" s="6"/>
      <c r="LW460" s="6"/>
      <c r="LX460" s="6"/>
      <c r="LY460" s="6"/>
      <c r="LZ460" s="6"/>
      <c r="MA460" s="6"/>
      <c r="MB460" s="6"/>
      <c r="MC460" s="6"/>
      <c r="MD460" s="6"/>
      <c r="ME460" s="6"/>
      <c r="MF460" s="6"/>
      <c r="MG460" s="6"/>
      <c r="MH460" s="6"/>
      <c r="MI460" s="6"/>
      <c r="MJ460" s="6"/>
      <c r="MK460" s="6"/>
      <c r="ML460" s="6"/>
      <c r="MM460" s="6"/>
      <c r="MN460" s="6"/>
      <c r="MO460" s="6"/>
      <c r="MP460" s="6"/>
      <c r="MQ460" s="6"/>
      <c r="MR460" s="6"/>
      <c r="MS460" s="6"/>
      <c r="MT460" s="6"/>
      <c r="MU460" s="6"/>
      <c r="MV460" s="6"/>
      <c r="MW460" s="6"/>
      <c r="MX460" s="6"/>
      <c r="MY460" s="6"/>
      <c r="MZ460" s="6"/>
      <c r="NA460" s="6"/>
      <c r="NB460" s="6"/>
      <c r="NC460" s="6"/>
      <c r="ND460" s="6"/>
      <c r="NE460" s="6"/>
      <c r="NF460" s="6"/>
      <c r="NG460" s="6"/>
      <c r="NH460" s="6"/>
      <c r="NI460" s="6"/>
      <c r="NJ460" s="6"/>
      <c r="NK460" s="6"/>
      <c r="NL460" s="6"/>
      <c r="NM460" s="6"/>
      <c r="NN460" s="6"/>
      <c r="NO460" s="6"/>
      <c r="NP460" s="6"/>
      <c r="NQ460" s="6"/>
      <c r="NR460" s="6"/>
      <c r="NS460" s="6"/>
      <c r="NT460" s="6"/>
      <c r="NU460" s="6"/>
      <c r="NV460" s="6"/>
    </row>
    <row r="461" spans="1:386" s="19" customFormat="1" ht="20.100000000000001" customHeight="1" x14ac:dyDescent="0.35">
      <c r="A461" s="1"/>
      <c r="B461" s="2"/>
      <c r="C461" s="3"/>
      <c r="D461" s="2"/>
      <c r="E461" s="2"/>
      <c r="F461" s="4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9"/>
      <c r="FL461" s="9"/>
      <c r="FM461" s="9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135"/>
      <c r="IK461" s="135"/>
      <c r="IL461" s="135"/>
      <c r="IN461" s="6"/>
      <c r="IO461" s="6"/>
      <c r="IP461" s="6"/>
      <c r="IQ461" s="6"/>
      <c r="IR461" s="6"/>
      <c r="IS461" s="6"/>
      <c r="IT461" s="6"/>
      <c r="IU461" s="6"/>
      <c r="IV461" s="6"/>
      <c r="IW461" s="6"/>
      <c r="IX461" s="6"/>
      <c r="IY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6"/>
      <c r="KZ461" s="6"/>
      <c r="LA461" s="6"/>
      <c r="LB461" s="6"/>
      <c r="LC461" s="6"/>
      <c r="LD461" s="6"/>
      <c r="LE461" s="6"/>
      <c r="LF461" s="6"/>
      <c r="LG461" s="6"/>
      <c r="LH461" s="6"/>
      <c r="LI461" s="6"/>
      <c r="LJ461" s="6"/>
      <c r="LK461" s="6"/>
      <c r="LL461" s="6"/>
      <c r="LM461" s="6"/>
      <c r="LN461" s="6"/>
      <c r="LO461" s="6"/>
      <c r="LP461" s="6"/>
      <c r="LQ461" s="6"/>
      <c r="LR461" s="6"/>
      <c r="LS461" s="6"/>
      <c r="LT461" s="6"/>
      <c r="LU461" s="6"/>
      <c r="LV461" s="6"/>
      <c r="LW461" s="6"/>
      <c r="LX461" s="6"/>
      <c r="LY461" s="6"/>
      <c r="LZ461" s="6"/>
      <c r="MA461" s="6"/>
      <c r="MB461" s="6"/>
      <c r="MC461" s="6"/>
      <c r="MD461" s="6"/>
      <c r="ME461" s="6"/>
      <c r="MF461" s="6"/>
      <c r="MG461" s="6"/>
      <c r="MH461" s="6"/>
      <c r="MI461" s="6"/>
      <c r="MJ461" s="6"/>
      <c r="MK461" s="6"/>
      <c r="ML461" s="6"/>
      <c r="MM461" s="6"/>
      <c r="MN461" s="6"/>
      <c r="MO461" s="6"/>
      <c r="MP461" s="6"/>
      <c r="MQ461" s="6"/>
      <c r="MR461" s="6"/>
      <c r="MS461" s="6"/>
      <c r="MT461" s="6"/>
      <c r="MU461" s="6"/>
      <c r="MV461" s="6"/>
      <c r="MW461" s="6"/>
      <c r="MX461" s="6"/>
      <c r="MY461" s="6"/>
      <c r="MZ461" s="6"/>
      <c r="NA461" s="6"/>
      <c r="NB461" s="6"/>
      <c r="NC461" s="6"/>
      <c r="ND461" s="6"/>
      <c r="NE461" s="6"/>
      <c r="NF461" s="6"/>
      <c r="NG461" s="6"/>
      <c r="NH461" s="6"/>
      <c r="NI461" s="6"/>
      <c r="NJ461" s="6"/>
      <c r="NK461" s="6"/>
      <c r="NL461" s="6"/>
      <c r="NM461" s="6"/>
      <c r="NN461" s="6"/>
      <c r="NO461" s="6"/>
      <c r="NP461" s="6"/>
      <c r="NQ461" s="6"/>
      <c r="NR461" s="6"/>
      <c r="NS461" s="6"/>
      <c r="NT461" s="6"/>
      <c r="NU461" s="6"/>
      <c r="NV461" s="6"/>
    </row>
    <row r="462" spans="1:386" s="19" customFormat="1" ht="20.100000000000001" customHeight="1" x14ac:dyDescent="0.35">
      <c r="A462" s="1"/>
      <c r="B462" s="2"/>
      <c r="C462" s="3"/>
      <c r="D462" s="2"/>
      <c r="E462" s="2"/>
      <c r="F462" s="4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9"/>
      <c r="FL462" s="9"/>
      <c r="FM462" s="9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135"/>
      <c r="IK462" s="135"/>
      <c r="IL462" s="135"/>
      <c r="IN462" s="6"/>
      <c r="IO462" s="6"/>
      <c r="IP462" s="6"/>
      <c r="IQ462" s="6"/>
      <c r="IR462" s="6"/>
      <c r="IS462" s="6"/>
      <c r="IT462" s="6"/>
      <c r="IU462" s="6"/>
      <c r="IV462" s="6"/>
      <c r="IW462" s="6"/>
      <c r="IX462" s="6"/>
      <c r="IY462" s="6"/>
      <c r="IZ462" s="6"/>
      <c r="JA462" s="6"/>
      <c r="JB462" s="6"/>
      <c r="JC462" s="6"/>
      <c r="JD462" s="6"/>
      <c r="JE462" s="6"/>
      <c r="JF462" s="6"/>
      <c r="JG462" s="6"/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6"/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6"/>
      <c r="KZ462" s="6"/>
      <c r="LA462" s="6"/>
      <c r="LB462" s="6"/>
      <c r="LC462" s="6"/>
      <c r="LD462" s="6"/>
      <c r="LE462" s="6"/>
      <c r="LF462" s="6"/>
      <c r="LG462" s="6"/>
      <c r="LH462" s="6"/>
      <c r="LI462" s="6"/>
      <c r="LJ462" s="6"/>
      <c r="LK462" s="6"/>
      <c r="LL462" s="6"/>
      <c r="LM462" s="6"/>
      <c r="LN462" s="6"/>
      <c r="LO462" s="6"/>
      <c r="LP462" s="6"/>
      <c r="LQ462" s="6"/>
      <c r="LR462" s="6"/>
      <c r="LS462" s="6"/>
      <c r="LT462" s="6"/>
      <c r="LU462" s="6"/>
      <c r="LV462" s="6"/>
      <c r="LW462" s="6"/>
      <c r="LX462" s="6"/>
      <c r="LY462" s="6"/>
      <c r="LZ462" s="6"/>
      <c r="MA462" s="6"/>
      <c r="MB462" s="6"/>
      <c r="MC462" s="6"/>
      <c r="MD462" s="6"/>
      <c r="ME462" s="6"/>
      <c r="MF462" s="6"/>
      <c r="MG462" s="6"/>
      <c r="MH462" s="6"/>
      <c r="MI462" s="6"/>
      <c r="MJ462" s="6"/>
      <c r="MK462" s="6"/>
      <c r="ML462" s="6"/>
      <c r="MM462" s="6"/>
      <c r="MN462" s="6"/>
      <c r="MO462" s="6"/>
      <c r="MP462" s="6"/>
      <c r="MQ462" s="6"/>
      <c r="MR462" s="6"/>
      <c r="MS462" s="6"/>
      <c r="MT462" s="6"/>
      <c r="MU462" s="6"/>
      <c r="MV462" s="6"/>
      <c r="MW462" s="6"/>
      <c r="MX462" s="6"/>
      <c r="MY462" s="6"/>
      <c r="MZ462" s="6"/>
      <c r="NA462" s="6"/>
      <c r="NB462" s="6"/>
      <c r="NC462" s="6"/>
      <c r="ND462" s="6"/>
      <c r="NE462" s="6"/>
      <c r="NF462" s="6"/>
      <c r="NG462" s="6"/>
      <c r="NH462" s="6"/>
      <c r="NI462" s="6"/>
      <c r="NJ462" s="6"/>
      <c r="NK462" s="6"/>
      <c r="NL462" s="6"/>
      <c r="NM462" s="6"/>
      <c r="NN462" s="6"/>
      <c r="NO462" s="6"/>
      <c r="NP462" s="6"/>
      <c r="NQ462" s="6"/>
      <c r="NR462" s="6"/>
      <c r="NS462" s="6"/>
      <c r="NT462" s="6"/>
      <c r="NU462" s="6"/>
      <c r="NV462" s="6"/>
    </row>
    <row r="463" spans="1:386" s="19" customFormat="1" ht="20.100000000000001" customHeight="1" x14ac:dyDescent="0.35">
      <c r="A463" s="1"/>
      <c r="B463" s="2"/>
      <c r="C463" s="3"/>
      <c r="D463" s="2"/>
      <c r="E463" s="2"/>
      <c r="F463" s="4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9"/>
      <c r="FL463" s="9"/>
      <c r="FM463" s="9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135"/>
      <c r="IK463" s="135"/>
      <c r="IL463" s="135"/>
      <c r="IN463" s="6"/>
      <c r="IO463" s="6"/>
      <c r="IP463" s="6"/>
      <c r="IQ463" s="6"/>
      <c r="IR463" s="6"/>
      <c r="IS463" s="6"/>
      <c r="IT463" s="6"/>
      <c r="IU463" s="6"/>
      <c r="IV463" s="6"/>
      <c r="IW463" s="6"/>
      <c r="IX463" s="6"/>
      <c r="IY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6"/>
      <c r="KZ463" s="6"/>
      <c r="LA463" s="6"/>
      <c r="LB463" s="6"/>
      <c r="LC463" s="6"/>
      <c r="LD463" s="6"/>
      <c r="LE463" s="6"/>
      <c r="LF463" s="6"/>
      <c r="LG463" s="6"/>
      <c r="LH463" s="6"/>
      <c r="LI463" s="6"/>
      <c r="LJ463" s="6"/>
      <c r="LK463" s="6"/>
      <c r="LL463" s="6"/>
      <c r="LM463" s="6"/>
      <c r="LN463" s="6"/>
      <c r="LO463" s="6"/>
      <c r="LP463" s="6"/>
      <c r="LQ463" s="6"/>
      <c r="LR463" s="6"/>
      <c r="LS463" s="6"/>
      <c r="LT463" s="6"/>
      <c r="LU463" s="6"/>
      <c r="LV463" s="6"/>
      <c r="LW463" s="6"/>
      <c r="LX463" s="6"/>
      <c r="LY463" s="6"/>
      <c r="LZ463" s="6"/>
      <c r="MA463" s="6"/>
      <c r="MB463" s="6"/>
      <c r="MC463" s="6"/>
      <c r="MD463" s="6"/>
      <c r="ME463" s="6"/>
      <c r="MF463" s="6"/>
      <c r="MG463" s="6"/>
      <c r="MH463" s="6"/>
      <c r="MI463" s="6"/>
      <c r="MJ463" s="6"/>
      <c r="MK463" s="6"/>
      <c r="ML463" s="6"/>
      <c r="MM463" s="6"/>
      <c r="MN463" s="6"/>
      <c r="MO463" s="6"/>
      <c r="MP463" s="6"/>
      <c r="MQ463" s="6"/>
      <c r="MR463" s="6"/>
      <c r="MS463" s="6"/>
      <c r="MT463" s="6"/>
      <c r="MU463" s="6"/>
      <c r="MV463" s="6"/>
      <c r="MW463" s="6"/>
      <c r="MX463" s="6"/>
      <c r="MY463" s="6"/>
      <c r="MZ463" s="6"/>
      <c r="NA463" s="6"/>
      <c r="NB463" s="6"/>
      <c r="NC463" s="6"/>
      <c r="ND463" s="6"/>
      <c r="NE463" s="6"/>
      <c r="NF463" s="6"/>
      <c r="NG463" s="6"/>
      <c r="NH463" s="6"/>
      <c r="NI463" s="6"/>
      <c r="NJ463" s="6"/>
      <c r="NK463" s="6"/>
      <c r="NL463" s="6"/>
      <c r="NM463" s="6"/>
      <c r="NN463" s="6"/>
      <c r="NO463" s="6"/>
      <c r="NP463" s="6"/>
      <c r="NQ463" s="6"/>
      <c r="NR463" s="6"/>
      <c r="NS463" s="6"/>
      <c r="NT463" s="6"/>
      <c r="NU463" s="6"/>
      <c r="NV463" s="6"/>
    </row>
    <row r="464" spans="1:386" s="19" customFormat="1" ht="20.100000000000001" customHeight="1" x14ac:dyDescent="0.35">
      <c r="A464" s="1"/>
      <c r="B464" s="2"/>
      <c r="C464" s="3"/>
      <c r="D464" s="2"/>
      <c r="E464" s="2"/>
      <c r="F464" s="4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9"/>
      <c r="FL464" s="9"/>
      <c r="FM464" s="9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135"/>
      <c r="IK464" s="135"/>
      <c r="IL464" s="135"/>
      <c r="IN464" s="6"/>
      <c r="IO464" s="6"/>
      <c r="IP464" s="6"/>
      <c r="IQ464" s="6"/>
      <c r="IR464" s="6"/>
      <c r="IS464" s="6"/>
      <c r="IT464" s="6"/>
      <c r="IU464" s="6"/>
      <c r="IV464" s="6"/>
      <c r="IW464" s="6"/>
      <c r="IX464" s="6"/>
      <c r="IY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6"/>
      <c r="KZ464" s="6"/>
      <c r="LA464" s="6"/>
      <c r="LB464" s="6"/>
      <c r="LC464" s="6"/>
      <c r="LD464" s="6"/>
      <c r="LE464" s="6"/>
      <c r="LF464" s="6"/>
      <c r="LG464" s="6"/>
      <c r="LH464" s="6"/>
      <c r="LI464" s="6"/>
      <c r="LJ464" s="6"/>
      <c r="LK464" s="6"/>
      <c r="LL464" s="6"/>
      <c r="LM464" s="6"/>
      <c r="LN464" s="6"/>
      <c r="LO464" s="6"/>
      <c r="LP464" s="6"/>
      <c r="LQ464" s="6"/>
      <c r="LR464" s="6"/>
      <c r="LS464" s="6"/>
      <c r="LT464" s="6"/>
      <c r="LU464" s="6"/>
      <c r="LV464" s="6"/>
      <c r="LW464" s="6"/>
      <c r="LX464" s="6"/>
      <c r="LY464" s="6"/>
      <c r="LZ464" s="6"/>
      <c r="MA464" s="6"/>
      <c r="MB464" s="6"/>
      <c r="MC464" s="6"/>
      <c r="MD464" s="6"/>
      <c r="ME464" s="6"/>
      <c r="MF464" s="6"/>
      <c r="MG464" s="6"/>
      <c r="MH464" s="6"/>
      <c r="MI464" s="6"/>
      <c r="MJ464" s="6"/>
      <c r="MK464" s="6"/>
      <c r="ML464" s="6"/>
      <c r="MM464" s="6"/>
      <c r="MN464" s="6"/>
      <c r="MO464" s="6"/>
      <c r="MP464" s="6"/>
      <c r="MQ464" s="6"/>
      <c r="MR464" s="6"/>
      <c r="MS464" s="6"/>
      <c r="MT464" s="6"/>
      <c r="MU464" s="6"/>
      <c r="MV464" s="6"/>
      <c r="MW464" s="6"/>
      <c r="MX464" s="6"/>
      <c r="MY464" s="6"/>
      <c r="MZ464" s="6"/>
      <c r="NA464" s="6"/>
      <c r="NB464" s="6"/>
      <c r="NC464" s="6"/>
      <c r="ND464" s="6"/>
      <c r="NE464" s="6"/>
      <c r="NF464" s="6"/>
      <c r="NG464" s="6"/>
      <c r="NH464" s="6"/>
      <c r="NI464" s="6"/>
      <c r="NJ464" s="6"/>
      <c r="NK464" s="6"/>
      <c r="NL464" s="6"/>
      <c r="NM464" s="6"/>
      <c r="NN464" s="6"/>
      <c r="NO464" s="6"/>
      <c r="NP464" s="6"/>
      <c r="NQ464" s="6"/>
      <c r="NR464" s="6"/>
      <c r="NS464" s="6"/>
      <c r="NT464" s="6"/>
      <c r="NU464" s="6"/>
      <c r="NV464" s="6"/>
    </row>
    <row r="465" spans="1:386" s="19" customFormat="1" ht="20.100000000000001" customHeight="1" x14ac:dyDescent="0.35">
      <c r="A465" s="1"/>
      <c r="B465" s="2"/>
      <c r="C465" s="3"/>
      <c r="D465" s="2"/>
      <c r="E465" s="2"/>
      <c r="F465" s="4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9"/>
      <c r="FL465" s="9"/>
      <c r="FM465" s="9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135"/>
      <c r="IK465" s="135"/>
      <c r="IL465" s="135"/>
      <c r="IN465" s="6"/>
      <c r="IO465" s="6"/>
      <c r="IP465" s="6"/>
      <c r="IQ465" s="6"/>
      <c r="IR465" s="6"/>
      <c r="IS465" s="6"/>
      <c r="IT465" s="6"/>
      <c r="IU465" s="6"/>
      <c r="IV465" s="6"/>
      <c r="IW465" s="6"/>
      <c r="IX465" s="6"/>
      <c r="IY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6"/>
      <c r="KZ465" s="6"/>
      <c r="LA465" s="6"/>
      <c r="LB465" s="6"/>
      <c r="LC465" s="6"/>
      <c r="LD465" s="6"/>
      <c r="LE465" s="6"/>
      <c r="LF465" s="6"/>
      <c r="LG465" s="6"/>
      <c r="LH465" s="6"/>
      <c r="LI465" s="6"/>
      <c r="LJ465" s="6"/>
      <c r="LK465" s="6"/>
      <c r="LL465" s="6"/>
      <c r="LM465" s="6"/>
      <c r="LN465" s="6"/>
      <c r="LO465" s="6"/>
      <c r="LP465" s="6"/>
      <c r="LQ465" s="6"/>
      <c r="LR465" s="6"/>
      <c r="LS465" s="6"/>
      <c r="LT465" s="6"/>
      <c r="LU465" s="6"/>
      <c r="LV465" s="6"/>
      <c r="LW465" s="6"/>
      <c r="LX465" s="6"/>
      <c r="LY465" s="6"/>
      <c r="LZ465" s="6"/>
      <c r="MA465" s="6"/>
      <c r="MB465" s="6"/>
      <c r="MC465" s="6"/>
      <c r="MD465" s="6"/>
      <c r="ME465" s="6"/>
      <c r="MF465" s="6"/>
      <c r="MG465" s="6"/>
      <c r="MH465" s="6"/>
      <c r="MI465" s="6"/>
      <c r="MJ465" s="6"/>
      <c r="MK465" s="6"/>
      <c r="ML465" s="6"/>
      <c r="MM465" s="6"/>
      <c r="MN465" s="6"/>
      <c r="MO465" s="6"/>
      <c r="MP465" s="6"/>
      <c r="MQ465" s="6"/>
      <c r="MR465" s="6"/>
      <c r="MS465" s="6"/>
      <c r="MT465" s="6"/>
      <c r="MU465" s="6"/>
      <c r="MV465" s="6"/>
      <c r="MW465" s="6"/>
      <c r="MX465" s="6"/>
      <c r="MY465" s="6"/>
      <c r="MZ465" s="6"/>
      <c r="NA465" s="6"/>
      <c r="NB465" s="6"/>
      <c r="NC465" s="6"/>
      <c r="ND465" s="6"/>
      <c r="NE465" s="6"/>
      <c r="NF465" s="6"/>
      <c r="NG465" s="6"/>
      <c r="NH465" s="6"/>
      <c r="NI465" s="6"/>
      <c r="NJ465" s="6"/>
      <c r="NK465" s="6"/>
      <c r="NL465" s="6"/>
      <c r="NM465" s="6"/>
      <c r="NN465" s="6"/>
      <c r="NO465" s="6"/>
      <c r="NP465" s="6"/>
      <c r="NQ465" s="6"/>
      <c r="NR465" s="6"/>
      <c r="NS465" s="6"/>
      <c r="NT465" s="6"/>
      <c r="NU465" s="6"/>
      <c r="NV465" s="6"/>
    </row>
    <row r="466" spans="1:386" s="19" customFormat="1" ht="20.100000000000001" customHeight="1" x14ac:dyDescent="0.35">
      <c r="A466" s="1"/>
      <c r="B466" s="2"/>
      <c r="C466" s="3"/>
      <c r="D466" s="2"/>
      <c r="E466" s="2"/>
      <c r="F466" s="4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9"/>
      <c r="FL466" s="9"/>
      <c r="FM466" s="9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135"/>
      <c r="IK466" s="135"/>
      <c r="IL466" s="135"/>
      <c r="IN466" s="6"/>
      <c r="IO466" s="6"/>
      <c r="IP466" s="6"/>
      <c r="IQ466" s="6"/>
      <c r="IR466" s="6"/>
      <c r="IS466" s="6"/>
      <c r="IT466" s="6"/>
      <c r="IU466" s="6"/>
      <c r="IV466" s="6"/>
      <c r="IW466" s="6"/>
      <c r="IX466" s="6"/>
      <c r="IY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6"/>
      <c r="KZ466" s="6"/>
      <c r="LA466" s="6"/>
      <c r="LB466" s="6"/>
      <c r="LC466" s="6"/>
      <c r="LD466" s="6"/>
      <c r="LE466" s="6"/>
      <c r="LF466" s="6"/>
      <c r="LG466" s="6"/>
      <c r="LH466" s="6"/>
      <c r="LI466" s="6"/>
      <c r="LJ466" s="6"/>
      <c r="LK466" s="6"/>
      <c r="LL466" s="6"/>
      <c r="LM466" s="6"/>
      <c r="LN466" s="6"/>
      <c r="LO466" s="6"/>
      <c r="LP466" s="6"/>
      <c r="LQ466" s="6"/>
      <c r="LR466" s="6"/>
      <c r="LS466" s="6"/>
      <c r="LT466" s="6"/>
      <c r="LU466" s="6"/>
      <c r="LV466" s="6"/>
      <c r="LW466" s="6"/>
      <c r="LX466" s="6"/>
      <c r="LY466" s="6"/>
      <c r="LZ466" s="6"/>
      <c r="MA466" s="6"/>
      <c r="MB466" s="6"/>
      <c r="MC466" s="6"/>
      <c r="MD466" s="6"/>
      <c r="ME466" s="6"/>
      <c r="MF466" s="6"/>
      <c r="MG466" s="6"/>
      <c r="MH466" s="6"/>
      <c r="MI466" s="6"/>
      <c r="MJ466" s="6"/>
      <c r="MK466" s="6"/>
      <c r="ML466" s="6"/>
      <c r="MM466" s="6"/>
      <c r="MN466" s="6"/>
      <c r="MO466" s="6"/>
      <c r="MP466" s="6"/>
      <c r="MQ466" s="6"/>
      <c r="MR466" s="6"/>
      <c r="MS466" s="6"/>
      <c r="MT466" s="6"/>
      <c r="MU466" s="6"/>
      <c r="MV466" s="6"/>
      <c r="MW466" s="6"/>
      <c r="MX466" s="6"/>
      <c r="MY466" s="6"/>
      <c r="MZ466" s="6"/>
      <c r="NA466" s="6"/>
      <c r="NB466" s="6"/>
      <c r="NC466" s="6"/>
      <c r="ND466" s="6"/>
      <c r="NE466" s="6"/>
      <c r="NF466" s="6"/>
      <c r="NG466" s="6"/>
      <c r="NH466" s="6"/>
      <c r="NI466" s="6"/>
      <c r="NJ466" s="6"/>
      <c r="NK466" s="6"/>
      <c r="NL466" s="6"/>
      <c r="NM466" s="6"/>
      <c r="NN466" s="6"/>
      <c r="NO466" s="6"/>
      <c r="NP466" s="6"/>
      <c r="NQ466" s="6"/>
      <c r="NR466" s="6"/>
      <c r="NS466" s="6"/>
      <c r="NT466" s="6"/>
      <c r="NU466" s="6"/>
      <c r="NV466" s="6"/>
    </row>
    <row r="467" spans="1:386" s="19" customFormat="1" ht="20.100000000000001" customHeight="1" x14ac:dyDescent="0.35">
      <c r="A467" s="1"/>
      <c r="B467" s="2"/>
      <c r="C467" s="3"/>
      <c r="D467" s="2"/>
      <c r="E467" s="2"/>
      <c r="F467" s="4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9"/>
      <c r="FL467" s="9"/>
      <c r="FM467" s="9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135"/>
      <c r="IK467" s="135"/>
      <c r="IL467" s="135"/>
      <c r="IN467" s="6"/>
      <c r="IO467" s="6"/>
      <c r="IP467" s="6"/>
      <c r="IQ467" s="6"/>
      <c r="IR467" s="6"/>
      <c r="IS467" s="6"/>
      <c r="IT467" s="6"/>
      <c r="IU467" s="6"/>
      <c r="IV467" s="6"/>
      <c r="IW467" s="6"/>
      <c r="IX467" s="6"/>
      <c r="IY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6"/>
      <c r="JT467" s="6"/>
      <c r="JU467" s="6"/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6"/>
      <c r="KZ467" s="6"/>
      <c r="LA467" s="6"/>
      <c r="LB467" s="6"/>
      <c r="LC467" s="6"/>
      <c r="LD467" s="6"/>
      <c r="LE467" s="6"/>
      <c r="LF467" s="6"/>
      <c r="LG467" s="6"/>
      <c r="LH467" s="6"/>
      <c r="LI467" s="6"/>
      <c r="LJ467" s="6"/>
      <c r="LK467" s="6"/>
      <c r="LL467" s="6"/>
      <c r="LM467" s="6"/>
      <c r="LN467" s="6"/>
      <c r="LO467" s="6"/>
      <c r="LP467" s="6"/>
      <c r="LQ467" s="6"/>
      <c r="LR467" s="6"/>
      <c r="LS467" s="6"/>
      <c r="LT467" s="6"/>
      <c r="LU467" s="6"/>
      <c r="LV467" s="6"/>
      <c r="LW467" s="6"/>
      <c r="LX467" s="6"/>
      <c r="LY467" s="6"/>
      <c r="LZ467" s="6"/>
      <c r="MA467" s="6"/>
      <c r="MB467" s="6"/>
      <c r="MC467" s="6"/>
      <c r="MD467" s="6"/>
      <c r="ME467" s="6"/>
      <c r="MF467" s="6"/>
      <c r="MG467" s="6"/>
      <c r="MH467" s="6"/>
      <c r="MI467" s="6"/>
      <c r="MJ467" s="6"/>
      <c r="MK467" s="6"/>
      <c r="ML467" s="6"/>
      <c r="MM467" s="6"/>
      <c r="MN467" s="6"/>
      <c r="MO467" s="6"/>
      <c r="MP467" s="6"/>
      <c r="MQ467" s="6"/>
      <c r="MR467" s="6"/>
      <c r="MS467" s="6"/>
      <c r="MT467" s="6"/>
      <c r="MU467" s="6"/>
      <c r="MV467" s="6"/>
      <c r="MW467" s="6"/>
      <c r="MX467" s="6"/>
      <c r="MY467" s="6"/>
      <c r="MZ467" s="6"/>
      <c r="NA467" s="6"/>
      <c r="NB467" s="6"/>
      <c r="NC467" s="6"/>
      <c r="ND467" s="6"/>
      <c r="NE467" s="6"/>
      <c r="NF467" s="6"/>
      <c r="NG467" s="6"/>
      <c r="NH467" s="6"/>
      <c r="NI467" s="6"/>
      <c r="NJ467" s="6"/>
      <c r="NK467" s="6"/>
      <c r="NL467" s="6"/>
      <c r="NM467" s="6"/>
      <c r="NN467" s="6"/>
      <c r="NO467" s="6"/>
      <c r="NP467" s="6"/>
      <c r="NQ467" s="6"/>
      <c r="NR467" s="6"/>
      <c r="NS467" s="6"/>
      <c r="NT467" s="6"/>
      <c r="NU467" s="6"/>
      <c r="NV467" s="6"/>
    </row>
    <row r="468" spans="1:386" s="19" customFormat="1" ht="20.100000000000001" customHeight="1" x14ac:dyDescent="0.35">
      <c r="A468" s="1"/>
      <c r="B468" s="2"/>
      <c r="C468" s="3"/>
      <c r="D468" s="2"/>
      <c r="E468" s="2"/>
      <c r="F468" s="4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9"/>
      <c r="FL468" s="9"/>
      <c r="FM468" s="9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135"/>
      <c r="IK468" s="135"/>
      <c r="IL468" s="135"/>
      <c r="IN468" s="6"/>
      <c r="IO468" s="6"/>
      <c r="IP468" s="6"/>
      <c r="IQ468" s="6"/>
      <c r="IR468" s="6"/>
      <c r="IS468" s="6"/>
      <c r="IT468" s="6"/>
      <c r="IU468" s="6"/>
      <c r="IV468" s="6"/>
      <c r="IW468" s="6"/>
      <c r="IX468" s="6"/>
      <c r="IY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6"/>
      <c r="KZ468" s="6"/>
      <c r="LA468" s="6"/>
      <c r="LB468" s="6"/>
      <c r="LC468" s="6"/>
      <c r="LD468" s="6"/>
      <c r="LE468" s="6"/>
      <c r="LF468" s="6"/>
      <c r="LG468" s="6"/>
      <c r="LH468" s="6"/>
      <c r="LI468" s="6"/>
      <c r="LJ468" s="6"/>
      <c r="LK468" s="6"/>
      <c r="LL468" s="6"/>
      <c r="LM468" s="6"/>
      <c r="LN468" s="6"/>
      <c r="LO468" s="6"/>
      <c r="LP468" s="6"/>
      <c r="LQ468" s="6"/>
      <c r="LR468" s="6"/>
      <c r="LS468" s="6"/>
      <c r="LT468" s="6"/>
      <c r="LU468" s="6"/>
      <c r="LV468" s="6"/>
      <c r="LW468" s="6"/>
      <c r="LX468" s="6"/>
      <c r="LY468" s="6"/>
      <c r="LZ468" s="6"/>
      <c r="MA468" s="6"/>
      <c r="MB468" s="6"/>
      <c r="MC468" s="6"/>
      <c r="MD468" s="6"/>
      <c r="ME468" s="6"/>
      <c r="MF468" s="6"/>
      <c r="MG468" s="6"/>
      <c r="MH468" s="6"/>
      <c r="MI468" s="6"/>
      <c r="MJ468" s="6"/>
      <c r="MK468" s="6"/>
      <c r="ML468" s="6"/>
      <c r="MM468" s="6"/>
      <c r="MN468" s="6"/>
      <c r="MO468" s="6"/>
      <c r="MP468" s="6"/>
      <c r="MQ468" s="6"/>
      <c r="MR468" s="6"/>
      <c r="MS468" s="6"/>
      <c r="MT468" s="6"/>
      <c r="MU468" s="6"/>
      <c r="MV468" s="6"/>
      <c r="MW468" s="6"/>
      <c r="MX468" s="6"/>
      <c r="MY468" s="6"/>
      <c r="MZ468" s="6"/>
      <c r="NA468" s="6"/>
      <c r="NB468" s="6"/>
      <c r="NC468" s="6"/>
      <c r="ND468" s="6"/>
      <c r="NE468" s="6"/>
      <c r="NF468" s="6"/>
      <c r="NG468" s="6"/>
      <c r="NH468" s="6"/>
      <c r="NI468" s="6"/>
      <c r="NJ468" s="6"/>
      <c r="NK468" s="6"/>
      <c r="NL468" s="6"/>
      <c r="NM468" s="6"/>
      <c r="NN468" s="6"/>
      <c r="NO468" s="6"/>
      <c r="NP468" s="6"/>
      <c r="NQ468" s="6"/>
      <c r="NR468" s="6"/>
      <c r="NS468" s="6"/>
      <c r="NT468" s="6"/>
      <c r="NU468" s="6"/>
      <c r="NV468" s="6"/>
    </row>
    <row r="469" spans="1:386" s="19" customFormat="1" ht="20.100000000000001" customHeight="1" x14ac:dyDescent="0.35">
      <c r="A469" s="1"/>
      <c r="B469" s="2"/>
      <c r="C469" s="3"/>
      <c r="D469" s="2"/>
      <c r="E469" s="2"/>
      <c r="F469" s="4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9"/>
      <c r="FL469" s="9"/>
      <c r="FM469" s="9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135"/>
      <c r="IK469" s="135"/>
      <c r="IL469" s="135"/>
      <c r="IN469" s="6"/>
      <c r="IO469" s="6"/>
      <c r="IP469" s="6"/>
      <c r="IQ469" s="6"/>
      <c r="IR469" s="6"/>
      <c r="IS469" s="6"/>
      <c r="IT469" s="6"/>
      <c r="IU469" s="6"/>
      <c r="IV469" s="6"/>
      <c r="IW469" s="6"/>
      <c r="IX469" s="6"/>
      <c r="IY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6"/>
      <c r="KZ469" s="6"/>
      <c r="LA469" s="6"/>
      <c r="LB469" s="6"/>
      <c r="LC469" s="6"/>
      <c r="LD469" s="6"/>
      <c r="LE469" s="6"/>
      <c r="LF469" s="6"/>
      <c r="LG469" s="6"/>
      <c r="LH469" s="6"/>
      <c r="LI469" s="6"/>
      <c r="LJ469" s="6"/>
      <c r="LK469" s="6"/>
      <c r="LL469" s="6"/>
      <c r="LM469" s="6"/>
      <c r="LN469" s="6"/>
      <c r="LO469" s="6"/>
      <c r="LP469" s="6"/>
      <c r="LQ469" s="6"/>
      <c r="LR469" s="6"/>
      <c r="LS469" s="6"/>
      <c r="LT469" s="6"/>
      <c r="LU469" s="6"/>
      <c r="LV469" s="6"/>
      <c r="LW469" s="6"/>
      <c r="LX469" s="6"/>
      <c r="LY469" s="6"/>
      <c r="LZ469" s="6"/>
      <c r="MA469" s="6"/>
      <c r="MB469" s="6"/>
      <c r="MC469" s="6"/>
      <c r="MD469" s="6"/>
      <c r="ME469" s="6"/>
      <c r="MF469" s="6"/>
      <c r="MG469" s="6"/>
      <c r="MH469" s="6"/>
      <c r="MI469" s="6"/>
      <c r="MJ469" s="6"/>
      <c r="MK469" s="6"/>
      <c r="ML469" s="6"/>
      <c r="MM469" s="6"/>
      <c r="MN469" s="6"/>
      <c r="MO469" s="6"/>
      <c r="MP469" s="6"/>
      <c r="MQ469" s="6"/>
      <c r="MR469" s="6"/>
      <c r="MS469" s="6"/>
      <c r="MT469" s="6"/>
      <c r="MU469" s="6"/>
      <c r="MV469" s="6"/>
      <c r="MW469" s="6"/>
      <c r="MX469" s="6"/>
      <c r="MY469" s="6"/>
      <c r="MZ469" s="6"/>
      <c r="NA469" s="6"/>
      <c r="NB469" s="6"/>
      <c r="NC469" s="6"/>
      <c r="ND469" s="6"/>
      <c r="NE469" s="6"/>
      <c r="NF469" s="6"/>
      <c r="NG469" s="6"/>
      <c r="NH469" s="6"/>
      <c r="NI469" s="6"/>
      <c r="NJ469" s="6"/>
      <c r="NK469" s="6"/>
      <c r="NL469" s="6"/>
      <c r="NM469" s="6"/>
      <c r="NN469" s="6"/>
      <c r="NO469" s="6"/>
      <c r="NP469" s="6"/>
      <c r="NQ469" s="6"/>
      <c r="NR469" s="6"/>
      <c r="NS469" s="6"/>
      <c r="NT469" s="6"/>
      <c r="NU469" s="6"/>
      <c r="NV469" s="6"/>
    </row>
    <row r="470" spans="1:386" s="19" customFormat="1" ht="20.100000000000001" customHeight="1" x14ac:dyDescent="0.35">
      <c r="A470" s="1"/>
      <c r="B470" s="2"/>
      <c r="C470" s="3"/>
      <c r="D470" s="2"/>
      <c r="E470" s="2"/>
      <c r="F470" s="4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9"/>
      <c r="FL470" s="9"/>
      <c r="FM470" s="9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135"/>
      <c r="IK470" s="135"/>
      <c r="IL470" s="135"/>
      <c r="IN470" s="6"/>
      <c r="IO470" s="6"/>
      <c r="IP470" s="6"/>
      <c r="IQ470" s="6"/>
      <c r="IR470" s="6"/>
      <c r="IS470" s="6"/>
      <c r="IT470" s="6"/>
      <c r="IU470" s="6"/>
      <c r="IV470" s="6"/>
      <c r="IW470" s="6"/>
      <c r="IX470" s="6"/>
      <c r="IY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6"/>
      <c r="KZ470" s="6"/>
      <c r="LA470" s="6"/>
      <c r="LB470" s="6"/>
      <c r="LC470" s="6"/>
      <c r="LD470" s="6"/>
      <c r="LE470" s="6"/>
      <c r="LF470" s="6"/>
      <c r="LG470" s="6"/>
      <c r="LH470" s="6"/>
      <c r="LI470" s="6"/>
      <c r="LJ470" s="6"/>
      <c r="LK470" s="6"/>
      <c r="LL470" s="6"/>
      <c r="LM470" s="6"/>
      <c r="LN470" s="6"/>
      <c r="LO470" s="6"/>
      <c r="LP470" s="6"/>
      <c r="LQ470" s="6"/>
      <c r="LR470" s="6"/>
      <c r="LS470" s="6"/>
      <c r="LT470" s="6"/>
      <c r="LU470" s="6"/>
      <c r="LV470" s="6"/>
      <c r="LW470" s="6"/>
      <c r="LX470" s="6"/>
      <c r="LY470" s="6"/>
      <c r="LZ470" s="6"/>
      <c r="MA470" s="6"/>
      <c r="MB470" s="6"/>
      <c r="MC470" s="6"/>
      <c r="MD470" s="6"/>
      <c r="ME470" s="6"/>
      <c r="MF470" s="6"/>
      <c r="MG470" s="6"/>
      <c r="MH470" s="6"/>
      <c r="MI470" s="6"/>
      <c r="MJ470" s="6"/>
      <c r="MK470" s="6"/>
      <c r="ML470" s="6"/>
      <c r="MM470" s="6"/>
      <c r="MN470" s="6"/>
      <c r="MO470" s="6"/>
      <c r="MP470" s="6"/>
      <c r="MQ470" s="6"/>
      <c r="MR470" s="6"/>
      <c r="MS470" s="6"/>
      <c r="MT470" s="6"/>
      <c r="MU470" s="6"/>
      <c r="MV470" s="6"/>
      <c r="MW470" s="6"/>
      <c r="MX470" s="6"/>
      <c r="MY470" s="6"/>
      <c r="MZ470" s="6"/>
      <c r="NA470" s="6"/>
      <c r="NB470" s="6"/>
      <c r="NC470" s="6"/>
      <c r="ND470" s="6"/>
      <c r="NE470" s="6"/>
      <c r="NF470" s="6"/>
      <c r="NG470" s="6"/>
      <c r="NH470" s="6"/>
      <c r="NI470" s="6"/>
      <c r="NJ470" s="6"/>
      <c r="NK470" s="6"/>
      <c r="NL470" s="6"/>
      <c r="NM470" s="6"/>
      <c r="NN470" s="6"/>
      <c r="NO470" s="6"/>
      <c r="NP470" s="6"/>
      <c r="NQ470" s="6"/>
      <c r="NR470" s="6"/>
      <c r="NS470" s="6"/>
      <c r="NT470" s="6"/>
      <c r="NU470" s="6"/>
      <c r="NV470" s="6"/>
    </row>
    <row r="471" spans="1:386" s="19" customFormat="1" ht="20.100000000000001" customHeight="1" x14ac:dyDescent="0.35">
      <c r="A471" s="1"/>
      <c r="B471" s="2"/>
      <c r="C471" s="3"/>
      <c r="D471" s="2"/>
      <c r="E471" s="2"/>
      <c r="F471" s="4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9"/>
      <c r="FL471" s="9"/>
      <c r="FM471" s="9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135"/>
      <c r="IK471" s="135"/>
      <c r="IL471" s="135"/>
      <c r="IN471" s="6"/>
      <c r="IO471" s="6"/>
      <c r="IP471" s="6"/>
      <c r="IQ471" s="6"/>
      <c r="IR471" s="6"/>
      <c r="IS471" s="6"/>
      <c r="IT471" s="6"/>
      <c r="IU471" s="6"/>
      <c r="IV471" s="6"/>
      <c r="IW471" s="6"/>
      <c r="IX471" s="6"/>
      <c r="IY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6"/>
      <c r="KZ471" s="6"/>
      <c r="LA471" s="6"/>
      <c r="LB471" s="6"/>
      <c r="LC471" s="6"/>
      <c r="LD471" s="6"/>
      <c r="LE471" s="6"/>
      <c r="LF471" s="6"/>
      <c r="LG471" s="6"/>
      <c r="LH471" s="6"/>
      <c r="LI471" s="6"/>
      <c r="LJ471" s="6"/>
      <c r="LK471" s="6"/>
      <c r="LL471" s="6"/>
      <c r="LM471" s="6"/>
      <c r="LN471" s="6"/>
      <c r="LO471" s="6"/>
      <c r="LP471" s="6"/>
      <c r="LQ471" s="6"/>
      <c r="LR471" s="6"/>
      <c r="LS471" s="6"/>
      <c r="LT471" s="6"/>
      <c r="LU471" s="6"/>
      <c r="LV471" s="6"/>
      <c r="LW471" s="6"/>
      <c r="LX471" s="6"/>
      <c r="LY471" s="6"/>
      <c r="LZ471" s="6"/>
      <c r="MA471" s="6"/>
      <c r="MB471" s="6"/>
      <c r="MC471" s="6"/>
      <c r="MD471" s="6"/>
      <c r="ME471" s="6"/>
      <c r="MF471" s="6"/>
      <c r="MG471" s="6"/>
      <c r="MH471" s="6"/>
      <c r="MI471" s="6"/>
      <c r="MJ471" s="6"/>
      <c r="MK471" s="6"/>
      <c r="ML471" s="6"/>
      <c r="MM471" s="6"/>
      <c r="MN471" s="6"/>
      <c r="MO471" s="6"/>
      <c r="MP471" s="6"/>
      <c r="MQ471" s="6"/>
      <c r="MR471" s="6"/>
      <c r="MS471" s="6"/>
      <c r="MT471" s="6"/>
      <c r="MU471" s="6"/>
      <c r="MV471" s="6"/>
      <c r="MW471" s="6"/>
      <c r="MX471" s="6"/>
      <c r="MY471" s="6"/>
      <c r="MZ471" s="6"/>
      <c r="NA471" s="6"/>
      <c r="NB471" s="6"/>
      <c r="NC471" s="6"/>
      <c r="ND471" s="6"/>
      <c r="NE471" s="6"/>
      <c r="NF471" s="6"/>
      <c r="NG471" s="6"/>
      <c r="NH471" s="6"/>
      <c r="NI471" s="6"/>
      <c r="NJ471" s="6"/>
      <c r="NK471" s="6"/>
      <c r="NL471" s="6"/>
      <c r="NM471" s="6"/>
      <c r="NN471" s="6"/>
      <c r="NO471" s="6"/>
      <c r="NP471" s="6"/>
      <c r="NQ471" s="6"/>
      <c r="NR471" s="6"/>
      <c r="NS471" s="6"/>
      <c r="NT471" s="6"/>
      <c r="NU471" s="6"/>
      <c r="NV471" s="6"/>
    </row>
    <row r="472" spans="1:386" s="19" customFormat="1" ht="20.100000000000001" customHeight="1" x14ac:dyDescent="0.35">
      <c r="A472" s="1"/>
      <c r="B472" s="2"/>
      <c r="C472" s="3"/>
      <c r="D472" s="2"/>
      <c r="E472" s="2"/>
      <c r="F472" s="4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9"/>
      <c r="FL472" s="9"/>
      <c r="FM472" s="9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135"/>
      <c r="IK472" s="135"/>
      <c r="IL472" s="135"/>
      <c r="IN472" s="6"/>
      <c r="IO472" s="6"/>
      <c r="IP472" s="6"/>
      <c r="IQ472" s="6"/>
      <c r="IR472" s="6"/>
      <c r="IS472" s="6"/>
      <c r="IT472" s="6"/>
      <c r="IU472" s="6"/>
      <c r="IV472" s="6"/>
      <c r="IW472" s="6"/>
      <c r="IX472" s="6"/>
      <c r="IY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J472" s="6"/>
      <c r="JK472" s="6"/>
      <c r="JL472" s="6"/>
      <c r="JM472" s="6"/>
      <c r="JN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6"/>
      <c r="KZ472" s="6"/>
      <c r="LA472" s="6"/>
      <c r="LB472" s="6"/>
      <c r="LC472" s="6"/>
      <c r="LD472" s="6"/>
      <c r="LE472" s="6"/>
      <c r="LF472" s="6"/>
      <c r="LG472" s="6"/>
      <c r="LH472" s="6"/>
      <c r="LI472" s="6"/>
      <c r="LJ472" s="6"/>
      <c r="LK472" s="6"/>
      <c r="LL472" s="6"/>
      <c r="LM472" s="6"/>
      <c r="LN472" s="6"/>
      <c r="LO472" s="6"/>
      <c r="LP472" s="6"/>
      <c r="LQ472" s="6"/>
      <c r="LR472" s="6"/>
      <c r="LS472" s="6"/>
      <c r="LT472" s="6"/>
      <c r="LU472" s="6"/>
      <c r="LV472" s="6"/>
      <c r="LW472" s="6"/>
      <c r="LX472" s="6"/>
      <c r="LY472" s="6"/>
      <c r="LZ472" s="6"/>
      <c r="MA472" s="6"/>
      <c r="MB472" s="6"/>
      <c r="MC472" s="6"/>
      <c r="MD472" s="6"/>
      <c r="ME472" s="6"/>
      <c r="MF472" s="6"/>
      <c r="MG472" s="6"/>
      <c r="MH472" s="6"/>
      <c r="MI472" s="6"/>
      <c r="MJ472" s="6"/>
      <c r="MK472" s="6"/>
      <c r="ML472" s="6"/>
      <c r="MM472" s="6"/>
      <c r="MN472" s="6"/>
      <c r="MO472" s="6"/>
      <c r="MP472" s="6"/>
      <c r="MQ472" s="6"/>
      <c r="MR472" s="6"/>
      <c r="MS472" s="6"/>
      <c r="MT472" s="6"/>
      <c r="MU472" s="6"/>
      <c r="MV472" s="6"/>
      <c r="MW472" s="6"/>
      <c r="MX472" s="6"/>
      <c r="MY472" s="6"/>
      <c r="MZ472" s="6"/>
      <c r="NA472" s="6"/>
      <c r="NB472" s="6"/>
      <c r="NC472" s="6"/>
      <c r="ND472" s="6"/>
      <c r="NE472" s="6"/>
      <c r="NF472" s="6"/>
      <c r="NG472" s="6"/>
      <c r="NH472" s="6"/>
      <c r="NI472" s="6"/>
      <c r="NJ472" s="6"/>
      <c r="NK472" s="6"/>
      <c r="NL472" s="6"/>
      <c r="NM472" s="6"/>
      <c r="NN472" s="6"/>
      <c r="NO472" s="6"/>
      <c r="NP472" s="6"/>
      <c r="NQ472" s="6"/>
      <c r="NR472" s="6"/>
      <c r="NS472" s="6"/>
      <c r="NT472" s="6"/>
      <c r="NU472" s="6"/>
      <c r="NV472" s="6"/>
    </row>
    <row r="473" spans="1:386" s="19" customFormat="1" ht="20.100000000000001" customHeight="1" x14ac:dyDescent="0.35">
      <c r="A473" s="1"/>
      <c r="B473" s="2"/>
      <c r="C473" s="3"/>
      <c r="D473" s="2"/>
      <c r="E473" s="2"/>
      <c r="F473" s="4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9"/>
      <c r="FL473" s="9"/>
      <c r="FM473" s="9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135"/>
      <c r="IK473" s="135"/>
      <c r="IL473" s="135"/>
      <c r="IN473" s="6"/>
      <c r="IO473" s="6"/>
      <c r="IP473" s="6"/>
      <c r="IQ473" s="6"/>
      <c r="IR473" s="6"/>
      <c r="IS473" s="6"/>
      <c r="IT473" s="6"/>
      <c r="IU473" s="6"/>
      <c r="IV473" s="6"/>
      <c r="IW473" s="6"/>
      <c r="IX473" s="6"/>
      <c r="IY473" s="6"/>
      <c r="IZ473" s="6"/>
      <c r="JA473" s="6"/>
      <c r="JB473" s="6"/>
      <c r="JC473" s="6"/>
      <c r="JD473" s="6"/>
      <c r="JE473" s="6"/>
      <c r="JF473" s="6"/>
      <c r="JG473" s="6"/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6"/>
      <c r="KZ473" s="6"/>
      <c r="LA473" s="6"/>
      <c r="LB473" s="6"/>
      <c r="LC473" s="6"/>
      <c r="LD473" s="6"/>
      <c r="LE473" s="6"/>
      <c r="LF473" s="6"/>
      <c r="LG473" s="6"/>
      <c r="LH473" s="6"/>
      <c r="LI473" s="6"/>
      <c r="LJ473" s="6"/>
      <c r="LK473" s="6"/>
      <c r="LL473" s="6"/>
      <c r="LM473" s="6"/>
      <c r="LN473" s="6"/>
      <c r="LO473" s="6"/>
      <c r="LP473" s="6"/>
      <c r="LQ473" s="6"/>
      <c r="LR473" s="6"/>
      <c r="LS473" s="6"/>
      <c r="LT473" s="6"/>
      <c r="LU473" s="6"/>
      <c r="LV473" s="6"/>
      <c r="LW473" s="6"/>
      <c r="LX473" s="6"/>
      <c r="LY473" s="6"/>
      <c r="LZ473" s="6"/>
      <c r="MA473" s="6"/>
      <c r="MB473" s="6"/>
      <c r="MC473" s="6"/>
      <c r="MD473" s="6"/>
      <c r="ME473" s="6"/>
      <c r="MF473" s="6"/>
      <c r="MG473" s="6"/>
      <c r="MH473" s="6"/>
      <c r="MI473" s="6"/>
      <c r="MJ473" s="6"/>
      <c r="MK473" s="6"/>
      <c r="ML473" s="6"/>
      <c r="MM473" s="6"/>
      <c r="MN473" s="6"/>
      <c r="MO473" s="6"/>
      <c r="MP473" s="6"/>
      <c r="MQ473" s="6"/>
      <c r="MR473" s="6"/>
      <c r="MS473" s="6"/>
      <c r="MT473" s="6"/>
      <c r="MU473" s="6"/>
      <c r="MV473" s="6"/>
      <c r="MW473" s="6"/>
      <c r="MX473" s="6"/>
      <c r="MY473" s="6"/>
      <c r="MZ473" s="6"/>
      <c r="NA473" s="6"/>
      <c r="NB473" s="6"/>
      <c r="NC473" s="6"/>
      <c r="ND473" s="6"/>
      <c r="NE473" s="6"/>
      <c r="NF473" s="6"/>
      <c r="NG473" s="6"/>
      <c r="NH473" s="6"/>
      <c r="NI473" s="6"/>
      <c r="NJ473" s="6"/>
      <c r="NK473" s="6"/>
      <c r="NL473" s="6"/>
      <c r="NM473" s="6"/>
      <c r="NN473" s="6"/>
      <c r="NO473" s="6"/>
      <c r="NP473" s="6"/>
      <c r="NQ473" s="6"/>
      <c r="NR473" s="6"/>
      <c r="NS473" s="6"/>
      <c r="NT473" s="6"/>
      <c r="NU473" s="6"/>
      <c r="NV473" s="6"/>
    </row>
    <row r="474" spans="1:386" s="19" customFormat="1" ht="20.100000000000001" customHeight="1" x14ac:dyDescent="0.35">
      <c r="A474" s="1"/>
      <c r="B474" s="2"/>
      <c r="C474" s="3"/>
      <c r="D474" s="2"/>
      <c r="E474" s="2"/>
      <c r="F474" s="4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9"/>
      <c r="FL474" s="9"/>
      <c r="FM474" s="9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135"/>
      <c r="IK474" s="135"/>
      <c r="IL474" s="135"/>
      <c r="IN474" s="6"/>
      <c r="IO474" s="6"/>
      <c r="IP474" s="6"/>
      <c r="IQ474" s="6"/>
      <c r="IR474" s="6"/>
      <c r="IS474" s="6"/>
      <c r="IT474" s="6"/>
      <c r="IU474" s="6"/>
      <c r="IV474" s="6"/>
      <c r="IW474" s="6"/>
      <c r="IX474" s="6"/>
      <c r="IY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JY474" s="6"/>
      <c r="JZ474" s="6"/>
      <c r="KA474" s="6"/>
      <c r="KB474" s="6"/>
      <c r="KC474" s="6"/>
      <c r="KD474" s="6"/>
      <c r="KE474" s="6"/>
      <c r="KF474" s="6"/>
      <c r="KG474" s="6"/>
      <c r="KH474" s="6"/>
      <c r="KI474" s="6"/>
      <c r="KJ474" s="6"/>
      <c r="KK474" s="6"/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6"/>
      <c r="KZ474" s="6"/>
      <c r="LA474" s="6"/>
      <c r="LB474" s="6"/>
      <c r="LC474" s="6"/>
      <c r="LD474" s="6"/>
      <c r="LE474" s="6"/>
      <c r="LF474" s="6"/>
      <c r="LG474" s="6"/>
      <c r="LH474" s="6"/>
      <c r="LI474" s="6"/>
      <c r="LJ474" s="6"/>
      <c r="LK474" s="6"/>
      <c r="LL474" s="6"/>
      <c r="LM474" s="6"/>
      <c r="LN474" s="6"/>
      <c r="LO474" s="6"/>
      <c r="LP474" s="6"/>
      <c r="LQ474" s="6"/>
      <c r="LR474" s="6"/>
      <c r="LS474" s="6"/>
      <c r="LT474" s="6"/>
      <c r="LU474" s="6"/>
      <c r="LV474" s="6"/>
      <c r="LW474" s="6"/>
      <c r="LX474" s="6"/>
      <c r="LY474" s="6"/>
      <c r="LZ474" s="6"/>
      <c r="MA474" s="6"/>
      <c r="MB474" s="6"/>
      <c r="MC474" s="6"/>
      <c r="MD474" s="6"/>
      <c r="ME474" s="6"/>
      <c r="MF474" s="6"/>
      <c r="MG474" s="6"/>
      <c r="MH474" s="6"/>
      <c r="MI474" s="6"/>
      <c r="MJ474" s="6"/>
      <c r="MK474" s="6"/>
      <c r="ML474" s="6"/>
      <c r="MM474" s="6"/>
      <c r="MN474" s="6"/>
      <c r="MO474" s="6"/>
      <c r="MP474" s="6"/>
      <c r="MQ474" s="6"/>
      <c r="MR474" s="6"/>
      <c r="MS474" s="6"/>
      <c r="MT474" s="6"/>
      <c r="MU474" s="6"/>
      <c r="MV474" s="6"/>
      <c r="MW474" s="6"/>
      <c r="MX474" s="6"/>
      <c r="MY474" s="6"/>
      <c r="MZ474" s="6"/>
      <c r="NA474" s="6"/>
      <c r="NB474" s="6"/>
      <c r="NC474" s="6"/>
      <c r="ND474" s="6"/>
      <c r="NE474" s="6"/>
      <c r="NF474" s="6"/>
      <c r="NG474" s="6"/>
      <c r="NH474" s="6"/>
      <c r="NI474" s="6"/>
      <c r="NJ474" s="6"/>
      <c r="NK474" s="6"/>
      <c r="NL474" s="6"/>
      <c r="NM474" s="6"/>
      <c r="NN474" s="6"/>
      <c r="NO474" s="6"/>
      <c r="NP474" s="6"/>
      <c r="NQ474" s="6"/>
      <c r="NR474" s="6"/>
      <c r="NS474" s="6"/>
      <c r="NT474" s="6"/>
      <c r="NU474" s="6"/>
      <c r="NV474" s="6"/>
    </row>
    <row r="475" spans="1:386" s="19" customFormat="1" ht="20.100000000000001" customHeight="1" x14ac:dyDescent="0.35">
      <c r="A475" s="1"/>
      <c r="B475" s="2"/>
      <c r="C475" s="3"/>
      <c r="D475" s="2"/>
      <c r="E475" s="2"/>
      <c r="F475" s="4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9"/>
      <c r="FL475" s="9"/>
      <c r="FM475" s="9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135"/>
      <c r="IK475" s="135"/>
      <c r="IL475" s="135"/>
      <c r="IN475" s="6"/>
      <c r="IO475" s="6"/>
      <c r="IP475" s="6"/>
      <c r="IQ475" s="6"/>
      <c r="IR475" s="6"/>
      <c r="IS475" s="6"/>
      <c r="IT475" s="6"/>
      <c r="IU475" s="6"/>
      <c r="IV475" s="6"/>
      <c r="IW475" s="6"/>
      <c r="IX475" s="6"/>
      <c r="IY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6"/>
      <c r="KZ475" s="6"/>
      <c r="LA475" s="6"/>
      <c r="LB475" s="6"/>
      <c r="LC475" s="6"/>
      <c r="LD475" s="6"/>
      <c r="LE475" s="6"/>
      <c r="LF475" s="6"/>
      <c r="LG475" s="6"/>
      <c r="LH475" s="6"/>
      <c r="LI475" s="6"/>
      <c r="LJ475" s="6"/>
      <c r="LK475" s="6"/>
      <c r="LL475" s="6"/>
      <c r="LM475" s="6"/>
      <c r="LN475" s="6"/>
      <c r="LO475" s="6"/>
      <c r="LP475" s="6"/>
      <c r="LQ475" s="6"/>
      <c r="LR475" s="6"/>
      <c r="LS475" s="6"/>
      <c r="LT475" s="6"/>
      <c r="LU475" s="6"/>
      <c r="LV475" s="6"/>
      <c r="LW475" s="6"/>
      <c r="LX475" s="6"/>
      <c r="LY475" s="6"/>
      <c r="LZ475" s="6"/>
      <c r="MA475" s="6"/>
      <c r="MB475" s="6"/>
      <c r="MC475" s="6"/>
      <c r="MD475" s="6"/>
      <c r="ME475" s="6"/>
      <c r="MF475" s="6"/>
      <c r="MG475" s="6"/>
      <c r="MH475" s="6"/>
      <c r="MI475" s="6"/>
      <c r="MJ475" s="6"/>
      <c r="MK475" s="6"/>
      <c r="ML475" s="6"/>
      <c r="MM475" s="6"/>
      <c r="MN475" s="6"/>
      <c r="MO475" s="6"/>
      <c r="MP475" s="6"/>
      <c r="MQ475" s="6"/>
      <c r="MR475" s="6"/>
      <c r="MS475" s="6"/>
      <c r="MT475" s="6"/>
      <c r="MU475" s="6"/>
      <c r="MV475" s="6"/>
      <c r="MW475" s="6"/>
      <c r="MX475" s="6"/>
      <c r="MY475" s="6"/>
      <c r="MZ475" s="6"/>
      <c r="NA475" s="6"/>
      <c r="NB475" s="6"/>
      <c r="NC475" s="6"/>
      <c r="ND475" s="6"/>
      <c r="NE475" s="6"/>
      <c r="NF475" s="6"/>
      <c r="NG475" s="6"/>
      <c r="NH475" s="6"/>
      <c r="NI475" s="6"/>
      <c r="NJ475" s="6"/>
      <c r="NK475" s="6"/>
      <c r="NL475" s="6"/>
      <c r="NM475" s="6"/>
      <c r="NN475" s="6"/>
      <c r="NO475" s="6"/>
      <c r="NP475" s="6"/>
      <c r="NQ475" s="6"/>
      <c r="NR475" s="6"/>
      <c r="NS475" s="6"/>
      <c r="NT475" s="6"/>
      <c r="NU475" s="6"/>
      <c r="NV475" s="6"/>
    </row>
    <row r="476" spans="1:386" s="19" customFormat="1" ht="20.100000000000001" customHeight="1" x14ac:dyDescent="0.35">
      <c r="A476" s="1"/>
      <c r="B476" s="2"/>
      <c r="C476" s="3"/>
      <c r="D476" s="2"/>
      <c r="E476" s="2"/>
      <c r="F476" s="4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9"/>
      <c r="FL476" s="9"/>
      <c r="FM476" s="9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135"/>
      <c r="IK476" s="135"/>
      <c r="IL476" s="135"/>
      <c r="IN476" s="6"/>
      <c r="IO476" s="6"/>
      <c r="IP476" s="6"/>
      <c r="IQ476" s="6"/>
      <c r="IR476" s="6"/>
      <c r="IS476" s="6"/>
      <c r="IT476" s="6"/>
      <c r="IU476" s="6"/>
      <c r="IV476" s="6"/>
      <c r="IW476" s="6"/>
      <c r="IX476" s="6"/>
      <c r="IY476" s="6"/>
      <c r="IZ476" s="6"/>
      <c r="JA476" s="6"/>
      <c r="JB476" s="6"/>
      <c r="JC476" s="6"/>
      <c r="JD476" s="6"/>
      <c r="JE476" s="6"/>
      <c r="JF476" s="6"/>
      <c r="JG476" s="6"/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6"/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6"/>
      <c r="KZ476" s="6"/>
      <c r="LA476" s="6"/>
      <c r="LB476" s="6"/>
      <c r="LC476" s="6"/>
      <c r="LD476" s="6"/>
      <c r="LE476" s="6"/>
      <c r="LF476" s="6"/>
      <c r="LG476" s="6"/>
      <c r="LH476" s="6"/>
      <c r="LI476" s="6"/>
      <c r="LJ476" s="6"/>
      <c r="LK476" s="6"/>
      <c r="LL476" s="6"/>
      <c r="LM476" s="6"/>
      <c r="LN476" s="6"/>
      <c r="LO476" s="6"/>
      <c r="LP476" s="6"/>
      <c r="LQ476" s="6"/>
      <c r="LR476" s="6"/>
      <c r="LS476" s="6"/>
      <c r="LT476" s="6"/>
      <c r="LU476" s="6"/>
      <c r="LV476" s="6"/>
      <c r="LW476" s="6"/>
      <c r="LX476" s="6"/>
      <c r="LY476" s="6"/>
      <c r="LZ476" s="6"/>
      <c r="MA476" s="6"/>
      <c r="MB476" s="6"/>
      <c r="MC476" s="6"/>
      <c r="MD476" s="6"/>
      <c r="ME476" s="6"/>
      <c r="MF476" s="6"/>
      <c r="MG476" s="6"/>
      <c r="MH476" s="6"/>
      <c r="MI476" s="6"/>
      <c r="MJ476" s="6"/>
      <c r="MK476" s="6"/>
      <c r="ML476" s="6"/>
      <c r="MM476" s="6"/>
      <c r="MN476" s="6"/>
      <c r="MO476" s="6"/>
      <c r="MP476" s="6"/>
      <c r="MQ476" s="6"/>
      <c r="MR476" s="6"/>
      <c r="MS476" s="6"/>
      <c r="MT476" s="6"/>
      <c r="MU476" s="6"/>
      <c r="MV476" s="6"/>
      <c r="MW476" s="6"/>
      <c r="MX476" s="6"/>
      <c r="MY476" s="6"/>
      <c r="MZ476" s="6"/>
      <c r="NA476" s="6"/>
      <c r="NB476" s="6"/>
      <c r="NC476" s="6"/>
      <c r="ND476" s="6"/>
      <c r="NE476" s="6"/>
      <c r="NF476" s="6"/>
      <c r="NG476" s="6"/>
      <c r="NH476" s="6"/>
      <c r="NI476" s="6"/>
      <c r="NJ476" s="6"/>
      <c r="NK476" s="6"/>
      <c r="NL476" s="6"/>
      <c r="NM476" s="6"/>
      <c r="NN476" s="6"/>
      <c r="NO476" s="6"/>
      <c r="NP476" s="6"/>
      <c r="NQ476" s="6"/>
      <c r="NR476" s="6"/>
      <c r="NS476" s="6"/>
      <c r="NT476" s="6"/>
      <c r="NU476" s="6"/>
      <c r="NV476" s="6"/>
    </row>
    <row r="477" spans="1:386" s="19" customFormat="1" ht="20.100000000000001" customHeight="1" x14ac:dyDescent="0.35">
      <c r="A477" s="1"/>
      <c r="B477" s="2"/>
      <c r="C477" s="3"/>
      <c r="D477" s="2"/>
      <c r="E477" s="2"/>
      <c r="F477" s="4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9"/>
      <c r="FL477" s="9"/>
      <c r="FM477" s="9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135"/>
      <c r="IK477" s="135"/>
      <c r="IL477" s="135"/>
      <c r="IN477" s="6"/>
      <c r="IO477" s="6"/>
      <c r="IP477" s="6"/>
      <c r="IQ477" s="6"/>
      <c r="IR477" s="6"/>
      <c r="IS477" s="6"/>
      <c r="IT477" s="6"/>
      <c r="IU477" s="6"/>
      <c r="IV477" s="6"/>
      <c r="IW477" s="6"/>
      <c r="IX477" s="6"/>
      <c r="IY477" s="6"/>
      <c r="IZ477" s="6"/>
      <c r="JA477" s="6"/>
      <c r="JB477" s="6"/>
      <c r="JC477" s="6"/>
      <c r="JD477" s="6"/>
      <c r="JE477" s="6"/>
      <c r="JF477" s="6"/>
      <c r="JG477" s="6"/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6"/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6"/>
      <c r="KZ477" s="6"/>
      <c r="LA477" s="6"/>
      <c r="LB477" s="6"/>
      <c r="LC477" s="6"/>
      <c r="LD477" s="6"/>
      <c r="LE477" s="6"/>
      <c r="LF477" s="6"/>
      <c r="LG477" s="6"/>
      <c r="LH477" s="6"/>
      <c r="LI477" s="6"/>
      <c r="LJ477" s="6"/>
      <c r="LK477" s="6"/>
      <c r="LL477" s="6"/>
      <c r="LM477" s="6"/>
      <c r="LN477" s="6"/>
      <c r="LO477" s="6"/>
      <c r="LP477" s="6"/>
      <c r="LQ477" s="6"/>
      <c r="LR477" s="6"/>
      <c r="LS477" s="6"/>
      <c r="LT477" s="6"/>
      <c r="LU477" s="6"/>
      <c r="LV477" s="6"/>
      <c r="LW477" s="6"/>
      <c r="LX477" s="6"/>
      <c r="LY477" s="6"/>
      <c r="LZ477" s="6"/>
      <c r="MA477" s="6"/>
      <c r="MB477" s="6"/>
      <c r="MC477" s="6"/>
      <c r="MD477" s="6"/>
      <c r="ME477" s="6"/>
      <c r="MF477" s="6"/>
      <c r="MG477" s="6"/>
      <c r="MH477" s="6"/>
      <c r="MI477" s="6"/>
      <c r="MJ477" s="6"/>
      <c r="MK477" s="6"/>
      <c r="ML477" s="6"/>
      <c r="MM477" s="6"/>
      <c r="MN477" s="6"/>
      <c r="MO477" s="6"/>
      <c r="MP477" s="6"/>
      <c r="MQ477" s="6"/>
      <c r="MR477" s="6"/>
      <c r="MS477" s="6"/>
      <c r="MT477" s="6"/>
      <c r="MU477" s="6"/>
      <c r="MV477" s="6"/>
      <c r="MW477" s="6"/>
      <c r="MX477" s="6"/>
      <c r="MY477" s="6"/>
      <c r="MZ477" s="6"/>
      <c r="NA477" s="6"/>
      <c r="NB477" s="6"/>
      <c r="NC477" s="6"/>
      <c r="ND477" s="6"/>
      <c r="NE477" s="6"/>
      <c r="NF477" s="6"/>
      <c r="NG477" s="6"/>
      <c r="NH477" s="6"/>
      <c r="NI477" s="6"/>
      <c r="NJ477" s="6"/>
      <c r="NK477" s="6"/>
      <c r="NL477" s="6"/>
      <c r="NM477" s="6"/>
      <c r="NN477" s="6"/>
      <c r="NO477" s="6"/>
      <c r="NP477" s="6"/>
      <c r="NQ477" s="6"/>
      <c r="NR477" s="6"/>
      <c r="NS477" s="6"/>
      <c r="NT477" s="6"/>
      <c r="NU477" s="6"/>
      <c r="NV477" s="6"/>
    </row>
    <row r="478" spans="1:386" s="19" customFormat="1" ht="20.100000000000001" customHeight="1" x14ac:dyDescent="0.35">
      <c r="A478" s="1"/>
      <c r="B478" s="2"/>
      <c r="C478" s="3"/>
      <c r="D478" s="2"/>
      <c r="E478" s="2"/>
      <c r="F478" s="4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9"/>
      <c r="FL478" s="9"/>
      <c r="FM478" s="9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135"/>
      <c r="IK478" s="135"/>
      <c r="IL478" s="135"/>
      <c r="IN478" s="6"/>
      <c r="IO478" s="6"/>
      <c r="IP478" s="6"/>
      <c r="IQ478" s="6"/>
      <c r="IR478" s="6"/>
      <c r="IS478" s="6"/>
      <c r="IT478" s="6"/>
      <c r="IU478" s="6"/>
      <c r="IV478" s="6"/>
      <c r="IW478" s="6"/>
      <c r="IX478" s="6"/>
      <c r="IY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6"/>
      <c r="KZ478" s="6"/>
      <c r="LA478" s="6"/>
      <c r="LB478" s="6"/>
      <c r="LC478" s="6"/>
      <c r="LD478" s="6"/>
      <c r="LE478" s="6"/>
      <c r="LF478" s="6"/>
      <c r="LG478" s="6"/>
      <c r="LH478" s="6"/>
      <c r="LI478" s="6"/>
      <c r="LJ478" s="6"/>
      <c r="LK478" s="6"/>
      <c r="LL478" s="6"/>
      <c r="LM478" s="6"/>
      <c r="LN478" s="6"/>
      <c r="LO478" s="6"/>
      <c r="LP478" s="6"/>
      <c r="LQ478" s="6"/>
      <c r="LR478" s="6"/>
      <c r="LS478" s="6"/>
      <c r="LT478" s="6"/>
      <c r="LU478" s="6"/>
      <c r="LV478" s="6"/>
      <c r="LW478" s="6"/>
      <c r="LX478" s="6"/>
      <c r="LY478" s="6"/>
      <c r="LZ478" s="6"/>
      <c r="MA478" s="6"/>
      <c r="MB478" s="6"/>
      <c r="MC478" s="6"/>
      <c r="MD478" s="6"/>
      <c r="ME478" s="6"/>
      <c r="MF478" s="6"/>
      <c r="MG478" s="6"/>
      <c r="MH478" s="6"/>
      <c r="MI478" s="6"/>
      <c r="MJ478" s="6"/>
      <c r="MK478" s="6"/>
      <c r="ML478" s="6"/>
      <c r="MM478" s="6"/>
      <c r="MN478" s="6"/>
      <c r="MO478" s="6"/>
      <c r="MP478" s="6"/>
      <c r="MQ478" s="6"/>
      <c r="MR478" s="6"/>
      <c r="MS478" s="6"/>
      <c r="MT478" s="6"/>
      <c r="MU478" s="6"/>
      <c r="MV478" s="6"/>
      <c r="MW478" s="6"/>
      <c r="MX478" s="6"/>
      <c r="MY478" s="6"/>
      <c r="MZ478" s="6"/>
      <c r="NA478" s="6"/>
      <c r="NB478" s="6"/>
      <c r="NC478" s="6"/>
      <c r="ND478" s="6"/>
      <c r="NE478" s="6"/>
      <c r="NF478" s="6"/>
      <c r="NG478" s="6"/>
      <c r="NH478" s="6"/>
      <c r="NI478" s="6"/>
      <c r="NJ478" s="6"/>
      <c r="NK478" s="6"/>
      <c r="NL478" s="6"/>
      <c r="NM478" s="6"/>
      <c r="NN478" s="6"/>
      <c r="NO478" s="6"/>
      <c r="NP478" s="6"/>
      <c r="NQ478" s="6"/>
      <c r="NR478" s="6"/>
      <c r="NS478" s="6"/>
      <c r="NT478" s="6"/>
      <c r="NU478" s="6"/>
      <c r="NV478" s="6"/>
    </row>
    <row r="479" spans="1:386" s="19" customFormat="1" ht="20.100000000000001" customHeight="1" x14ac:dyDescent="0.35">
      <c r="A479" s="1"/>
      <c r="B479" s="2"/>
      <c r="C479" s="3"/>
      <c r="D479" s="2"/>
      <c r="E479" s="2"/>
      <c r="F479" s="4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9"/>
      <c r="FL479" s="9"/>
      <c r="FM479" s="9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135"/>
      <c r="IK479" s="135"/>
      <c r="IL479" s="135"/>
      <c r="IN479" s="6"/>
      <c r="IO479" s="6"/>
      <c r="IP479" s="6"/>
      <c r="IQ479" s="6"/>
      <c r="IR479" s="6"/>
      <c r="IS479" s="6"/>
      <c r="IT479" s="6"/>
      <c r="IU479" s="6"/>
      <c r="IV479" s="6"/>
      <c r="IW479" s="6"/>
      <c r="IX479" s="6"/>
      <c r="IY479" s="6"/>
      <c r="IZ479" s="6"/>
      <c r="JA479" s="6"/>
      <c r="JB479" s="6"/>
      <c r="JC479" s="6"/>
      <c r="JD479" s="6"/>
      <c r="JE479" s="6"/>
      <c r="JF479" s="6"/>
      <c r="JG479" s="6"/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6"/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6"/>
      <c r="KZ479" s="6"/>
      <c r="LA479" s="6"/>
      <c r="LB479" s="6"/>
      <c r="LC479" s="6"/>
      <c r="LD479" s="6"/>
      <c r="LE479" s="6"/>
      <c r="LF479" s="6"/>
      <c r="LG479" s="6"/>
      <c r="LH479" s="6"/>
      <c r="LI479" s="6"/>
      <c r="LJ479" s="6"/>
      <c r="LK479" s="6"/>
      <c r="LL479" s="6"/>
      <c r="LM479" s="6"/>
      <c r="LN479" s="6"/>
      <c r="LO479" s="6"/>
      <c r="LP479" s="6"/>
      <c r="LQ479" s="6"/>
      <c r="LR479" s="6"/>
      <c r="LS479" s="6"/>
      <c r="LT479" s="6"/>
      <c r="LU479" s="6"/>
      <c r="LV479" s="6"/>
      <c r="LW479" s="6"/>
      <c r="LX479" s="6"/>
      <c r="LY479" s="6"/>
      <c r="LZ479" s="6"/>
      <c r="MA479" s="6"/>
      <c r="MB479" s="6"/>
      <c r="MC479" s="6"/>
      <c r="MD479" s="6"/>
      <c r="ME479" s="6"/>
      <c r="MF479" s="6"/>
      <c r="MG479" s="6"/>
      <c r="MH479" s="6"/>
      <c r="MI479" s="6"/>
      <c r="MJ479" s="6"/>
      <c r="MK479" s="6"/>
      <c r="ML479" s="6"/>
      <c r="MM479" s="6"/>
      <c r="MN479" s="6"/>
      <c r="MO479" s="6"/>
      <c r="MP479" s="6"/>
      <c r="MQ479" s="6"/>
      <c r="MR479" s="6"/>
      <c r="MS479" s="6"/>
      <c r="MT479" s="6"/>
      <c r="MU479" s="6"/>
      <c r="MV479" s="6"/>
      <c r="MW479" s="6"/>
      <c r="MX479" s="6"/>
      <c r="MY479" s="6"/>
      <c r="MZ479" s="6"/>
      <c r="NA479" s="6"/>
      <c r="NB479" s="6"/>
      <c r="NC479" s="6"/>
      <c r="ND479" s="6"/>
      <c r="NE479" s="6"/>
      <c r="NF479" s="6"/>
      <c r="NG479" s="6"/>
      <c r="NH479" s="6"/>
      <c r="NI479" s="6"/>
      <c r="NJ479" s="6"/>
      <c r="NK479" s="6"/>
      <c r="NL479" s="6"/>
      <c r="NM479" s="6"/>
      <c r="NN479" s="6"/>
      <c r="NO479" s="6"/>
      <c r="NP479" s="6"/>
      <c r="NQ479" s="6"/>
      <c r="NR479" s="6"/>
      <c r="NS479" s="6"/>
      <c r="NT479" s="6"/>
      <c r="NU479" s="6"/>
      <c r="NV479" s="6"/>
    </row>
    <row r="480" spans="1:386" s="19" customFormat="1" ht="20.100000000000001" customHeight="1" x14ac:dyDescent="0.35">
      <c r="A480" s="1"/>
      <c r="B480" s="2"/>
      <c r="C480" s="3"/>
      <c r="D480" s="2"/>
      <c r="E480" s="2"/>
      <c r="F480" s="4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9"/>
      <c r="FL480" s="9"/>
      <c r="FM480" s="9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135"/>
      <c r="IK480" s="135"/>
      <c r="IL480" s="135"/>
      <c r="IN480" s="6"/>
      <c r="IO480" s="6"/>
      <c r="IP480" s="6"/>
      <c r="IQ480" s="6"/>
      <c r="IR480" s="6"/>
      <c r="IS480" s="6"/>
      <c r="IT480" s="6"/>
      <c r="IU480" s="6"/>
      <c r="IV480" s="6"/>
      <c r="IW480" s="6"/>
      <c r="IX480" s="6"/>
      <c r="IY480" s="6"/>
      <c r="IZ480" s="6"/>
      <c r="JA480" s="6"/>
      <c r="JB480" s="6"/>
      <c r="JC480" s="6"/>
      <c r="JD480" s="6"/>
      <c r="JE480" s="6"/>
      <c r="JF480" s="6"/>
      <c r="JG480" s="6"/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6"/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6"/>
      <c r="KZ480" s="6"/>
      <c r="LA480" s="6"/>
      <c r="LB480" s="6"/>
      <c r="LC480" s="6"/>
      <c r="LD480" s="6"/>
      <c r="LE480" s="6"/>
      <c r="LF480" s="6"/>
      <c r="LG480" s="6"/>
      <c r="LH480" s="6"/>
      <c r="LI480" s="6"/>
      <c r="LJ480" s="6"/>
      <c r="LK480" s="6"/>
      <c r="LL480" s="6"/>
      <c r="LM480" s="6"/>
      <c r="LN480" s="6"/>
      <c r="LO480" s="6"/>
      <c r="LP480" s="6"/>
      <c r="LQ480" s="6"/>
      <c r="LR480" s="6"/>
      <c r="LS480" s="6"/>
      <c r="LT480" s="6"/>
      <c r="LU480" s="6"/>
      <c r="LV480" s="6"/>
      <c r="LW480" s="6"/>
      <c r="LX480" s="6"/>
      <c r="LY480" s="6"/>
      <c r="LZ480" s="6"/>
      <c r="MA480" s="6"/>
      <c r="MB480" s="6"/>
      <c r="MC480" s="6"/>
      <c r="MD480" s="6"/>
      <c r="ME480" s="6"/>
      <c r="MF480" s="6"/>
      <c r="MG480" s="6"/>
      <c r="MH480" s="6"/>
      <c r="MI480" s="6"/>
      <c r="MJ480" s="6"/>
      <c r="MK480" s="6"/>
      <c r="ML480" s="6"/>
      <c r="MM480" s="6"/>
      <c r="MN480" s="6"/>
      <c r="MO480" s="6"/>
      <c r="MP480" s="6"/>
      <c r="MQ480" s="6"/>
      <c r="MR480" s="6"/>
      <c r="MS480" s="6"/>
      <c r="MT480" s="6"/>
      <c r="MU480" s="6"/>
      <c r="MV480" s="6"/>
      <c r="MW480" s="6"/>
      <c r="MX480" s="6"/>
      <c r="MY480" s="6"/>
      <c r="MZ480" s="6"/>
      <c r="NA480" s="6"/>
      <c r="NB480" s="6"/>
      <c r="NC480" s="6"/>
      <c r="ND480" s="6"/>
      <c r="NE480" s="6"/>
      <c r="NF480" s="6"/>
      <c r="NG480" s="6"/>
      <c r="NH480" s="6"/>
      <c r="NI480" s="6"/>
      <c r="NJ480" s="6"/>
      <c r="NK480" s="6"/>
      <c r="NL480" s="6"/>
      <c r="NM480" s="6"/>
      <c r="NN480" s="6"/>
      <c r="NO480" s="6"/>
      <c r="NP480" s="6"/>
      <c r="NQ480" s="6"/>
      <c r="NR480" s="6"/>
      <c r="NS480" s="6"/>
      <c r="NT480" s="6"/>
      <c r="NU480" s="6"/>
      <c r="NV480" s="6"/>
    </row>
    <row r="481" spans="1:386" s="19" customFormat="1" ht="20.100000000000001" customHeight="1" x14ac:dyDescent="0.35">
      <c r="A481" s="1"/>
      <c r="B481" s="2"/>
      <c r="C481" s="3"/>
      <c r="D481" s="2"/>
      <c r="E481" s="2"/>
      <c r="F481" s="4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9"/>
      <c r="FL481" s="9"/>
      <c r="FM481" s="9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135"/>
      <c r="IK481" s="135"/>
      <c r="IL481" s="135"/>
      <c r="IN481" s="6"/>
      <c r="IO481" s="6"/>
      <c r="IP481" s="6"/>
      <c r="IQ481" s="6"/>
      <c r="IR481" s="6"/>
      <c r="IS481" s="6"/>
      <c r="IT481" s="6"/>
      <c r="IU481" s="6"/>
      <c r="IV481" s="6"/>
      <c r="IW481" s="6"/>
      <c r="IX481" s="6"/>
      <c r="IY481" s="6"/>
      <c r="IZ481" s="6"/>
      <c r="JA481" s="6"/>
      <c r="JB481" s="6"/>
      <c r="JC481" s="6"/>
      <c r="JD481" s="6"/>
      <c r="JE481" s="6"/>
      <c r="JF481" s="6"/>
      <c r="JG481" s="6"/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6"/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6"/>
      <c r="KZ481" s="6"/>
      <c r="LA481" s="6"/>
      <c r="LB481" s="6"/>
      <c r="LC481" s="6"/>
      <c r="LD481" s="6"/>
      <c r="LE481" s="6"/>
      <c r="LF481" s="6"/>
      <c r="LG481" s="6"/>
      <c r="LH481" s="6"/>
      <c r="LI481" s="6"/>
      <c r="LJ481" s="6"/>
      <c r="LK481" s="6"/>
      <c r="LL481" s="6"/>
      <c r="LM481" s="6"/>
      <c r="LN481" s="6"/>
      <c r="LO481" s="6"/>
      <c r="LP481" s="6"/>
      <c r="LQ481" s="6"/>
      <c r="LR481" s="6"/>
      <c r="LS481" s="6"/>
      <c r="LT481" s="6"/>
      <c r="LU481" s="6"/>
      <c r="LV481" s="6"/>
      <c r="LW481" s="6"/>
      <c r="LX481" s="6"/>
      <c r="LY481" s="6"/>
      <c r="LZ481" s="6"/>
      <c r="MA481" s="6"/>
      <c r="MB481" s="6"/>
      <c r="MC481" s="6"/>
      <c r="MD481" s="6"/>
      <c r="ME481" s="6"/>
      <c r="MF481" s="6"/>
      <c r="MG481" s="6"/>
      <c r="MH481" s="6"/>
      <c r="MI481" s="6"/>
      <c r="MJ481" s="6"/>
      <c r="MK481" s="6"/>
      <c r="ML481" s="6"/>
      <c r="MM481" s="6"/>
      <c r="MN481" s="6"/>
      <c r="MO481" s="6"/>
      <c r="MP481" s="6"/>
      <c r="MQ481" s="6"/>
      <c r="MR481" s="6"/>
      <c r="MS481" s="6"/>
      <c r="MT481" s="6"/>
      <c r="MU481" s="6"/>
      <c r="MV481" s="6"/>
      <c r="MW481" s="6"/>
      <c r="MX481" s="6"/>
      <c r="MY481" s="6"/>
      <c r="MZ481" s="6"/>
      <c r="NA481" s="6"/>
      <c r="NB481" s="6"/>
      <c r="NC481" s="6"/>
      <c r="ND481" s="6"/>
      <c r="NE481" s="6"/>
      <c r="NF481" s="6"/>
      <c r="NG481" s="6"/>
      <c r="NH481" s="6"/>
      <c r="NI481" s="6"/>
      <c r="NJ481" s="6"/>
      <c r="NK481" s="6"/>
      <c r="NL481" s="6"/>
      <c r="NM481" s="6"/>
      <c r="NN481" s="6"/>
      <c r="NO481" s="6"/>
      <c r="NP481" s="6"/>
      <c r="NQ481" s="6"/>
      <c r="NR481" s="6"/>
      <c r="NS481" s="6"/>
      <c r="NT481" s="6"/>
      <c r="NU481" s="6"/>
      <c r="NV481" s="6"/>
    </row>
    <row r="482" spans="1:386" s="19" customFormat="1" ht="20.100000000000001" customHeight="1" x14ac:dyDescent="0.35">
      <c r="A482" s="1"/>
      <c r="B482" s="2"/>
      <c r="C482" s="3"/>
      <c r="D482" s="2"/>
      <c r="E482" s="2"/>
      <c r="F482" s="4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9"/>
      <c r="FL482" s="9"/>
      <c r="FM482" s="9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135"/>
      <c r="IK482" s="135"/>
      <c r="IL482" s="135"/>
      <c r="IN482" s="6"/>
      <c r="IO482" s="6"/>
      <c r="IP482" s="6"/>
      <c r="IQ482" s="6"/>
      <c r="IR482" s="6"/>
      <c r="IS482" s="6"/>
      <c r="IT482" s="6"/>
      <c r="IU482" s="6"/>
      <c r="IV482" s="6"/>
      <c r="IW482" s="6"/>
      <c r="IX482" s="6"/>
      <c r="IY482" s="6"/>
      <c r="IZ482" s="6"/>
      <c r="JA482" s="6"/>
      <c r="JB482" s="6"/>
      <c r="JC482" s="6"/>
      <c r="JD482" s="6"/>
      <c r="JE482" s="6"/>
      <c r="JF482" s="6"/>
      <c r="JG482" s="6"/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6"/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6"/>
      <c r="KZ482" s="6"/>
      <c r="LA482" s="6"/>
      <c r="LB482" s="6"/>
      <c r="LC482" s="6"/>
      <c r="LD482" s="6"/>
      <c r="LE482" s="6"/>
      <c r="LF482" s="6"/>
      <c r="LG482" s="6"/>
      <c r="LH482" s="6"/>
      <c r="LI482" s="6"/>
      <c r="LJ482" s="6"/>
      <c r="LK482" s="6"/>
      <c r="LL482" s="6"/>
      <c r="LM482" s="6"/>
      <c r="LN482" s="6"/>
      <c r="LO482" s="6"/>
      <c r="LP482" s="6"/>
      <c r="LQ482" s="6"/>
      <c r="LR482" s="6"/>
      <c r="LS482" s="6"/>
      <c r="LT482" s="6"/>
      <c r="LU482" s="6"/>
      <c r="LV482" s="6"/>
      <c r="LW482" s="6"/>
      <c r="LX482" s="6"/>
      <c r="LY482" s="6"/>
      <c r="LZ482" s="6"/>
      <c r="MA482" s="6"/>
      <c r="MB482" s="6"/>
      <c r="MC482" s="6"/>
      <c r="MD482" s="6"/>
      <c r="ME482" s="6"/>
      <c r="MF482" s="6"/>
      <c r="MG482" s="6"/>
      <c r="MH482" s="6"/>
      <c r="MI482" s="6"/>
      <c r="MJ482" s="6"/>
      <c r="MK482" s="6"/>
      <c r="ML482" s="6"/>
      <c r="MM482" s="6"/>
      <c r="MN482" s="6"/>
      <c r="MO482" s="6"/>
      <c r="MP482" s="6"/>
      <c r="MQ482" s="6"/>
      <c r="MR482" s="6"/>
      <c r="MS482" s="6"/>
      <c r="MT482" s="6"/>
      <c r="MU482" s="6"/>
      <c r="MV482" s="6"/>
      <c r="MW482" s="6"/>
      <c r="MX482" s="6"/>
      <c r="MY482" s="6"/>
      <c r="MZ482" s="6"/>
      <c r="NA482" s="6"/>
      <c r="NB482" s="6"/>
      <c r="NC482" s="6"/>
      <c r="ND482" s="6"/>
      <c r="NE482" s="6"/>
      <c r="NF482" s="6"/>
      <c r="NG482" s="6"/>
      <c r="NH482" s="6"/>
      <c r="NI482" s="6"/>
      <c r="NJ482" s="6"/>
      <c r="NK482" s="6"/>
      <c r="NL482" s="6"/>
      <c r="NM482" s="6"/>
      <c r="NN482" s="6"/>
      <c r="NO482" s="6"/>
      <c r="NP482" s="6"/>
      <c r="NQ482" s="6"/>
      <c r="NR482" s="6"/>
      <c r="NS482" s="6"/>
      <c r="NT482" s="6"/>
      <c r="NU482" s="6"/>
      <c r="NV482" s="6"/>
    </row>
    <row r="483" spans="1:386" s="19" customFormat="1" ht="20.100000000000001" customHeight="1" x14ac:dyDescent="0.35">
      <c r="A483" s="1"/>
      <c r="B483" s="2"/>
      <c r="C483" s="3"/>
      <c r="D483" s="2"/>
      <c r="E483" s="2"/>
      <c r="F483" s="4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9"/>
      <c r="FL483" s="9"/>
      <c r="FM483" s="9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135"/>
      <c r="IK483" s="135"/>
      <c r="IL483" s="135"/>
      <c r="IN483" s="6"/>
      <c r="IO483" s="6"/>
      <c r="IP483" s="6"/>
      <c r="IQ483" s="6"/>
      <c r="IR483" s="6"/>
      <c r="IS483" s="6"/>
      <c r="IT483" s="6"/>
      <c r="IU483" s="6"/>
      <c r="IV483" s="6"/>
      <c r="IW483" s="6"/>
      <c r="IX483" s="6"/>
      <c r="IY483" s="6"/>
      <c r="IZ483" s="6"/>
      <c r="JA483" s="6"/>
      <c r="JB483" s="6"/>
      <c r="JC483" s="6"/>
      <c r="JD483" s="6"/>
      <c r="JE483" s="6"/>
      <c r="JF483" s="6"/>
      <c r="JG483" s="6"/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6"/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6"/>
      <c r="KZ483" s="6"/>
      <c r="LA483" s="6"/>
      <c r="LB483" s="6"/>
      <c r="LC483" s="6"/>
      <c r="LD483" s="6"/>
      <c r="LE483" s="6"/>
      <c r="LF483" s="6"/>
      <c r="LG483" s="6"/>
      <c r="LH483" s="6"/>
      <c r="LI483" s="6"/>
      <c r="LJ483" s="6"/>
      <c r="LK483" s="6"/>
      <c r="LL483" s="6"/>
      <c r="LM483" s="6"/>
      <c r="LN483" s="6"/>
      <c r="LO483" s="6"/>
      <c r="LP483" s="6"/>
      <c r="LQ483" s="6"/>
      <c r="LR483" s="6"/>
      <c r="LS483" s="6"/>
      <c r="LT483" s="6"/>
      <c r="LU483" s="6"/>
      <c r="LV483" s="6"/>
      <c r="LW483" s="6"/>
      <c r="LX483" s="6"/>
      <c r="LY483" s="6"/>
      <c r="LZ483" s="6"/>
      <c r="MA483" s="6"/>
      <c r="MB483" s="6"/>
      <c r="MC483" s="6"/>
      <c r="MD483" s="6"/>
      <c r="ME483" s="6"/>
      <c r="MF483" s="6"/>
      <c r="MG483" s="6"/>
      <c r="MH483" s="6"/>
      <c r="MI483" s="6"/>
      <c r="MJ483" s="6"/>
      <c r="MK483" s="6"/>
      <c r="ML483" s="6"/>
      <c r="MM483" s="6"/>
      <c r="MN483" s="6"/>
      <c r="MO483" s="6"/>
      <c r="MP483" s="6"/>
      <c r="MQ483" s="6"/>
      <c r="MR483" s="6"/>
      <c r="MS483" s="6"/>
      <c r="MT483" s="6"/>
      <c r="MU483" s="6"/>
      <c r="MV483" s="6"/>
      <c r="MW483" s="6"/>
      <c r="MX483" s="6"/>
      <c r="MY483" s="6"/>
      <c r="MZ483" s="6"/>
      <c r="NA483" s="6"/>
      <c r="NB483" s="6"/>
      <c r="NC483" s="6"/>
      <c r="ND483" s="6"/>
      <c r="NE483" s="6"/>
      <c r="NF483" s="6"/>
      <c r="NG483" s="6"/>
      <c r="NH483" s="6"/>
      <c r="NI483" s="6"/>
      <c r="NJ483" s="6"/>
      <c r="NK483" s="6"/>
      <c r="NL483" s="6"/>
      <c r="NM483" s="6"/>
      <c r="NN483" s="6"/>
      <c r="NO483" s="6"/>
      <c r="NP483" s="6"/>
      <c r="NQ483" s="6"/>
      <c r="NR483" s="6"/>
      <c r="NS483" s="6"/>
      <c r="NT483" s="6"/>
      <c r="NU483" s="6"/>
      <c r="NV483" s="6"/>
    </row>
    <row r="484" spans="1:386" s="19" customFormat="1" ht="20.100000000000001" customHeight="1" x14ac:dyDescent="0.35">
      <c r="A484" s="1"/>
      <c r="B484" s="2"/>
      <c r="C484" s="3"/>
      <c r="D484" s="2"/>
      <c r="E484" s="2"/>
      <c r="F484" s="4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9"/>
      <c r="FL484" s="9"/>
      <c r="FM484" s="9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135"/>
      <c r="IK484" s="135"/>
      <c r="IL484" s="135"/>
      <c r="IN484" s="6"/>
      <c r="IO484" s="6"/>
      <c r="IP484" s="6"/>
      <c r="IQ484" s="6"/>
      <c r="IR484" s="6"/>
      <c r="IS484" s="6"/>
      <c r="IT484" s="6"/>
      <c r="IU484" s="6"/>
      <c r="IV484" s="6"/>
      <c r="IW484" s="6"/>
      <c r="IX484" s="6"/>
      <c r="IY484" s="6"/>
      <c r="IZ484" s="6"/>
      <c r="JA484" s="6"/>
      <c r="JB484" s="6"/>
      <c r="JC484" s="6"/>
      <c r="JD484" s="6"/>
      <c r="JE484" s="6"/>
      <c r="JF484" s="6"/>
      <c r="JG484" s="6"/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6"/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6"/>
      <c r="KZ484" s="6"/>
      <c r="LA484" s="6"/>
      <c r="LB484" s="6"/>
      <c r="LC484" s="6"/>
      <c r="LD484" s="6"/>
      <c r="LE484" s="6"/>
      <c r="LF484" s="6"/>
      <c r="LG484" s="6"/>
      <c r="LH484" s="6"/>
      <c r="LI484" s="6"/>
      <c r="LJ484" s="6"/>
      <c r="LK484" s="6"/>
      <c r="LL484" s="6"/>
      <c r="LM484" s="6"/>
      <c r="LN484" s="6"/>
      <c r="LO484" s="6"/>
      <c r="LP484" s="6"/>
      <c r="LQ484" s="6"/>
      <c r="LR484" s="6"/>
      <c r="LS484" s="6"/>
      <c r="LT484" s="6"/>
      <c r="LU484" s="6"/>
      <c r="LV484" s="6"/>
      <c r="LW484" s="6"/>
      <c r="LX484" s="6"/>
      <c r="LY484" s="6"/>
      <c r="LZ484" s="6"/>
      <c r="MA484" s="6"/>
      <c r="MB484" s="6"/>
      <c r="MC484" s="6"/>
      <c r="MD484" s="6"/>
      <c r="ME484" s="6"/>
      <c r="MF484" s="6"/>
      <c r="MG484" s="6"/>
      <c r="MH484" s="6"/>
      <c r="MI484" s="6"/>
      <c r="MJ484" s="6"/>
      <c r="MK484" s="6"/>
      <c r="ML484" s="6"/>
      <c r="MM484" s="6"/>
      <c r="MN484" s="6"/>
      <c r="MO484" s="6"/>
      <c r="MP484" s="6"/>
      <c r="MQ484" s="6"/>
      <c r="MR484" s="6"/>
      <c r="MS484" s="6"/>
      <c r="MT484" s="6"/>
      <c r="MU484" s="6"/>
      <c r="MV484" s="6"/>
      <c r="MW484" s="6"/>
      <c r="MX484" s="6"/>
      <c r="MY484" s="6"/>
      <c r="MZ484" s="6"/>
      <c r="NA484" s="6"/>
      <c r="NB484" s="6"/>
      <c r="NC484" s="6"/>
      <c r="ND484" s="6"/>
      <c r="NE484" s="6"/>
      <c r="NF484" s="6"/>
      <c r="NG484" s="6"/>
      <c r="NH484" s="6"/>
      <c r="NI484" s="6"/>
      <c r="NJ484" s="6"/>
      <c r="NK484" s="6"/>
      <c r="NL484" s="6"/>
      <c r="NM484" s="6"/>
      <c r="NN484" s="6"/>
      <c r="NO484" s="6"/>
      <c r="NP484" s="6"/>
      <c r="NQ484" s="6"/>
      <c r="NR484" s="6"/>
      <c r="NS484" s="6"/>
      <c r="NT484" s="6"/>
      <c r="NU484" s="6"/>
      <c r="NV484" s="6"/>
    </row>
    <row r="485" spans="1:386" s="19" customFormat="1" ht="20.100000000000001" customHeight="1" x14ac:dyDescent="0.35">
      <c r="A485" s="1"/>
      <c r="B485" s="2"/>
      <c r="C485" s="3"/>
      <c r="D485" s="2"/>
      <c r="E485" s="2"/>
      <c r="F485" s="4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9"/>
      <c r="FL485" s="9"/>
      <c r="FM485" s="9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135"/>
      <c r="IK485" s="135"/>
      <c r="IL485" s="135"/>
      <c r="IN485" s="6"/>
      <c r="IO485" s="6"/>
      <c r="IP485" s="6"/>
      <c r="IQ485" s="6"/>
      <c r="IR485" s="6"/>
      <c r="IS485" s="6"/>
      <c r="IT485" s="6"/>
      <c r="IU485" s="6"/>
      <c r="IV485" s="6"/>
      <c r="IW485" s="6"/>
      <c r="IX485" s="6"/>
      <c r="IY485" s="6"/>
      <c r="IZ485" s="6"/>
      <c r="JA485" s="6"/>
      <c r="JB485" s="6"/>
      <c r="JC485" s="6"/>
      <c r="JD485" s="6"/>
      <c r="JE485" s="6"/>
      <c r="JF485" s="6"/>
      <c r="JG485" s="6"/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6"/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6"/>
      <c r="KZ485" s="6"/>
      <c r="LA485" s="6"/>
      <c r="LB485" s="6"/>
      <c r="LC485" s="6"/>
      <c r="LD485" s="6"/>
      <c r="LE485" s="6"/>
      <c r="LF485" s="6"/>
      <c r="LG485" s="6"/>
      <c r="LH485" s="6"/>
      <c r="LI485" s="6"/>
      <c r="LJ485" s="6"/>
      <c r="LK485" s="6"/>
      <c r="LL485" s="6"/>
      <c r="LM485" s="6"/>
      <c r="LN485" s="6"/>
      <c r="LO485" s="6"/>
      <c r="LP485" s="6"/>
      <c r="LQ485" s="6"/>
      <c r="LR485" s="6"/>
      <c r="LS485" s="6"/>
      <c r="LT485" s="6"/>
      <c r="LU485" s="6"/>
      <c r="LV485" s="6"/>
      <c r="LW485" s="6"/>
      <c r="LX485" s="6"/>
      <c r="LY485" s="6"/>
      <c r="LZ485" s="6"/>
      <c r="MA485" s="6"/>
      <c r="MB485" s="6"/>
      <c r="MC485" s="6"/>
      <c r="MD485" s="6"/>
      <c r="ME485" s="6"/>
      <c r="MF485" s="6"/>
      <c r="MG485" s="6"/>
      <c r="MH485" s="6"/>
      <c r="MI485" s="6"/>
      <c r="MJ485" s="6"/>
      <c r="MK485" s="6"/>
      <c r="ML485" s="6"/>
      <c r="MM485" s="6"/>
      <c r="MN485" s="6"/>
      <c r="MO485" s="6"/>
      <c r="MP485" s="6"/>
      <c r="MQ485" s="6"/>
      <c r="MR485" s="6"/>
      <c r="MS485" s="6"/>
      <c r="MT485" s="6"/>
      <c r="MU485" s="6"/>
      <c r="MV485" s="6"/>
      <c r="MW485" s="6"/>
      <c r="MX485" s="6"/>
      <c r="MY485" s="6"/>
      <c r="MZ485" s="6"/>
      <c r="NA485" s="6"/>
      <c r="NB485" s="6"/>
      <c r="NC485" s="6"/>
      <c r="ND485" s="6"/>
      <c r="NE485" s="6"/>
      <c r="NF485" s="6"/>
      <c r="NG485" s="6"/>
      <c r="NH485" s="6"/>
      <c r="NI485" s="6"/>
      <c r="NJ485" s="6"/>
      <c r="NK485" s="6"/>
      <c r="NL485" s="6"/>
      <c r="NM485" s="6"/>
      <c r="NN485" s="6"/>
      <c r="NO485" s="6"/>
      <c r="NP485" s="6"/>
      <c r="NQ485" s="6"/>
      <c r="NR485" s="6"/>
      <c r="NS485" s="6"/>
      <c r="NT485" s="6"/>
      <c r="NU485" s="6"/>
      <c r="NV485" s="6"/>
    </row>
    <row r="486" spans="1:386" s="19" customFormat="1" ht="20.100000000000001" customHeight="1" x14ac:dyDescent="0.35">
      <c r="A486" s="1"/>
      <c r="B486" s="2"/>
      <c r="C486" s="3"/>
      <c r="D486" s="2"/>
      <c r="E486" s="2"/>
      <c r="F486" s="4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9"/>
      <c r="FL486" s="9"/>
      <c r="FM486" s="9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135"/>
      <c r="IK486" s="135"/>
      <c r="IL486" s="135"/>
      <c r="IN486" s="6"/>
      <c r="IO486" s="6"/>
      <c r="IP486" s="6"/>
      <c r="IQ486" s="6"/>
      <c r="IR486" s="6"/>
      <c r="IS486" s="6"/>
      <c r="IT486" s="6"/>
      <c r="IU486" s="6"/>
      <c r="IV486" s="6"/>
      <c r="IW486" s="6"/>
      <c r="IX486" s="6"/>
      <c r="IY486" s="6"/>
      <c r="IZ486" s="6"/>
      <c r="JA486" s="6"/>
      <c r="JB486" s="6"/>
      <c r="JC486" s="6"/>
      <c r="JD486" s="6"/>
      <c r="JE486" s="6"/>
      <c r="JF486" s="6"/>
      <c r="JG486" s="6"/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6"/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6"/>
      <c r="KZ486" s="6"/>
      <c r="LA486" s="6"/>
      <c r="LB486" s="6"/>
      <c r="LC486" s="6"/>
      <c r="LD486" s="6"/>
      <c r="LE486" s="6"/>
      <c r="LF486" s="6"/>
      <c r="LG486" s="6"/>
      <c r="LH486" s="6"/>
      <c r="LI486" s="6"/>
      <c r="LJ486" s="6"/>
      <c r="LK486" s="6"/>
      <c r="LL486" s="6"/>
      <c r="LM486" s="6"/>
      <c r="LN486" s="6"/>
      <c r="LO486" s="6"/>
      <c r="LP486" s="6"/>
      <c r="LQ486" s="6"/>
      <c r="LR486" s="6"/>
      <c r="LS486" s="6"/>
      <c r="LT486" s="6"/>
      <c r="LU486" s="6"/>
      <c r="LV486" s="6"/>
      <c r="LW486" s="6"/>
      <c r="LX486" s="6"/>
      <c r="LY486" s="6"/>
      <c r="LZ486" s="6"/>
      <c r="MA486" s="6"/>
      <c r="MB486" s="6"/>
      <c r="MC486" s="6"/>
      <c r="MD486" s="6"/>
      <c r="ME486" s="6"/>
      <c r="MF486" s="6"/>
      <c r="MG486" s="6"/>
      <c r="MH486" s="6"/>
      <c r="MI486" s="6"/>
      <c r="MJ486" s="6"/>
      <c r="MK486" s="6"/>
      <c r="ML486" s="6"/>
      <c r="MM486" s="6"/>
      <c r="MN486" s="6"/>
      <c r="MO486" s="6"/>
      <c r="MP486" s="6"/>
      <c r="MQ486" s="6"/>
      <c r="MR486" s="6"/>
      <c r="MS486" s="6"/>
      <c r="MT486" s="6"/>
      <c r="MU486" s="6"/>
      <c r="MV486" s="6"/>
      <c r="MW486" s="6"/>
      <c r="MX486" s="6"/>
      <c r="MY486" s="6"/>
      <c r="MZ486" s="6"/>
      <c r="NA486" s="6"/>
      <c r="NB486" s="6"/>
      <c r="NC486" s="6"/>
      <c r="ND486" s="6"/>
      <c r="NE486" s="6"/>
      <c r="NF486" s="6"/>
      <c r="NG486" s="6"/>
      <c r="NH486" s="6"/>
      <c r="NI486" s="6"/>
      <c r="NJ486" s="6"/>
      <c r="NK486" s="6"/>
      <c r="NL486" s="6"/>
      <c r="NM486" s="6"/>
      <c r="NN486" s="6"/>
      <c r="NO486" s="6"/>
      <c r="NP486" s="6"/>
      <c r="NQ486" s="6"/>
      <c r="NR486" s="6"/>
      <c r="NS486" s="6"/>
      <c r="NT486" s="6"/>
      <c r="NU486" s="6"/>
      <c r="NV486" s="6"/>
    </row>
    <row r="487" spans="1:386" s="19" customFormat="1" ht="20.100000000000001" customHeight="1" x14ac:dyDescent="0.35">
      <c r="A487" s="1"/>
      <c r="B487" s="2"/>
      <c r="C487" s="3"/>
      <c r="D487" s="2"/>
      <c r="E487" s="2"/>
      <c r="F487" s="4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9"/>
      <c r="FL487" s="9"/>
      <c r="FM487" s="9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135"/>
      <c r="IK487" s="135"/>
      <c r="IL487" s="135"/>
      <c r="IN487" s="6"/>
      <c r="IO487" s="6"/>
      <c r="IP487" s="6"/>
      <c r="IQ487" s="6"/>
      <c r="IR487" s="6"/>
      <c r="IS487" s="6"/>
      <c r="IT487" s="6"/>
      <c r="IU487" s="6"/>
      <c r="IV487" s="6"/>
      <c r="IW487" s="6"/>
      <c r="IX487" s="6"/>
      <c r="IY487" s="6"/>
      <c r="IZ487" s="6"/>
      <c r="JA487" s="6"/>
      <c r="JB487" s="6"/>
      <c r="JC487" s="6"/>
      <c r="JD487" s="6"/>
      <c r="JE487" s="6"/>
      <c r="JF487" s="6"/>
      <c r="JG487" s="6"/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6"/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6"/>
      <c r="LB487" s="6"/>
      <c r="LC487" s="6"/>
      <c r="LD487" s="6"/>
      <c r="LE487" s="6"/>
      <c r="LF487" s="6"/>
      <c r="LG487" s="6"/>
      <c r="LH487" s="6"/>
      <c r="LI487" s="6"/>
      <c r="LJ487" s="6"/>
      <c r="LK487" s="6"/>
      <c r="LL487" s="6"/>
      <c r="LM487" s="6"/>
      <c r="LN487" s="6"/>
      <c r="LO487" s="6"/>
      <c r="LP487" s="6"/>
      <c r="LQ487" s="6"/>
      <c r="LR487" s="6"/>
      <c r="LS487" s="6"/>
      <c r="LT487" s="6"/>
      <c r="LU487" s="6"/>
      <c r="LV487" s="6"/>
      <c r="LW487" s="6"/>
      <c r="LX487" s="6"/>
      <c r="LY487" s="6"/>
      <c r="LZ487" s="6"/>
      <c r="MA487" s="6"/>
      <c r="MB487" s="6"/>
      <c r="MC487" s="6"/>
      <c r="MD487" s="6"/>
      <c r="ME487" s="6"/>
      <c r="MF487" s="6"/>
      <c r="MG487" s="6"/>
      <c r="MH487" s="6"/>
      <c r="MI487" s="6"/>
      <c r="MJ487" s="6"/>
      <c r="MK487" s="6"/>
      <c r="ML487" s="6"/>
      <c r="MM487" s="6"/>
      <c r="MN487" s="6"/>
      <c r="MO487" s="6"/>
      <c r="MP487" s="6"/>
      <c r="MQ487" s="6"/>
      <c r="MR487" s="6"/>
      <c r="MS487" s="6"/>
      <c r="MT487" s="6"/>
      <c r="MU487" s="6"/>
      <c r="MV487" s="6"/>
      <c r="MW487" s="6"/>
      <c r="MX487" s="6"/>
      <c r="MY487" s="6"/>
      <c r="MZ487" s="6"/>
      <c r="NA487" s="6"/>
      <c r="NB487" s="6"/>
      <c r="NC487" s="6"/>
      <c r="ND487" s="6"/>
      <c r="NE487" s="6"/>
      <c r="NF487" s="6"/>
      <c r="NG487" s="6"/>
      <c r="NH487" s="6"/>
      <c r="NI487" s="6"/>
      <c r="NJ487" s="6"/>
      <c r="NK487" s="6"/>
      <c r="NL487" s="6"/>
      <c r="NM487" s="6"/>
      <c r="NN487" s="6"/>
      <c r="NO487" s="6"/>
      <c r="NP487" s="6"/>
      <c r="NQ487" s="6"/>
      <c r="NR487" s="6"/>
      <c r="NS487" s="6"/>
      <c r="NT487" s="6"/>
      <c r="NU487" s="6"/>
      <c r="NV487" s="6"/>
    </row>
    <row r="488" spans="1:386" s="19" customFormat="1" ht="20.100000000000001" customHeight="1" x14ac:dyDescent="0.35">
      <c r="A488" s="1"/>
      <c r="B488" s="2"/>
      <c r="C488" s="3"/>
      <c r="D488" s="2"/>
      <c r="E488" s="2"/>
      <c r="F488" s="4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9"/>
      <c r="FL488" s="9"/>
      <c r="FM488" s="9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135"/>
      <c r="IK488" s="135"/>
      <c r="IL488" s="135"/>
      <c r="IN488" s="6"/>
      <c r="IO488" s="6"/>
      <c r="IP488" s="6"/>
      <c r="IQ488" s="6"/>
      <c r="IR488" s="6"/>
      <c r="IS488" s="6"/>
      <c r="IT488" s="6"/>
      <c r="IU488" s="6"/>
      <c r="IV488" s="6"/>
      <c r="IW488" s="6"/>
      <c r="IX488" s="6"/>
      <c r="IY488" s="6"/>
      <c r="IZ488" s="6"/>
      <c r="JA488" s="6"/>
      <c r="JB488" s="6"/>
      <c r="JC488" s="6"/>
      <c r="JD488" s="6"/>
      <c r="JE488" s="6"/>
      <c r="JF488" s="6"/>
      <c r="JG488" s="6"/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6"/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6"/>
      <c r="KZ488" s="6"/>
      <c r="LA488" s="6"/>
      <c r="LB488" s="6"/>
      <c r="LC488" s="6"/>
      <c r="LD488" s="6"/>
      <c r="LE488" s="6"/>
      <c r="LF488" s="6"/>
      <c r="LG488" s="6"/>
      <c r="LH488" s="6"/>
      <c r="LI488" s="6"/>
      <c r="LJ488" s="6"/>
      <c r="LK488" s="6"/>
      <c r="LL488" s="6"/>
      <c r="LM488" s="6"/>
      <c r="LN488" s="6"/>
      <c r="LO488" s="6"/>
      <c r="LP488" s="6"/>
      <c r="LQ488" s="6"/>
      <c r="LR488" s="6"/>
      <c r="LS488" s="6"/>
      <c r="LT488" s="6"/>
      <c r="LU488" s="6"/>
      <c r="LV488" s="6"/>
      <c r="LW488" s="6"/>
      <c r="LX488" s="6"/>
      <c r="LY488" s="6"/>
      <c r="LZ488" s="6"/>
      <c r="MA488" s="6"/>
      <c r="MB488" s="6"/>
      <c r="MC488" s="6"/>
      <c r="MD488" s="6"/>
      <c r="ME488" s="6"/>
      <c r="MF488" s="6"/>
      <c r="MG488" s="6"/>
      <c r="MH488" s="6"/>
      <c r="MI488" s="6"/>
      <c r="MJ488" s="6"/>
      <c r="MK488" s="6"/>
      <c r="ML488" s="6"/>
      <c r="MM488" s="6"/>
      <c r="MN488" s="6"/>
      <c r="MO488" s="6"/>
      <c r="MP488" s="6"/>
      <c r="MQ488" s="6"/>
      <c r="MR488" s="6"/>
      <c r="MS488" s="6"/>
      <c r="MT488" s="6"/>
      <c r="MU488" s="6"/>
      <c r="MV488" s="6"/>
      <c r="MW488" s="6"/>
      <c r="MX488" s="6"/>
      <c r="MY488" s="6"/>
      <c r="MZ488" s="6"/>
      <c r="NA488" s="6"/>
      <c r="NB488" s="6"/>
      <c r="NC488" s="6"/>
      <c r="ND488" s="6"/>
      <c r="NE488" s="6"/>
      <c r="NF488" s="6"/>
      <c r="NG488" s="6"/>
      <c r="NH488" s="6"/>
      <c r="NI488" s="6"/>
      <c r="NJ488" s="6"/>
      <c r="NK488" s="6"/>
      <c r="NL488" s="6"/>
      <c r="NM488" s="6"/>
      <c r="NN488" s="6"/>
      <c r="NO488" s="6"/>
      <c r="NP488" s="6"/>
      <c r="NQ488" s="6"/>
      <c r="NR488" s="6"/>
      <c r="NS488" s="6"/>
      <c r="NT488" s="6"/>
      <c r="NU488" s="6"/>
      <c r="NV488" s="6"/>
    </row>
    <row r="489" spans="1:386" s="19" customFormat="1" ht="20.100000000000001" customHeight="1" x14ac:dyDescent="0.35">
      <c r="A489" s="1"/>
      <c r="B489" s="2"/>
      <c r="C489" s="3"/>
      <c r="D489" s="2"/>
      <c r="E489" s="2"/>
      <c r="F489" s="4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9"/>
      <c r="FL489" s="9"/>
      <c r="FM489" s="9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135"/>
      <c r="IK489" s="135"/>
      <c r="IL489" s="135"/>
      <c r="IN489" s="6"/>
      <c r="IO489" s="6"/>
      <c r="IP489" s="6"/>
      <c r="IQ489" s="6"/>
      <c r="IR489" s="6"/>
      <c r="IS489" s="6"/>
      <c r="IT489" s="6"/>
      <c r="IU489" s="6"/>
      <c r="IV489" s="6"/>
      <c r="IW489" s="6"/>
      <c r="IX489" s="6"/>
      <c r="IY489" s="6"/>
      <c r="IZ489" s="6"/>
      <c r="JA489" s="6"/>
      <c r="JB489" s="6"/>
      <c r="JC489" s="6"/>
      <c r="JD489" s="6"/>
      <c r="JE489" s="6"/>
      <c r="JF489" s="6"/>
      <c r="JG489" s="6"/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6"/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6"/>
      <c r="KZ489" s="6"/>
      <c r="LA489" s="6"/>
      <c r="LB489" s="6"/>
      <c r="LC489" s="6"/>
      <c r="LD489" s="6"/>
      <c r="LE489" s="6"/>
      <c r="LF489" s="6"/>
      <c r="LG489" s="6"/>
      <c r="LH489" s="6"/>
      <c r="LI489" s="6"/>
      <c r="LJ489" s="6"/>
      <c r="LK489" s="6"/>
      <c r="LL489" s="6"/>
      <c r="LM489" s="6"/>
      <c r="LN489" s="6"/>
      <c r="LO489" s="6"/>
      <c r="LP489" s="6"/>
      <c r="LQ489" s="6"/>
      <c r="LR489" s="6"/>
      <c r="LS489" s="6"/>
      <c r="LT489" s="6"/>
      <c r="LU489" s="6"/>
      <c r="LV489" s="6"/>
      <c r="LW489" s="6"/>
      <c r="LX489" s="6"/>
      <c r="LY489" s="6"/>
      <c r="LZ489" s="6"/>
      <c r="MA489" s="6"/>
      <c r="MB489" s="6"/>
      <c r="MC489" s="6"/>
      <c r="MD489" s="6"/>
      <c r="ME489" s="6"/>
      <c r="MF489" s="6"/>
      <c r="MG489" s="6"/>
      <c r="MH489" s="6"/>
      <c r="MI489" s="6"/>
      <c r="MJ489" s="6"/>
      <c r="MK489" s="6"/>
      <c r="ML489" s="6"/>
      <c r="MM489" s="6"/>
      <c r="MN489" s="6"/>
      <c r="MO489" s="6"/>
      <c r="MP489" s="6"/>
      <c r="MQ489" s="6"/>
      <c r="MR489" s="6"/>
      <c r="MS489" s="6"/>
      <c r="MT489" s="6"/>
      <c r="MU489" s="6"/>
      <c r="MV489" s="6"/>
      <c r="MW489" s="6"/>
      <c r="MX489" s="6"/>
      <c r="MY489" s="6"/>
      <c r="MZ489" s="6"/>
      <c r="NA489" s="6"/>
      <c r="NB489" s="6"/>
      <c r="NC489" s="6"/>
      <c r="ND489" s="6"/>
      <c r="NE489" s="6"/>
      <c r="NF489" s="6"/>
      <c r="NG489" s="6"/>
      <c r="NH489" s="6"/>
      <c r="NI489" s="6"/>
      <c r="NJ489" s="6"/>
      <c r="NK489" s="6"/>
      <c r="NL489" s="6"/>
      <c r="NM489" s="6"/>
      <c r="NN489" s="6"/>
      <c r="NO489" s="6"/>
      <c r="NP489" s="6"/>
      <c r="NQ489" s="6"/>
      <c r="NR489" s="6"/>
      <c r="NS489" s="6"/>
      <c r="NT489" s="6"/>
      <c r="NU489" s="6"/>
      <c r="NV489" s="6"/>
    </row>
    <row r="490" spans="1:386" s="19" customFormat="1" ht="20.100000000000001" customHeight="1" x14ac:dyDescent="0.35">
      <c r="A490" s="1"/>
      <c r="B490" s="2"/>
      <c r="C490" s="3"/>
      <c r="D490" s="2"/>
      <c r="E490" s="2"/>
      <c r="F490" s="4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9"/>
      <c r="FL490" s="9"/>
      <c r="FM490" s="9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135"/>
      <c r="IK490" s="135"/>
      <c r="IL490" s="135"/>
      <c r="IN490" s="6"/>
      <c r="IO490" s="6"/>
      <c r="IP490" s="6"/>
      <c r="IQ490" s="6"/>
      <c r="IR490" s="6"/>
      <c r="IS490" s="6"/>
      <c r="IT490" s="6"/>
      <c r="IU490" s="6"/>
      <c r="IV490" s="6"/>
      <c r="IW490" s="6"/>
      <c r="IX490" s="6"/>
      <c r="IY490" s="6"/>
      <c r="IZ490" s="6"/>
      <c r="JA490" s="6"/>
      <c r="JB490" s="6"/>
      <c r="JC490" s="6"/>
      <c r="JD490" s="6"/>
      <c r="JE490" s="6"/>
      <c r="JF490" s="6"/>
      <c r="JG490" s="6"/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6"/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6"/>
      <c r="KZ490" s="6"/>
      <c r="LA490" s="6"/>
      <c r="LB490" s="6"/>
      <c r="LC490" s="6"/>
      <c r="LD490" s="6"/>
      <c r="LE490" s="6"/>
      <c r="LF490" s="6"/>
      <c r="LG490" s="6"/>
      <c r="LH490" s="6"/>
      <c r="LI490" s="6"/>
      <c r="LJ490" s="6"/>
      <c r="LK490" s="6"/>
      <c r="LL490" s="6"/>
      <c r="LM490" s="6"/>
      <c r="LN490" s="6"/>
      <c r="LO490" s="6"/>
      <c r="LP490" s="6"/>
      <c r="LQ490" s="6"/>
      <c r="LR490" s="6"/>
      <c r="LS490" s="6"/>
      <c r="LT490" s="6"/>
      <c r="LU490" s="6"/>
      <c r="LV490" s="6"/>
      <c r="LW490" s="6"/>
      <c r="LX490" s="6"/>
      <c r="LY490" s="6"/>
      <c r="LZ490" s="6"/>
      <c r="MA490" s="6"/>
      <c r="MB490" s="6"/>
      <c r="MC490" s="6"/>
      <c r="MD490" s="6"/>
      <c r="ME490" s="6"/>
      <c r="MF490" s="6"/>
      <c r="MG490" s="6"/>
      <c r="MH490" s="6"/>
      <c r="MI490" s="6"/>
      <c r="MJ490" s="6"/>
      <c r="MK490" s="6"/>
      <c r="ML490" s="6"/>
      <c r="MM490" s="6"/>
      <c r="MN490" s="6"/>
      <c r="MO490" s="6"/>
      <c r="MP490" s="6"/>
      <c r="MQ490" s="6"/>
      <c r="MR490" s="6"/>
      <c r="MS490" s="6"/>
      <c r="MT490" s="6"/>
      <c r="MU490" s="6"/>
      <c r="MV490" s="6"/>
      <c r="MW490" s="6"/>
      <c r="MX490" s="6"/>
      <c r="MY490" s="6"/>
      <c r="MZ490" s="6"/>
      <c r="NA490" s="6"/>
      <c r="NB490" s="6"/>
      <c r="NC490" s="6"/>
      <c r="ND490" s="6"/>
      <c r="NE490" s="6"/>
      <c r="NF490" s="6"/>
      <c r="NG490" s="6"/>
      <c r="NH490" s="6"/>
      <c r="NI490" s="6"/>
      <c r="NJ490" s="6"/>
      <c r="NK490" s="6"/>
      <c r="NL490" s="6"/>
      <c r="NM490" s="6"/>
      <c r="NN490" s="6"/>
      <c r="NO490" s="6"/>
      <c r="NP490" s="6"/>
      <c r="NQ490" s="6"/>
      <c r="NR490" s="6"/>
      <c r="NS490" s="6"/>
      <c r="NT490" s="6"/>
      <c r="NU490" s="6"/>
      <c r="NV490" s="6"/>
    </row>
    <row r="491" spans="1:386" s="19" customFormat="1" ht="20.100000000000001" customHeight="1" x14ac:dyDescent="0.35">
      <c r="A491" s="1"/>
      <c r="B491" s="2"/>
      <c r="C491" s="3"/>
      <c r="D491" s="2"/>
      <c r="E491" s="2"/>
      <c r="F491" s="4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9"/>
      <c r="FL491" s="9"/>
      <c r="FM491" s="9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135"/>
      <c r="IK491" s="135"/>
      <c r="IL491" s="135"/>
      <c r="IN491" s="6"/>
      <c r="IO491" s="6"/>
      <c r="IP491" s="6"/>
      <c r="IQ491" s="6"/>
      <c r="IR491" s="6"/>
      <c r="IS491" s="6"/>
      <c r="IT491" s="6"/>
      <c r="IU491" s="6"/>
      <c r="IV491" s="6"/>
      <c r="IW491" s="6"/>
      <c r="IX491" s="6"/>
      <c r="IY491" s="6"/>
      <c r="IZ491" s="6"/>
      <c r="JA491" s="6"/>
      <c r="JB491" s="6"/>
      <c r="JC491" s="6"/>
      <c r="JD491" s="6"/>
      <c r="JE491" s="6"/>
      <c r="JF491" s="6"/>
      <c r="JG491" s="6"/>
      <c r="JH491" s="6"/>
      <c r="JI491" s="6"/>
      <c r="JJ491" s="6"/>
      <c r="JK491" s="6"/>
      <c r="JL491" s="6"/>
      <c r="JM491" s="6"/>
      <c r="JN491" s="6"/>
      <c r="JO491" s="6"/>
      <c r="JP491" s="6"/>
      <c r="JQ491" s="6"/>
      <c r="JR491" s="6"/>
      <c r="JS491" s="6"/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6"/>
      <c r="KZ491" s="6"/>
      <c r="LA491" s="6"/>
      <c r="LB491" s="6"/>
      <c r="LC491" s="6"/>
      <c r="LD491" s="6"/>
      <c r="LE491" s="6"/>
      <c r="LF491" s="6"/>
      <c r="LG491" s="6"/>
      <c r="LH491" s="6"/>
      <c r="LI491" s="6"/>
      <c r="LJ491" s="6"/>
      <c r="LK491" s="6"/>
      <c r="LL491" s="6"/>
      <c r="LM491" s="6"/>
      <c r="LN491" s="6"/>
      <c r="LO491" s="6"/>
      <c r="LP491" s="6"/>
      <c r="LQ491" s="6"/>
      <c r="LR491" s="6"/>
      <c r="LS491" s="6"/>
      <c r="LT491" s="6"/>
      <c r="LU491" s="6"/>
      <c r="LV491" s="6"/>
      <c r="LW491" s="6"/>
      <c r="LX491" s="6"/>
      <c r="LY491" s="6"/>
      <c r="LZ491" s="6"/>
      <c r="MA491" s="6"/>
      <c r="MB491" s="6"/>
      <c r="MC491" s="6"/>
      <c r="MD491" s="6"/>
      <c r="ME491" s="6"/>
      <c r="MF491" s="6"/>
      <c r="MG491" s="6"/>
      <c r="MH491" s="6"/>
      <c r="MI491" s="6"/>
      <c r="MJ491" s="6"/>
      <c r="MK491" s="6"/>
      <c r="ML491" s="6"/>
      <c r="MM491" s="6"/>
      <c r="MN491" s="6"/>
      <c r="MO491" s="6"/>
      <c r="MP491" s="6"/>
      <c r="MQ491" s="6"/>
      <c r="MR491" s="6"/>
      <c r="MS491" s="6"/>
      <c r="MT491" s="6"/>
      <c r="MU491" s="6"/>
      <c r="MV491" s="6"/>
      <c r="MW491" s="6"/>
      <c r="MX491" s="6"/>
      <c r="MY491" s="6"/>
      <c r="MZ491" s="6"/>
      <c r="NA491" s="6"/>
      <c r="NB491" s="6"/>
      <c r="NC491" s="6"/>
      <c r="ND491" s="6"/>
      <c r="NE491" s="6"/>
      <c r="NF491" s="6"/>
      <c r="NG491" s="6"/>
      <c r="NH491" s="6"/>
      <c r="NI491" s="6"/>
      <c r="NJ491" s="6"/>
      <c r="NK491" s="6"/>
      <c r="NL491" s="6"/>
      <c r="NM491" s="6"/>
      <c r="NN491" s="6"/>
      <c r="NO491" s="6"/>
      <c r="NP491" s="6"/>
      <c r="NQ491" s="6"/>
      <c r="NR491" s="6"/>
      <c r="NS491" s="6"/>
      <c r="NT491" s="6"/>
      <c r="NU491" s="6"/>
      <c r="NV491" s="6"/>
    </row>
    <row r="492" spans="1:386" s="19" customFormat="1" ht="20.100000000000001" customHeight="1" x14ac:dyDescent="0.35">
      <c r="A492" s="1"/>
      <c r="B492" s="2"/>
      <c r="C492" s="3"/>
      <c r="D492" s="2"/>
      <c r="E492" s="2"/>
      <c r="F492" s="4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9"/>
      <c r="FL492" s="9"/>
      <c r="FM492" s="9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135"/>
      <c r="IK492" s="135"/>
      <c r="IL492" s="135"/>
      <c r="IN492" s="6"/>
      <c r="IO492" s="6"/>
      <c r="IP492" s="6"/>
      <c r="IQ492" s="6"/>
      <c r="IR492" s="6"/>
      <c r="IS492" s="6"/>
      <c r="IT492" s="6"/>
      <c r="IU492" s="6"/>
      <c r="IV492" s="6"/>
      <c r="IW492" s="6"/>
      <c r="IX492" s="6"/>
      <c r="IY492" s="6"/>
      <c r="IZ492" s="6"/>
      <c r="JA492" s="6"/>
      <c r="JB492" s="6"/>
      <c r="JC492" s="6"/>
      <c r="JD492" s="6"/>
      <c r="JE492" s="6"/>
      <c r="JF492" s="6"/>
      <c r="JG492" s="6"/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6"/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6"/>
      <c r="KZ492" s="6"/>
      <c r="LA492" s="6"/>
      <c r="LB492" s="6"/>
      <c r="LC492" s="6"/>
      <c r="LD492" s="6"/>
      <c r="LE492" s="6"/>
      <c r="LF492" s="6"/>
      <c r="LG492" s="6"/>
      <c r="LH492" s="6"/>
      <c r="LI492" s="6"/>
      <c r="LJ492" s="6"/>
      <c r="LK492" s="6"/>
      <c r="LL492" s="6"/>
      <c r="LM492" s="6"/>
      <c r="LN492" s="6"/>
      <c r="LO492" s="6"/>
      <c r="LP492" s="6"/>
      <c r="LQ492" s="6"/>
      <c r="LR492" s="6"/>
      <c r="LS492" s="6"/>
      <c r="LT492" s="6"/>
      <c r="LU492" s="6"/>
      <c r="LV492" s="6"/>
      <c r="LW492" s="6"/>
      <c r="LX492" s="6"/>
      <c r="LY492" s="6"/>
      <c r="LZ492" s="6"/>
      <c r="MA492" s="6"/>
      <c r="MB492" s="6"/>
      <c r="MC492" s="6"/>
      <c r="MD492" s="6"/>
      <c r="ME492" s="6"/>
      <c r="MF492" s="6"/>
      <c r="MG492" s="6"/>
      <c r="MH492" s="6"/>
      <c r="MI492" s="6"/>
      <c r="MJ492" s="6"/>
      <c r="MK492" s="6"/>
      <c r="ML492" s="6"/>
      <c r="MM492" s="6"/>
      <c r="MN492" s="6"/>
      <c r="MO492" s="6"/>
      <c r="MP492" s="6"/>
      <c r="MQ492" s="6"/>
      <c r="MR492" s="6"/>
      <c r="MS492" s="6"/>
      <c r="MT492" s="6"/>
      <c r="MU492" s="6"/>
      <c r="MV492" s="6"/>
      <c r="MW492" s="6"/>
      <c r="MX492" s="6"/>
      <c r="MY492" s="6"/>
      <c r="MZ492" s="6"/>
      <c r="NA492" s="6"/>
      <c r="NB492" s="6"/>
      <c r="NC492" s="6"/>
      <c r="ND492" s="6"/>
      <c r="NE492" s="6"/>
      <c r="NF492" s="6"/>
      <c r="NG492" s="6"/>
      <c r="NH492" s="6"/>
      <c r="NI492" s="6"/>
      <c r="NJ492" s="6"/>
      <c r="NK492" s="6"/>
      <c r="NL492" s="6"/>
      <c r="NM492" s="6"/>
      <c r="NN492" s="6"/>
      <c r="NO492" s="6"/>
      <c r="NP492" s="6"/>
      <c r="NQ492" s="6"/>
      <c r="NR492" s="6"/>
      <c r="NS492" s="6"/>
      <c r="NT492" s="6"/>
      <c r="NU492" s="6"/>
      <c r="NV492" s="6"/>
    </row>
    <row r="493" spans="1:386" s="19" customFormat="1" ht="20.100000000000001" customHeight="1" x14ac:dyDescent="0.35">
      <c r="A493" s="1"/>
      <c r="B493" s="2"/>
      <c r="C493" s="3"/>
      <c r="D493" s="2"/>
      <c r="E493" s="2"/>
      <c r="F493" s="4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9"/>
      <c r="FL493" s="9"/>
      <c r="FM493" s="9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135"/>
      <c r="IK493" s="135"/>
      <c r="IL493" s="135"/>
      <c r="IN493" s="6"/>
      <c r="IO493" s="6"/>
      <c r="IP493" s="6"/>
      <c r="IQ493" s="6"/>
      <c r="IR493" s="6"/>
      <c r="IS493" s="6"/>
      <c r="IT493" s="6"/>
      <c r="IU493" s="6"/>
      <c r="IV493" s="6"/>
      <c r="IW493" s="6"/>
      <c r="IX493" s="6"/>
      <c r="IY493" s="6"/>
      <c r="IZ493" s="6"/>
      <c r="JA493" s="6"/>
      <c r="JB493" s="6"/>
      <c r="JC493" s="6"/>
      <c r="JD493" s="6"/>
      <c r="JE493" s="6"/>
      <c r="JF493" s="6"/>
      <c r="JG493" s="6"/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6"/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6"/>
      <c r="KZ493" s="6"/>
      <c r="LA493" s="6"/>
      <c r="LB493" s="6"/>
      <c r="LC493" s="6"/>
      <c r="LD493" s="6"/>
      <c r="LE493" s="6"/>
      <c r="LF493" s="6"/>
      <c r="LG493" s="6"/>
      <c r="LH493" s="6"/>
      <c r="LI493" s="6"/>
      <c r="LJ493" s="6"/>
      <c r="LK493" s="6"/>
      <c r="LL493" s="6"/>
      <c r="LM493" s="6"/>
      <c r="LN493" s="6"/>
      <c r="LO493" s="6"/>
      <c r="LP493" s="6"/>
      <c r="LQ493" s="6"/>
      <c r="LR493" s="6"/>
      <c r="LS493" s="6"/>
      <c r="LT493" s="6"/>
      <c r="LU493" s="6"/>
      <c r="LV493" s="6"/>
      <c r="LW493" s="6"/>
      <c r="LX493" s="6"/>
      <c r="LY493" s="6"/>
      <c r="LZ493" s="6"/>
      <c r="MA493" s="6"/>
      <c r="MB493" s="6"/>
      <c r="MC493" s="6"/>
      <c r="MD493" s="6"/>
      <c r="ME493" s="6"/>
      <c r="MF493" s="6"/>
      <c r="MG493" s="6"/>
      <c r="MH493" s="6"/>
      <c r="MI493" s="6"/>
      <c r="MJ493" s="6"/>
      <c r="MK493" s="6"/>
      <c r="ML493" s="6"/>
      <c r="MM493" s="6"/>
      <c r="MN493" s="6"/>
      <c r="MO493" s="6"/>
      <c r="MP493" s="6"/>
      <c r="MQ493" s="6"/>
      <c r="MR493" s="6"/>
      <c r="MS493" s="6"/>
      <c r="MT493" s="6"/>
      <c r="MU493" s="6"/>
      <c r="MV493" s="6"/>
      <c r="MW493" s="6"/>
      <c r="MX493" s="6"/>
      <c r="MY493" s="6"/>
      <c r="MZ493" s="6"/>
      <c r="NA493" s="6"/>
      <c r="NB493" s="6"/>
      <c r="NC493" s="6"/>
      <c r="ND493" s="6"/>
      <c r="NE493" s="6"/>
      <c r="NF493" s="6"/>
      <c r="NG493" s="6"/>
      <c r="NH493" s="6"/>
      <c r="NI493" s="6"/>
      <c r="NJ493" s="6"/>
      <c r="NK493" s="6"/>
      <c r="NL493" s="6"/>
      <c r="NM493" s="6"/>
      <c r="NN493" s="6"/>
      <c r="NO493" s="6"/>
      <c r="NP493" s="6"/>
      <c r="NQ493" s="6"/>
      <c r="NR493" s="6"/>
      <c r="NS493" s="6"/>
      <c r="NT493" s="6"/>
      <c r="NU493" s="6"/>
      <c r="NV493" s="6"/>
    </row>
    <row r="494" spans="1:386" s="19" customFormat="1" ht="20.100000000000001" customHeight="1" x14ac:dyDescent="0.35">
      <c r="A494" s="1"/>
      <c r="B494" s="2"/>
      <c r="C494" s="3"/>
      <c r="D494" s="2"/>
      <c r="E494" s="2"/>
      <c r="F494" s="4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9"/>
      <c r="FL494" s="9"/>
      <c r="FM494" s="9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135"/>
      <c r="IK494" s="135"/>
      <c r="IL494" s="135"/>
      <c r="IN494" s="6"/>
      <c r="IO494" s="6"/>
      <c r="IP494" s="6"/>
      <c r="IQ494" s="6"/>
      <c r="IR494" s="6"/>
      <c r="IS494" s="6"/>
      <c r="IT494" s="6"/>
      <c r="IU494" s="6"/>
      <c r="IV494" s="6"/>
      <c r="IW494" s="6"/>
      <c r="IX494" s="6"/>
      <c r="IY494" s="6"/>
      <c r="IZ494" s="6"/>
      <c r="JA494" s="6"/>
      <c r="JB494" s="6"/>
      <c r="JC494" s="6"/>
      <c r="JD494" s="6"/>
      <c r="JE494" s="6"/>
      <c r="JF494" s="6"/>
      <c r="JG494" s="6"/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6"/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6"/>
      <c r="KZ494" s="6"/>
      <c r="LA494" s="6"/>
      <c r="LB494" s="6"/>
      <c r="LC494" s="6"/>
      <c r="LD494" s="6"/>
      <c r="LE494" s="6"/>
      <c r="LF494" s="6"/>
      <c r="LG494" s="6"/>
      <c r="LH494" s="6"/>
      <c r="LI494" s="6"/>
      <c r="LJ494" s="6"/>
      <c r="LK494" s="6"/>
      <c r="LL494" s="6"/>
      <c r="LM494" s="6"/>
      <c r="LN494" s="6"/>
      <c r="LO494" s="6"/>
      <c r="LP494" s="6"/>
      <c r="LQ494" s="6"/>
      <c r="LR494" s="6"/>
      <c r="LS494" s="6"/>
      <c r="LT494" s="6"/>
      <c r="LU494" s="6"/>
      <c r="LV494" s="6"/>
      <c r="LW494" s="6"/>
      <c r="LX494" s="6"/>
      <c r="LY494" s="6"/>
      <c r="LZ494" s="6"/>
      <c r="MA494" s="6"/>
      <c r="MB494" s="6"/>
      <c r="MC494" s="6"/>
      <c r="MD494" s="6"/>
      <c r="ME494" s="6"/>
      <c r="MF494" s="6"/>
      <c r="MG494" s="6"/>
      <c r="MH494" s="6"/>
      <c r="MI494" s="6"/>
      <c r="MJ494" s="6"/>
      <c r="MK494" s="6"/>
      <c r="ML494" s="6"/>
      <c r="MM494" s="6"/>
      <c r="MN494" s="6"/>
      <c r="MO494" s="6"/>
      <c r="MP494" s="6"/>
      <c r="MQ494" s="6"/>
      <c r="MR494" s="6"/>
      <c r="MS494" s="6"/>
      <c r="MT494" s="6"/>
      <c r="MU494" s="6"/>
      <c r="MV494" s="6"/>
      <c r="MW494" s="6"/>
      <c r="MX494" s="6"/>
      <c r="MY494" s="6"/>
      <c r="MZ494" s="6"/>
      <c r="NA494" s="6"/>
      <c r="NB494" s="6"/>
      <c r="NC494" s="6"/>
      <c r="ND494" s="6"/>
      <c r="NE494" s="6"/>
      <c r="NF494" s="6"/>
      <c r="NG494" s="6"/>
      <c r="NH494" s="6"/>
      <c r="NI494" s="6"/>
      <c r="NJ494" s="6"/>
      <c r="NK494" s="6"/>
      <c r="NL494" s="6"/>
      <c r="NM494" s="6"/>
      <c r="NN494" s="6"/>
      <c r="NO494" s="6"/>
      <c r="NP494" s="6"/>
      <c r="NQ494" s="6"/>
      <c r="NR494" s="6"/>
      <c r="NS494" s="6"/>
      <c r="NT494" s="6"/>
      <c r="NU494" s="6"/>
      <c r="NV494" s="6"/>
    </row>
    <row r="495" spans="1:386" s="19" customFormat="1" ht="20.100000000000001" customHeight="1" x14ac:dyDescent="0.35">
      <c r="A495" s="1"/>
      <c r="B495" s="2"/>
      <c r="C495" s="3"/>
      <c r="D495" s="2"/>
      <c r="E495" s="2"/>
      <c r="F495" s="4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9"/>
      <c r="FL495" s="9"/>
      <c r="FM495" s="9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135"/>
      <c r="IK495" s="135"/>
      <c r="IL495" s="135"/>
      <c r="IN495" s="6"/>
      <c r="IO495" s="6"/>
      <c r="IP495" s="6"/>
      <c r="IQ495" s="6"/>
      <c r="IR495" s="6"/>
      <c r="IS495" s="6"/>
      <c r="IT495" s="6"/>
      <c r="IU495" s="6"/>
      <c r="IV495" s="6"/>
      <c r="IW495" s="6"/>
      <c r="IX495" s="6"/>
      <c r="IY495" s="6"/>
      <c r="IZ495" s="6"/>
      <c r="JA495" s="6"/>
      <c r="JB495" s="6"/>
      <c r="JC495" s="6"/>
      <c r="JD495" s="6"/>
      <c r="JE495" s="6"/>
      <c r="JF495" s="6"/>
      <c r="JG495" s="6"/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6"/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6"/>
      <c r="KZ495" s="6"/>
      <c r="LA495" s="6"/>
      <c r="LB495" s="6"/>
      <c r="LC495" s="6"/>
      <c r="LD495" s="6"/>
      <c r="LE495" s="6"/>
      <c r="LF495" s="6"/>
      <c r="LG495" s="6"/>
      <c r="LH495" s="6"/>
      <c r="LI495" s="6"/>
      <c r="LJ495" s="6"/>
      <c r="LK495" s="6"/>
      <c r="LL495" s="6"/>
      <c r="LM495" s="6"/>
      <c r="LN495" s="6"/>
      <c r="LO495" s="6"/>
      <c r="LP495" s="6"/>
      <c r="LQ495" s="6"/>
      <c r="LR495" s="6"/>
      <c r="LS495" s="6"/>
      <c r="LT495" s="6"/>
      <c r="LU495" s="6"/>
      <c r="LV495" s="6"/>
      <c r="LW495" s="6"/>
      <c r="LX495" s="6"/>
      <c r="LY495" s="6"/>
      <c r="LZ495" s="6"/>
      <c r="MA495" s="6"/>
      <c r="MB495" s="6"/>
      <c r="MC495" s="6"/>
      <c r="MD495" s="6"/>
      <c r="ME495" s="6"/>
      <c r="MF495" s="6"/>
      <c r="MG495" s="6"/>
      <c r="MH495" s="6"/>
      <c r="MI495" s="6"/>
      <c r="MJ495" s="6"/>
      <c r="MK495" s="6"/>
      <c r="ML495" s="6"/>
      <c r="MM495" s="6"/>
      <c r="MN495" s="6"/>
      <c r="MO495" s="6"/>
      <c r="MP495" s="6"/>
      <c r="MQ495" s="6"/>
      <c r="MR495" s="6"/>
      <c r="MS495" s="6"/>
      <c r="MT495" s="6"/>
      <c r="MU495" s="6"/>
      <c r="MV495" s="6"/>
      <c r="MW495" s="6"/>
      <c r="MX495" s="6"/>
      <c r="MY495" s="6"/>
      <c r="MZ495" s="6"/>
      <c r="NA495" s="6"/>
      <c r="NB495" s="6"/>
      <c r="NC495" s="6"/>
      <c r="ND495" s="6"/>
      <c r="NE495" s="6"/>
      <c r="NF495" s="6"/>
      <c r="NG495" s="6"/>
      <c r="NH495" s="6"/>
      <c r="NI495" s="6"/>
      <c r="NJ495" s="6"/>
      <c r="NK495" s="6"/>
      <c r="NL495" s="6"/>
      <c r="NM495" s="6"/>
      <c r="NN495" s="6"/>
      <c r="NO495" s="6"/>
      <c r="NP495" s="6"/>
      <c r="NQ495" s="6"/>
      <c r="NR495" s="6"/>
      <c r="NS495" s="6"/>
      <c r="NT495" s="6"/>
      <c r="NU495" s="6"/>
      <c r="NV495" s="6"/>
    </row>
    <row r="496" spans="1:386" s="19" customFormat="1" ht="20.100000000000001" customHeight="1" x14ac:dyDescent="0.35">
      <c r="A496" s="1"/>
      <c r="B496" s="2"/>
      <c r="C496" s="3"/>
      <c r="D496" s="2"/>
      <c r="E496" s="2"/>
      <c r="F496" s="4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9"/>
      <c r="FL496" s="9"/>
      <c r="FM496" s="9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135"/>
      <c r="IK496" s="135"/>
      <c r="IL496" s="135"/>
      <c r="IN496" s="6"/>
      <c r="IO496" s="6"/>
      <c r="IP496" s="6"/>
      <c r="IQ496" s="6"/>
      <c r="IR496" s="6"/>
      <c r="IS496" s="6"/>
      <c r="IT496" s="6"/>
      <c r="IU496" s="6"/>
      <c r="IV496" s="6"/>
      <c r="IW496" s="6"/>
      <c r="IX496" s="6"/>
      <c r="IY496" s="6"/>
      <c r="IZ496" s="6"/>
      <c r="JA496" s="6"/>
      <c r="JB496" s="6"/>
      <c r="JC496" s="6"/>
      <c r="JD496" s="6"/>
      <c r="JE496" s="6"/>
      <c r="JF496" s="6"/>
      <c r="JG496" s="6"/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6"/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6"/>
      <c r="KZ496" s="6"/>
      <c r="LA496" s="6"/>
      <c r="LB496" s="6"/>
      <c r="LC496" s="6"/>
      <c r="LD496" s="6"/>
      <c r="LE496" s="6"/>
      <c r="LF496" s="6"/>
      <c r="LG496" s="6"/>
      <c r="LH496" s="6"/>
      <c r="LI496" s="6"/>
      <c r="LJ496" s="6"/>
      <c r="LK496" s="6"/>
      <c r="LL496" s="6"/>
      <c r="LM496" s="6"/>
      <c r="LN496" s="6"/>
      <c r="LO496" s="6"/>
      <c r="LP496" s="6"/>
      <c r="LQ496" s="6"/>
      <c r="LR496" s="6"/>
      <c r="LS496" s="6"/>
      <c r="LT496" s="6"/>
      <c r="LU496" s="6"/>
      <c r="LV496" s="6"/>
      <c r="LW496" s="6"/>
      <c r="LX496" s="6"/>
      <c r="LY496" s="6"/>
      <c r="LZ496" s="6"/>
      <c r="MA496" s="6"/>
      <c r="MB496" s="6"/>
      <c r="MC496" s="6"/>
      <c r="MD496" s="6"/>
      <c r="ME496" s="6"/>
      <c r="MF496" s="6"/>
      <c r="MG496" s="6"/>
      <c r="MH496" s="6"/>
      <c r="MI496" s="6"/>
      <c r="MJ496" s="6"/>
      <c r="MK496" s="6"/>
      <c r="ML496" s="6"/>
      <c r="MM496" s="6"/>
      <c r="MN496" s="6"/>
      <c r="MO496" s="6"/>
      <c r="MP496" s="6"/>
      <c r="MQ496" s="6"/>
      <c r="MR496" s="6"/>
      <c r="MS496" s="6"/>
      <c r="MT496" s="6"/>
      <c r="MU496" s="6"/>
      <c r="MV496" s="6"/>
      <c r="MW496" s="6"/>
      <c r="MX496" s="6"/>
      <c r="MY496" s="6"/>
      <c r="MZ496" s="6"/>
      <c r="NA496" s="6"/>
      <c r="NB496" s="6"/>
      <c r="NC496" s="6"/>
      <c r="ND496" s="6"/>
      <c r="NE496" s="6"/>
      <c r="NF496" s="6"/>
      <c r="NG496" s="6"/>
      <c r="NH496" s="6"/>
      <c r="NI496" s="6"/>
      <c r="NJ496" s="6"/>
      <c r="NK496" s="6"/>
      <c r="NL496" s="6"/>
      <c r="NM496" s="6"/>
      <c r="NN496" s="6"/>
      <c r="NO496" s="6"/>
      <c r="NP496" s="6"/>
      <c r="NQ496" s="6"/>
      <c r="NR496" s="6"/>
      <c r="NS496" s="6"/>
      <c r="NT496" s="6"/>
      <c r="NU496" s="6"/>
      <c r="NV496" s="6"/>
    </row>
    <row r="497" spans="1:386" s="19" customFormat="1" ht="20.100000000000001" customHeight="1" x14ac:dyDescent="0.35">
      <c r="A497" s="1"/>
      <c r="B497" s="2"/>
      <c r="C497" s="3"/>
      <c r="D497" s="2"/>
      <c r="E497" s="2"/>
      <c r="F497" s="4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9"/>
      <c r="FL497" s="9"/>
      <c r="FM497" s="9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135"/>
      <c r="IK497" s="135"/>
      <c r="IL497" s="135"/>
      <c r="IN497" s="6"/>
      <c r="IO497" s="6"/>
      <c r="IP497" s="6"/>
      <c r="IQ497" s="6"/>
      <c r="IR497" s="6"/>
      <c r="IS497" s="6"/>
      <c r="IT497" s="6"/>
      <c r="IU497" s="6"/>
      <c r="IV497" s="6"/>
      <c r="IW497" s="6"/>
      <c r="IX497" s="6"/>
      <c r="IY497" s="6"/>
      <c r="IZ497" s="6"/>
      <c r="JA497" s="6"/>
      <c r="JB497" s="6"/>
      <c r="JC497" s="6"/>
      <c r="JD497" s="6"/>
      <c r="JE497" s="6"/>
      <c r="JF497" s="6"/>
      <c r="JG497" s="6"/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6"/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6"/>
      <c r="KZ497" s="6"/>
      <c r="LA497" s="6"/>
      <c r="LB497" s="6"/>
      <c r="LC497" s="6"/>
      <c r="LD497" s="6"/>
      <c r="LE497" s="6"/>
      <c r="LF497" s="6"/>
      <c r="LG497" s="6"/>
      <c r="LH497" s="6"/>
      <c r="LI497" s="6"/>
      <c r="LJ497" s="6"/>
      <c r="LK497" s="6"/>
      <c r="LL497" s="6"/>
      <c r="LM497" s="6"/>
      <c r="LN497" s="6"/>
      <c r="LO497" s="6"/>
      <c r="LP497" s="6"/>
      <c r="LQ497" s="6"/>
      <c r="LR497" s="6"/>
      <c r="LS497" s="6"/>
      <c r="LT497" s="6"/>
      <c r="LU497" s="6"/>
      <c r="LV497" s="6"/>
      <c r="LW497" s="6"/>
      <c r="LX497" s="6"/>
      <c r="LY497" s="6"/>
      <c r="LZ497" s="6"/>
      <c r="MA497" s="6"/>
      <c r="MB497" s="6"/>
      <c r="MC497" s="6"/>
      <c r="MD497" s="6"/>
      <c r="ME497" s="6"/>
      <c r="MF497" s="6"/>
      <c r="MG497" s="6"/>
      <c r="MH497" s="6"/>
      <c r="MI497" s="6"/>
      <c r="MJ497" s="6"/>
      <c r="MK497" s="6"/>
      <c r="ML497" s="6"/>
      <c r="MM497" s="6"/>
      <c r="MN497" s="6"/>
      <c r="MO497" s="6"/>
      <c r="MP497" s="6"/>
      <c r="MQ497" s="6"/>
      <c r="MR497" s="6"/>
      <c r="MS497" s="6"/>
      <c r="MT497" s="6"/>
      <c r="MU497" s="6"/>
      <c r="MV497" s="6"/>
      <c r="MW497" s="6"/>
      <c r="MX497" s="6"/>
      <c r="MY497" s="6"/>
      <c r="MZ497" s="6"/>
      <c r="NA497" s="6"/>
      <c r="NB497" s="6"/>
      <c r="NC497" s="6"/>
      <c r="ND497" s="6"/>
      <c r="NE497" s="6"/>
      <c r="NF497" s="6"/>
      <c r="NG497" s="6"/>
      <c r="NH497" s="6"/>
      <c r="NI497" s="6"/>
      <c r="NJ497" s="6"/>
      <c r="NK497" s="6"/>
      <c r="NL497" s="6"/>
      <c r="NM497" s="6"/>
      <c r="NN497" s="6"/>
      <c r="NO497" s="6"/>
      <c r="NP497" s="6"/>
      <c r="NQ497" s="6"/>
      <c r="NR497" s="6"/>
      <c r="NS497" s="6"/>
      <c r="NT497" s="6"/>
      <c r="NU497" s="6"/>
      <c r="NV497" s="6"/>
    </row>
    <row r="498" spans="1:386" s="19" customFormat="1" ht="20.100000000000001" customHeight="1" x14ac:dyDescent="0.35">
      <c r="A498" s="1"/>
      <c r="B498" s="2"/>
      <c r="C498" s="3"/>
      <c r="D498" s="2"/>
      <c r="E498" s="2"/>
      <c r="F498" s="4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9"/>
      <c r="FL498" s="9"/>
      <c r="FM498" s="9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135"/>
      <c r="IK498" s="135"/>
      <c r="IL498" s="135"/>
      <c r="IN498" s="6"/>
      <c r="IO498" s="6"/>
      <c r="IP498" s="6"/>
      <c r="IQ498" s="6"/>
      <c r="IR498" s="6"/>
      <c r="IS498" s="6"/>
      <c r="IT498" s="6"/>
      <c r="IU498" s="6"/>
      <c r="IV498" s="6"/>
      <c r="IW498" s="6"/>
      <c r="IX498" s="6"/>
      <c r="IY498" s="6"/>
      <c r="IZ498" s="6"/>
      <c r="JA498" s="6"/>
      <c r="JB498" s="6"/>
      <c r="JC498" s="6"/>
      <c r="JD498" s="6"/>
      <c r="JE498" s="6"/>
      <c r="JF498" s="6"/>
      <c r="JG498" s="6"/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6"/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6"/>
      <c r="KZ498" s="6"/>
      <c r="LA498" s="6"/>
      <c r="LB498" s="6"/>
      <c r="LC498" s="6"/>
      <c r="LD498" s="6"/>
      <c r="LE498" s="6"/>
      <c r="LF498" s="6"/>
      <c r="LG498" s="6"/>
      <c r="LH498" s="6"/>
      <c r="LI498" s="6"/>
      <c r="LJ498" s="6"/>
      <c r="LK498" s="6"/>
      <c r="LL498" s="6"/>
      <c r="LM498" s="6"/>
      <c r="LN498" s="6"/>
      <c r="LO498" s="6"/>
      <c r="LP498" s="6"/>
      <c r="LQ498" s="6"/>
      <c r="LR498" s="6"/>
      <c r="LS498" s="6"/>
      <c r="LT498" s="6"/>
      <c r="LU498" s="6"/>
      <c r="LV498" s="6"/>
      <c r="LW498" s="6"/>
      <c r="LX498" s="6"/>
      <c r="LY498" s="6"/>
      <c r="LZ498" s="6"/>
      <c r="MA498" s="6"/>
      <c r="MB498" s="6"/>
      <c r="MC498" s="6"/>
      <c r="MD498" s="6"/>
      <c r="ME498" s="6"/>
      <c r="MF498" s="6"/>
      <c r="MG498" s="6"/>
      <c r="MH498" s="6"/>
      <c r="MI498" s="6"/>
      <c r="MJ498" s="6"/>
      <c r="MK498" s="6"/>
      <c r="ML498" s="6"/>
      <c r="MM498" s="6"/>
      <c r="MN498" s="6"/>
      <c r="MO498" s="6"/>
      <c r="MP498" s="6"/>
      <c r="MQ498" s="6"/>
      <c r="MR498" s="6"/>
      <c r="MS498" s="6"/>
      <c r="MT498" s="6"/>
      <c r="MU498" s="6"/>
      <c r="MV498" s="6"/>
      <c r="MW498" s="6"/>
      <c r="MX498" s="6"/>
      <c r="MY498" s="6"/>
      <c r="MZ498" s="6"/>
      <c r="NA498" s="6"/>
      <c r="NB498" s="6"/>
      <c r="NC498" s="6"/>
      <c r="ND498" s="6"/>
      <c r="NE498" s="6"/>
      <c r="NF498" s="6"/>
      <c r="NG498" s="6"/>
      <c r="NH498" s="6"/>
      <c r="NI498" s="6"/>
      <c r="NJ498" s="6"/>
      <c r="NK498" s="6"/>
      <c r="NL498" s="6"/>
      <c r="NM498" s="6"/>
      <c r="NN498" s="6"/>
      <c r="NO498" s="6"/>
      <c r="NP498" s="6"/>
      <c r="NQ498" s="6"/>
      <c r="NR498" s="6"/>
      <c r="NS498" s="6"/>
      <c r="NT498" s="6"/>
      <c r="NU498" s="6"/>
      <c r="NV498" s="6"/>
    </row>
    <row r="499" spans="1:386" s="19" customFormat="1" ht="20.100000000000001" customHeight="1" x14ac:dyDescent="0.35">
      <c r="A499" s="1"/>
      <c r="B499" s="2"/>
      <c r="C499" s="3"/>
      <c r="D499" s="2"/>
      <c r="E499" s="2"/>
      <c r="F499" s="4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9"/>
      <c r="FL499" s="9"/>
      <c r="FM499" s="9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135"/>
      <c r="IK499" s="135"/>
      <c r="IL499" s="135"/>
      <c r="IN499" s="6"/>
      <c r="IO499" s="6"/>
      <c r="IP499" s="6"/>
      <c r="IQ499" s="6"/>
      <c r="IR499" s="6"/>
      <c r="IS499" s="6"/>
      <c r="IT499" s="6"/>
      <c r="IU499" s="6"/>
      <c r="IV499" s="6"/>
      <c r="IW499" s="6"/>
      <c r="IX499" s="6"/>
      <c r="IY499" s="6"/>
      <c r="IZ499" s="6"/>
      <c r="JA499" s="6"/>
      <c r="JB499" s="6"/>
      <c r="JC499" s="6"/>
      <c r="JD499" s="6"/>
      <c r="JE499" s="6"/>
      <c r="JF499" s="6"/>
      <c r="JG499" s="6"/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6"/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6"/>
      <c r="KZ499" s="6"/>
      <c r="LA499" s="6"/>
      <c r="LB499" s="6"/>
      <c r="LC499" s="6"/>
      <c r="LD499" s="6"/>
      <c r="LE499" s="6"/>
      <c r="LF499" s="6"/>
      <c r="LG499" s="6"/>
      <c r="LH499" s="6"/>
      <c r="LI499" s="6"/>
      <c r="LJ499" s="6"/>
      <c r="LK499" s="6"/>
      <c r="LL499" s="6"/>
      <c r="LM499" s="6"/>
      <c r="LN499" s="6"/>
      <c r="LO499" s="6"/>
      <c r="LP499" s="6"/>
      <c r="LQ499" s="6"/>
      <c r="LR499" s="6"/>
      <c r="LS499" s="6"/>
      <c r="LT499" s="6"/>
      <c r="LU499" s="6"/>
      <c r="LV499" s="6"/>
      <c r="LW499" s="6"/>
      <c r="LX499" s="6"/>
      <c r="LY499" s="6"/>
      <c r="LZ499" s="6"/>
      <c r="MA499" s="6"/>
      <c r="MB499" s="6"/>
      <c r="MC499" s="6"/>
      <c r="MD499" s="6"/>
      <c r="ME499" s="6"/>
      <c r="MF499" s="6"/>
      <c r="MG499" s="6"/>
      <c r="MH499" s="6"/>
      <c r="MI499" s="6"/>
      <c r="MJ499" s="6"/>
      <c r="MK499" s="6"/>
      <c r="ML499" s="6"/>
      <c r="MM499" s="6"/>
      <c r="MN499" s="6"/>
      <c r="MO499" s="6"/>
      <c r="MP499" s="6"/>
      <c r="MQ499" s="6"/>
      <c r="MR499" s="6"/>
      <c r="MS499" s="6"/>
      <c r="MT499" s="6"/>
      <c r="MU499" s="6"/>
      <c r="MV499" s="6"/>
      <c r="MW499" s="6"/>
      <c r="MX499" s="6"/>
      <c r="MY499" s="6"/>
      <c r="MZ499" s="6"/>
      <c r="NA499" s="6"/>
      <c r="NB499" s="6"/>
      <c r="NC499" s="6"/>
      <c r="ND499" s="6"/>
      <c r="NE499" s="6"/>
      <c r="NF499" s="6"/>
      <c r="NG499" s="6"/>
      <c r="NH499" s="6"/>
      <c r="NI499" s="6"/>
      <c r="NJ499" s="6"/>
      <c r="NK499" s="6"/>
      <c r="NL499" s="6"/>
      <c r="NM499" s="6"/>
      <c r="NN499" s="6"/>
      <c r="NO499" s="6"/>
      <c r="NP499" s="6"/>
      <c r="NQ499" s="6"/>
      <c r="NR499" s="6"/>
      <c r="NS499" s="6"/>
      <c r="NT499" s="6"/>
      <c r="NU499" s="6"/>
      <c r="NV499" s="6"/>
    </row>
    <row r="500" spans="1:386" s="19" customFormat="1" ht="20.100000000000001" customHeight="1" x14ac:dyDescent="0.35">
      <c r="A500" s="1"/>
      <c r="B500" s="2"/>
      <c r="C500" s="3"/>
      <c r="D500" s="2"/>
      <c r="E500" s="2"/>
      <c r="F500" s="4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9"/>
      <c r="FL500" s="9"/>
      <c r="FM500" s="9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135"/>
      <c r="IK500" s="135"/>
      <c r="IL500" s="135"/>
      <c r="IN500" s="6"/>
      <c r="IO500" s="6"/>
      <c r="IP500" s="6"/>
      <c r="IQ500" s="6"/>
      <c r="IR500" s="6"/>
      <c r="IS500" s="6"/>
      <c r="IT500" s="6"/>
      <c r="IU500" s="6"/>
      <c r="IV500" s="6"/>
      <c r="IW500" s="6"/>
      <c r="IX500" s="6"/>
      <c r="IY500" s="6"/>
      <c r="IZ500" s="6"/>
      <c r="JA500" s="6"/>
      <c r="JB500" s="6"/>
      <c r="JC500" s="6"/>
      <c r="JD500" s="6"/>
      <c r="JE500" s="6"/>
      <c r="JF500" s="6"/>
      <c r="JG500" s="6"/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6"/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6"/>
      <c r="KZ500" s="6"/>
      <c r="LA500" s="6"/>
      <c r="LB500" s="6"/>
      <c r="LC500" s="6"/>
      <c r="LD500" s="6"/>
      <c r="LE500" s="6"/>
      <c r="LF500" s="6"/>
      <c r="LG500" s="6"/>
      <c r="LH500" s="6"/>
      <c r="LI500" s="6"/>
      <c r="LJ500" s="6"/>
      <c r="LK500" s="6"/>
      <c r="LL500" s="6"/>
      <c r="LM500" s="6"/>
      <c r="LN500" s="6"/>
      <c r="LO500" s="6"/>
      <c r="LP500" s="6"/>
      <c r="LQ500" s="6"/>
      <c r="LR500" s="6"/>
      <c r="LS500" s="6"/>
      <c r="LT500" s="6"/>
      <c r="LU500" s="6"/>
      <c r="LV500" s="6"/>
      <c r="LW500" s="6"/>
      <c r="LX500" s="6"/>
      <c r="LY500" s="6"/>
      <c r="LZ500" s="6"/>
      <c r="MA500" s="6"/>
      <c r="MB500" s="6"/>
      <c r="MC500" s="6"/>
      <c r="MD500" s="6"/>
      <c r="ME500" s="6"/>
      <c r="MF500" s="6"/>
      <c r="MG500" s="6"/>
      <c r="MH500" s="6"/>
      <c r="MI500" s="6"/>
      <c r="MJ500" s="6"/>
      <c r="MK500" s="6"/>
      <c r="ML500" s="6"/>
      <c r="MM500" s="6"/>
      <c r="MN500" s="6"/>
      <c r="MO500" s="6"/>
      <c r="MP500" s="6"/>
      <c r="MQ500" s="6"/>
      <c r="MR500" s="6"/>
      <c r="MS500" s="6"/>
      <c r="MT500" s="6"/>
      <c r="MU500" s="6"/>
      <c r="MV500" s="6"/>
      <c r="MW500" s="6"/>
      <c r="MX500" s="6"/>
      <c r="MY500" s="6"/>
      <c r="MZ500" s="6"/>
      <c r="NA500" s="6"/>
      <c r="NB500" s="6"/>
      <c r="NC500" s="6"/>
      <c r="ND500" s="6"/>
      <c r="NE500" s="6"/>
      <c r="NF500" s="6"/>
      <c r="NG500" s="6"/>
      <c r="NH500" s="6"/>
      <c r="NI500" s="6"/>
      <c r="NJ500" s="6"/>
      <c r="NK500" s="6"/>
      <c r="NL500" s="6"/>
      <c r="NM500" s="6"/>
      <c r="NN500" s="6"/>
      <c r="NO500" s="6"/>
      <c r="NP500" s="6"/>
      <c r="NQ500" s="6"/>
      <c r="NR500" s="6"/>
      <c r="NS500" s="6"/>
      <c r="NT500" s="6"/>
      <c r="NU500" s="6"/>
      <c r="NV500" s="6"/>
    </row>
    <row r="501" spans="1:386" s="19" customFormat="1" ht="20.100000000000001" customHeight="1" x14ac:dyDescent="0.35">
      <c r="A501" s="1"/>
      <c r="B501" s="2"/>
      <c r="C501" s="3"/>
      <c r="D501" s="2"/>
      <c r="E501" s="2"/>
      <c r="F501" s="4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9"/>
      <c r="FL501" s="9"/>
      <c r="FM501" s="9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135"/>
      <c r="IK501" s="135"/>
      <c r="IL501" s="135"/>
      <c r="IN501" s="6"/>
      <c r="IO501" s="6"/>
      <c r="IP501" s="6"/>
      <c r="IQ501" s="6"/>
      <c r="IR501" s="6"/>
      <c r="IS501" s="6"/>
      <c r="IT501" s="6"/>
      <c r="IU501" s="6"/>
      <c r="IV501" s="6"/>
      <c r="IW501" s="6"/>
      <c r="IX501" s="6"/>
      <c r="IY501" s="6"/>
      <c r="IZ501" s="6"/>
      <c r="JA501" s="6"/>
      <c r="JB501" s="6"/>
      <c r="JC501" s="6"/>
      <c r="JD501" s="6"/>
      <c r="JE501" s="6"/>
      <c r="JF501" s="6"/>
      <c r="JG501" s="6"/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6"/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6"/>
      <c r="KZ501" s="6"/>
      <c r="LA501" s="6"/>
      <c r="LB501" s="6"/>
      <c r="LC501" s="6"/>
      <c r="LD501" s="6"/>
      <c r="LE501" s="6"/>
      <c r="LF501" s="6"/>
      <c r="LG501" s="6"/>
      <c r="LH501" s="6"/>
      <c r="LI501" s="6"/>
      <c r="LJ501" s="6"/>
      <c r="LK501" s="6"/>
      <c r="LL501" s="6"/>
      <c r="LM501" s="6"/>
      <c r="LN501" s="6"/>
      <c r="LO501" s="6"/>
      <c r="LP501" s="6"/>
      <c r="LQ501" s="6"/>
      <c r="LR501" s="6"/>
      <c r="LS501" s="6"/>
      <c r="LT501" s="6"/>
      <c r="LU501" s="6"/>
      <c r="LV501" s="6"/>
      <c r="LW501" s="6"/>
      <c r="LX501" s="6"/>
      <c r="LY501" s="6"/>
      <c r="LZ501" s="6"/>
      <c r="MA501" s="6"/>
      <c r="MB501" s="6"/>
      <c r="MC501" s="6"/>
      <c r="MD501" s="6"/>
      <c r="ME501" s="6"/>
      <c r="MF501" s="6"/>
      <c r="MG501" s="6"/>
      <c r="MH501" s="6"/>
      <c r="MI501" s="6"/>
      <c r="MJ501" s="6"/>
      <c r="MK501" s="6"/>
      <c r="ML501" s="6"/>
      <c r="MM501" s="6"/>
      <c r="MN501" s="6"/>
      <c r="MO501" s="6"/>
      <c r="MP501" s="6"/>
      <c r="MQ501" s="6"/>
      <c r="MR501" s="6"/>
      <c r="MS501" s="6"/>
      <c r="MT501" s="6"/>
      <c r="MU501" s="6"/>
      <c r="MV501" s="6"/>
      <c r="MW501" s="6"/>
      <c r="MX501" s="6"/>
      <c r="MY501" s="6"/>
      <c r="MZ501" s="6"/>
      <c r="NA501" s="6"/>
      <c r="NB501" s="6"/>
      <c r="NC501" s="6"/>
      <c r="ND501" s="6"/>
      <c r="NE501" s="6"/>
      <c r="NF501" s="6"/>
      <c r="NG501" s="6"/>
      <c r="NH501" s="6"/>
      <c r="NI501" s="6"/>
      <c r="NJ501" s="6"/>
      <c r="NK501" s="6"/>
      <c r="NL501" s="6"/>
      <c r="NM501" s="6"/>
      <c r="NN501" s="6"/>
      <c r="NO501" s="6"/>
      <c r="NP501" s="6"/>
      <c r="NQ501" s="6"/>
      <c r="NR501" s="6"/>
      <c r="NS501" s="6"/>
      <c r="NT501" s="6"/>
      <c r="NU501" s="6"/>
      <c r="NV501" s="6"/>
    </row>
    <row r="502" spans="1:386" s="19" customFormat="1" ht="20.100000000000001" customHeight="1" x14ac:dyDescent="0.35">
      <c r="A502" s="1"/>
      <c r="B502" s="2"/>
      <c r="C502" s="3"/>
      <c r="D502" s="2"/>
      <c r="E502" s="2"/>
      <c r="F502" s="4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9"/>
      <c r="FL502" s="9"/>
      <c r="FM502" s="9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135"/>
      <c r="IK502" s="135"/>
      <c r="IL502" s="135"/>
      <c r="IN502" s="6"/>
      <c r="IO502" s="6"/>
      <c r="IP502" s="6"/>
      <c r="IQ502" s="6"/>
      <c r="IR502" s="6"/>
      <c r="IS502" s="6"/>
      <c r="IT502" s="6"/>
      <c r="IU502" s="6"/>
      <c r="IV502" s="6"/>
      <c r="IW502" s="6"/>
      <c r="IX502" s="6"/>
      <c r="IY502" s="6"/>
      <c r="IZ502" s="6"/>
      <c r="JA502" s="6"/>
      <c r="JB502" s="6"/>
      <c r="JC502" s="6"/>
      <c r="JD502" s="6"/>
      <c r="JE502" s="6"/>
      <c r="JF502" s="6"/>
      <c r="JG502" s="6"/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6"/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6"/>
      <c r="KZ502" s="6"/>
      <c r="LA502" s="6"/>
      <c r="LB502" s="6"/>
      <c r="LC502" s="6"/>
      <c r="LD502" s="6"/>
      <c r="LE502" s="6"/>
      <c r="LF502" s="6"/>
      <c r="LG502" s="6"/>
      <c r="LH502" s="6"/>
      <c r="LI502" s="6"/>
      <c r="LJ502" s="6"/>
      <c r="LK502" s="6"/>
      <c r="LL502" s="6"/>
      <c r="LM502" s="6"/>
      <c r="LN502" s="6"/>
      <c r="LO502" s="6"/>
      <c r="LP502" s="6"/>
      <c r="LQ502" s="6"/>
      <c r="LR502" s="6"/>
      <c r="LS502" s="6"/>
      <c r="LT502" s="6"/>
      <c r="LU502" s="6"/>
      <c r="LV502" s="6"/>
      <c r="LW502" s="6"/>
      <c r="LX502" s="6"/>
      <c r="LY502" s="6"/>
      <c r="LZ502" s="6"/>
      <c r="MA502" s="6"/>
      <c r="MB502" s="6"/>
      <c r="MC502" s="6"/>
      <c r="MD502" s="6"/>
      <c r="ME502" s="6"/>
      <c r="MF502" s="6"/>
      <c r="MG502" s="6"/>
      <c r="MH502" s="6"/>
      <c r="MI502" s="6"/>
      <c r="MJ502" s="6"/>
      <c r="MK502" s="6"/>
      <c r="ML502" s="6"/>
      <c r="MM502" s="6"/>
      <c r="MN502" s="6"/>
      <c r="MO502" s="6"/>
      <c r="MP502" s="6"/>
      <c r="MQ502" s="6"/>
      <c r="MR502" s="6"/>
      <c r="MS502" s="6"/>
      <c r="MT502" s="6"/>
      <c r="MU502" s="6"/>
      <c r="MV502" s="6"/>
      <c r="MW502" s="6"/>
      <c r="MX502" s="6"/>
      <c r="MY502" s="6"/>
      <c r="MZ502" s="6"/>
      <c r="NA502" s="6"/>
      <c r="NB502" s="6"/>
      <c r="NC502" s="6"/>
      <c r="ND502" s="6"/>
      <c r="NE502" s="6"/>
      <c r="NF502" s="6"/>
      <c r="NG502" s="6"/>
      <c r="NH502" s="6"/>
      <c r="NI502" s="6"/>
      <c r="NJ502" s="6"/>
      <c r="NK502" s="6"/>
      <c r="NL502" s="6"/>
      <c r="NM502" s="6"/>
      <c r="NN502" s="6"/>
      <c r="NO502" s="6"/>
      <c r="NP502" s="6"/>
      <c r="NQ502" s="6"/>
      <c r="NR502" s="6"/>
      <c r="NS502" s="6"/>
      <c r="NT502" s="6"/>
      <c r="NU502" s="6"/>
      <c r="NV502" s="6"/>
    </row>
    <row r="503" spans="1:386" s="19" customFormat="1" ht="20.100000000000001" customHeight="1" x14ac:dyDescent="0.35">
      <c r="A503" s="1"/>
      <c r="B503" s="2"/>
      <c r="C503" s="3"/>
      <c r="D503" s="2"/>
      <c r="E503" s="2"/>
      <c r="F503" s="4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9"/>
      <c r="FL503" s="9"/>
      <c r="FM503" s="9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135"/>
      <c r="IK503" s="135"/>
      <c r="IL503" s="135"/>
      <c r="IN503" s="6"/>
      <c r="IO503" s="6"/>
      <c r="IP503" s="6"/>
      <c r="IQ503" s="6"/>
      <c r="IR503" s="6"/>
      <c r="IS503" s="6"/>
      <c r="IT503" s="6"/>
      <c r="IU503" s="6"/>
      <c r="IV503" s="6"/>
      <c r="IW503" s="6"/>
      <c r="IX503" s="6"/>
      <c r="IY503" s="6"/>
      <c r="IZ503" s="6"/>
      <c r="JA503" s="6"/>
      <c r="JB503" s="6"/>
      <c r="JC503" s="6"/>
      <c r="JD503" s="6"/>
      <c r="JE503" s="6"/>
      <c r="JF503" s="6"/>
      <c r="JG503" s="6"/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6"/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6"/>
      <c r="KZ503" s="6"/>
      <c r="LA503" s="6"/>
      <c r="LB503" s="6"/>
      <c r="LC503" s="6"/>
      <c r="LD503" s="6"/>
      <c r="LE503" s="6"/>
      <c r="LF503" s="6"/>
      <c r="LG503" s="6"/>
      <c r="LH503" s="6"/>
      <c r="LI503" s="6"/>
      <c r="LJ503" s="6"/>
      <c r="LK503" s="6"/>
      <c r="LL503" s="6"/>
      <c r="LM503" s="6"/>
      <c r="LN503" s="6"/>
      <c r="LO503" s="6"/>
      <c r="LP503" s="6"/>
      <c r="LQ503" s="6"/>
      <c r="LR503" s="6"/>
      <c r="LS503" s="6"/>
      <c r="LT503" s="6"/>
      <c r="LU503" s="6"/>
      <c r="LV503" s="6"/>
      <c r="LW503" s="6"/>
      <c r="LX503" s="6"/>
      <c r="LY503" s="6"/>
      <c r="LZ503" s="6"/>
      <c r="MA503" s="6"/>
      <c r="MB503" s="6"/>
      <c r="MC503" s="6"/>
      <c r="MD503" s="6"/>
      <c r="ME503" s="6"/>
      <c r="MF503" s="6"/>
      <c r="MG503" s="6"/>
      <c r="MH503" s="6"/>
      <c r="MI503" s="6"/>
      <c r="MJ503" s="6"/>
      <c r="MK503" s="6"/>
      <c r="ML503" s="6"/>
      <c r="MM503" s="6"/>
      <c r="MN503" s="6"/>
      <c r="MO503" s="6"/>
      <c r="MP503" s="6"/>
      <c r="MQ503" s="6"/>
      <c r="MR503" s="6"/>
      <c r="MS503" s="6"/>
      <c r="MT503" s="6"/>
      <c r="MU503" s="6"/>
      <c r="MV503" s="6"/>
      <c r="MW503" s="6"/>
      <c r="MX503" s="6"/>
      <c r="MY503" s="6"/>
      <c r="MZ503" s="6"/>
      <c r="NA503" s="6"/>
      <c r="NB503" s="6"/>
      <c r="NC503" s="6"/>
      <c r="ND503" s="6"/>
      <c r="NE503" s="6"/>
      <c r="NF503" s="6"/>
      <c r="NG503" s="6"/>
      <c r="NH503" s="6"/>
      <c r="NI503" s="6"/>
      <c r="NJ503" s="6"/>
      <c r="NK503" s="6"/>
      <c r="NL503" s="6"/>
      <c r="NM503" s="6"/>
      <c r="NN503" s="6"/>
      <c r="NO503" s="6"/>
      <c r="NP503" s="6"/>
      <c r="NQ503" s="6"/>
      <c r="NR503" s="6"/>
      <c r="NS503" s="6"/>
      <c r="NT503" s="6"/>
      <c r="NU503" s="6"/>
      <c r="NV503" s="6"/>
    </row>
    <row r="504" spans="1:386" s="19" customFormat="1" ht="20.100000000000001" customHeight="1" x14ac:dyDescent="0.35">
      <c r="A504" s="1"/>
      <c r="B504" s="2"/>
      <c r="C504" s="3"/>
      <c r="D504" s="2"/>
      <c r="E504" s="2"/>
      <c r="F504" s="4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9"/>
      <c r="FL504" s="9"/>
      <c r="FM504" s="9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135"/>
      <c r="IK504" s="135"/>
      <c r="IL504" s="135"/>
      <c r="IN504" s="6"/>
      <c r="IO504" s="6"/>
      <c r="IP504" s="6"/>
      <c r="IQ504" s="6"/>
      <c r="IR504" s="6"/>
      <c r="IS504" s="6"/>
      <c r="IT504" s="6"/>
      <c r="IU504" s="6"/>
      <c r="IV504" s="6"/>
      <c r="IW504" s="6"/>
      <c r="IX504" s="6"/>
      <c r="IY504" s="6"/>
      <c r="IZ504" s="6"/>
      <c r="JA504" s="6"/>
      <c r="JB504" s="6"/>
      <c r="JC504" s="6"/>
      <c r="JD504" s="6"/>
      <c r="JE504" s="6"/>
      <c r="JF504" s="6"/>
      <c r="JG504" s="6"/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6"/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6"/>
      <c r="KZ504" s="6"/>
      <c r="LA504" s="6"/>
      <c r="LB504" s="6"/>
      <c r="LC504" s="6"/>
      <c r="LD504" s="6"/>
      <c r="LE504" s="6"/>
      <c r="LF504" s="6"/>
      <c r="LG504" s="6"/>
      <c r="LH504" s="6"/>
      <c r="LI504" s="6"/>
      <c r="LJ504" s="6"/>
      <c r="LK504" s="6"/>
      <c r="LL504" s="6"/>
      <c r="LM504" s="6"/>
      <c r="LN504" s="6"/>
      <c r="LO504" s="6"/>
      <c r="LP504" s="6"/>
      <c r="LQ504" s="6"/>
      <c r="LR504" s="6"/>
      <c r="LS504" s="6"/>
      <c r="LT504" s="6"/>
      <c r="LU504" s="6"/>
      <c r="LV504" s="6"/>
      <c r="LW504" s="6"/>
      <c r="LX504" s="6"/>
      <c r="LY504" s="6"/>
      <c r="LZ504" s="6"/>
      <c r="MA504" s="6"/>
      <c r="MB504" s="6"/>
      <c r="MC504" s="6"/>
      <c r="MD504" s="6"/>
      <c r="ME504" s="6"/>
      <c r="MF504" s="6"/>
      <c r="MG504" s="6"/>
      <c r="MH504" s="6"/>
      <c r="MI504" s="6"/>
      <c r="MJ504" s="6"/>
      <c r="MK504" s="6"/>
      <c r="ML504" s="6"/>
      <c r="MM504" s="6"/>
      <c r="MN504" s="6"/>
      <c r="MO504" s="6"/>
      <c r="MP504" s="6"/>
      <c r="MQ504" s="6"/>
      <c r="MR504" s="6"/>
      <c r="MS504" s="6"/>
      <c r="MT504" s="6"/>
      <c r="MU504" s="6"/>
      <c r="MV504" s="6"/>
      <c r="MW504" s="6"/>
      <c r="MX504" s="6"/>
      <c r="MY504" s="6"/>
      <c r="MZ504" s="6"/>
      <c r="NA504" s="6"/>
      <c r="NB504" s="6"/>
      <c r="NC504" s="6"/>
      <c r="ND504" s="6"/>
      <c r="NE504" s="6"/>
      <c r="NF504" s="6"/>
      <c r="NG504" s="6"/>
      <c r="NH504" s="6"/>
      <c r="NI504" s="6"/>
      <c r="NJ504" s="6"/>
      <c r="NK504" s="6"/>
      <c r="NL504" s="6"/>
      <c r="NM504" s="6"/>
      <c r="NN504" s="6"/>
      <c r="NO504" s="6"/>
      <c r="NP504" s="6"/>
      <c r="NQ504" s="6"/>
      <c r="NR504" s="6"/>
      <c r="NS504" s="6"/>
      <c r="NT504" s="6"/>
      <c r="NU504" s="6"/>
      <c r="NV504" s="6"/>
    </row>
    <row r="505" spans="1:386" s="19" customFormat="1" ht="20.100000000000001" customHeight="1" x14ac:dyDescent="0.35">
      <c r="A505" s="1"/>
      <c r="B505" s="2"/>
      <c r="C505" s="3"/>
      <c r="D505" s="2"/>
      <c r="E505" s="2"/>
      <c r="F505" s="4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9"/>
      <c r="FL505" s="9"/>
      <c r="FM505" s="9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135"/>
      <c r="IK505" s="135"/>
      <c r="IL505" s="135"/>
      <c r="IN505" s="6"/>
      <c r="IO505" s="6"/>
      <c r="IP505" s="6"/>
      <c r="IQ505" s="6"/>
      <c r="IR505" s="6"/>
      <c r="IS505" s="6"/>
      <c r="IT505" s="6"/>
      <c r="IU505" s="6"/>
      <c r="IV505" s="6"/>
      <c r="IW505" s="6"/>
      <c r="IX505" s="6"/>
      <c r="IY505" s="6"/>
      <c r="IZ505" s="6"/>
      <c r="JA505" s="6"/>
      <c r="JB505" s="6"/>
      <c r="JC505" s="6"/>
      <c r="JD505" s="6"/>
      <c r="JE505" s="6"/>
      <c r="JF505" s="6"/>
      <c r="JG505" s="6"/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6"/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6"/>
      <c r="KZ505" s="6"/>
      <c r="LA505" s="6"/>
      <c r="LB505" s="6"/>
      <c r="LC505" s="6"/>
      <c r="LD505" s="6"/>
      <c r="LE505" s="6"/>
      <c r="LF505" s="6"/>
      <c r="LG505" s="6"/>
      <c r="LH505" s="6"/>
      <c r="LI505" s="6"/>
      <c r="LJ505" s="6"/>
      <c r="LK505" s="6"/>
      <c r="LL505" s="6"/>
      <c r="LM505" s="6"/>
      <c r="LN505" s="6"/>
      <c r="LO505" s="6"/>
      <c r="LP505" s="6"/>
      <c r="LQ505" s="6"/>
      <c r="LR505" s="6"/>
      <c r="LS505" s="6"/>
      <c r="LT505" s="6"/>
      <c r="LU505" s="6"/>
      <c r="LV505" s="6"/>
      <c r="LW505" s="6"/>
      <c r="LX505" s="6"/>
      <c r="LY505" s="6"/>
      <c r="LZ505" s="6"/>
      <c r="MA505" s="6"/>
      <c r="MB505" s="6"/>
      <c r="MC505" s="6"/>
      <c r="MD505" s="6"/>
      <c r="ME505" s="6"/>
      <c r="MF505" s="6"/>
      <c r="MG505" s="6"/>
      <c r="MH505" s="6"/>
      <c r="MI505" s="6"/>
      <c r="MJ505" s="6"/>
      <c r="MK505" s="6"/>
      <c r="ML505" s="6"/>
      <c r="MM505" s="6"/>
      <c r="MN505" s="6"/>
      <c r="MO505" s="6"/>
      <c r="MP505" s="6"/>
      <c r="MQ505" s="6"/>
      <c r="MR505" s="6"/>
      <c r="MS505" s="6"/>
      <c r="MT505" s="6"/>
      <c r="MU505" s="6"/>
      <c r="MV505" s="6"/>
      <c r="MW505" s="6"/>
      <c r="MX505" s="6"/>
      <c r="MY505" s="6"/>
      <c r="MZ505" s="6"/>
      <c r="NA505" s="6"/>
      <c r="NB505" s="6"/>
      <c r="NC505" s="6"/>
      <c r="ND505" s="6"/>
      <c r="NE505" s="6"/>
      <c r="NF505" s="6"/>
      <c r="NG505" s="6"/>
      <c r="NH505" s="6"/>
      <c r="NI505" s="6"/>
      <c r="NJ505" s="6"/>
      <c r="NK505" s="6"/>
      <c r="NL505" s="6"/>
      <c r="NM505" s="6"/>
      <c r="NN505" s="6"/>
      <c r="NO505" s="6"/>
      <c r="NP505" s="6"/>
      <c r="NQ505" s="6"/>
      <c r="NR505" s="6"/>
      <c r="NS505" s="6"/>
      <c r="NT505" s="6"/>
      <c r="NU505" s="6"/>
      <c r="NV505" s="6"/>
    </row>
    <row r="506" spans="1:386" s="19" customFormat="1" ht="20.100000000000001" customHeight="1" x14ac:dyDescent="0.35">
      <c r="A506" s="1"/>
      <c r="B506" s="2"/>
      <c r="C506" s="3"/>
      <c r="D506" s="2"/>
      <c r="E506" s="2"/>
      <c r="F506" s="4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9"/>
      <c r="FL506" s="9"/>
      <c r="FM506" s="9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135"/>
      <c r="IK506" s="135"/>
      <c r="IL506" s="135"/>
      <c r="IN506" s="6"/>
      <c r="IO506" s="6"/>
      <c r="IP506" s="6"/>
      <c r="IQ506" s="6"/>
      <c r="IR506" s="6"/>
      <c r="IS506" s="6"/>
      <c r="IT506" s="6"/>
      <c r="IU506" s="6"/>
      <c r="IV506" s="6"/>
      <c r="IW506" s="6"/>
      <c r="IX506" s="6"/>
      <c r="IY506" s="6"/>
      <c r="IZ506" s="6"/>
      <c r="JA506" s="6"/>
      <c r="JB506" s="6"/>
      <c r="JC506" s="6"/>
      <c r="JD506" s="6"/>
      <c r="JE506" s="6"/>
      <c r="JF506" s="6"/>
      <c r="JG506" s="6"/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6"/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6"/>
      <c r="KZ506" s="6"/>
      <c r="LA506" s="6"/>
      <c r="LB506" s="6"/>
      <c r="LC506" s="6"/>
      <c r="LD506" s="6"/>
      <c r="LE506" s="6"/>
      <c r="LF506" s="6"/>
      <c r="LG506" s="6"/>
      <c r="LH506" s="6"/>
      <c r="LI506" s="6"/>
      <c r="LJ506" s="6"/>
      <c r="LK506" s="6"/>
      <c r="LL506" s="6"/>
      <c r="LM506" s="6"/>
      <c r="LN506" s="6"/>
      <c r="LO506" s="6"/>
      <c r="LP506" s="6"/>
      <c r="LQ506" s="6"/>
      <c r="LR506" s="6"/>
      <c r="LS506" s="6"/>
      <c r="LT506" s="6"/>
      <c r="LU506" s="6"/>
      <c r="LV506" s="6"/>
      <c r="LW506" s="6"/>
      <c r="LX506" s="6"/>
      <c r="LY506" s="6"/>
      <c r="LZ506" s="6"/>
      <c r="MA506" s="6"/>
      <c r="MB506" s="6"/>
      <c r="MC506" s="6"/>
      <c r="MD506" s="6"/>
      <c r="ME506" s="6"/>
      <c r="MF506" s="6"/>
      <c r="MG506" s="6"/>
      <c r="MH506" s="6"/>
      <c r="MI506" s="6"/>
      <c r="MJ506" s="6"/>
      <c r="MK506" s="6"/>
      <c r="ML506" s="6"/>
      <c r="MM506" s="6"/>
      <c r="MN506" s="6"/>
      <c r="MO506" s="6"/>
      <c r="MP506" s="6"/>
      <c r="MQ506" s="6"/>
      <c r="MR506" s="6"/>
      <c r="MS506" s="6"/>
      <c r="MT506" s="6"/>
      <c r="MU506" s="6"/>
      <c r="MV506" s="6"/>
      <c r="MW506" s="6"/>
      <c r="MX506" s="6"/>
      <c r="MY506" s="6"/>
      <c r="MZ506" s="6"/>
      <c r="NA506" s="6"/>
      <c r="NB506" s="6"/>
      <c r="NC506" s="6"/>
      <c r="ND506" s="6"/>
      <c r="NE506" s="6"/>
      <c r="NF506" s="6"/>
      <c r="NG506" s="6"/>
      <c r="NH506" s="6"/>
      <c r="NI506" s="6"/>
      <c r="NJ506" s="6"/>
      <c r="NK506" s="6"/>
      <c r="NL506" s="6"/>
      <c r="NM506" s="6"/>
      <c r="NN506" s="6"/>
      <c r="NO506" s="6"/>
      <c r="NP506" s="6"/>
      <c r="NQ506" s="6"/>
      <c r="NR506" s="6"/>
      <c r="NS506" s="6"/>
      <c r="NT506" s="6"/>
      <c r="NU506" s="6"/>
      <c r="NV506" s="6"/>
    </row>
    <row r="507" spans="1:386" s="19" customFormat="1" ht="20.100000000000001" customHeight="1" x14ac:dyDescent="0.35">
      <c r="A507" s="1"/>
      <c r="B507" s="2"/>
      <c r="C507" s="3"/>
      <c r="D507" s="2"/>
      <c r="E507" s="2"/>
      <c r="F507" s="4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9"/>
      <c r="FL507" s="9"/>
      <c r="FM507" s="9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135"/>
      <c r="IK507" s="135"/>
      <c r="IL507" s="135"/>
      <c r="IN507" s="6"/>
      <c r="IO507" s="6"/>
      <c r="IP507" s="6"/>
      <c r="IQ507" s="6"/>
      <c r="IR507" s="6"/>
      <c r="IS507" s="6"/>
      <c r="IT507" s="6"/>
      <c r="IU507" s="6"/>
      <c r="IV507" s="6"/>
      <c r="IW507" s="6"/>
      <c r="IX507" s="6"/>
      <c r="IY507" s="6"/>
      <c r="IZ507" s="6"/>
      <c r="JA507" s="6"/>
      <c r="JB507" s="6"/>
      <c r="JC507" s="6"/>
      <c r="JD507" s="6"/>
      <c r="JE507" s="6"/>
      <c r="JF507" s="6"/>
      <c r="JG507" s="6"/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6"/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6"/>
      <c r="KZ507" s="6"/>
      <c r="LA507" s="6"/>
      <c r="LB507" s="6"/>
      <c r="LC507" s="6"/>
      <c r="LD507" s="6"/>
      <c r="LE507" s="6"/>
      <c r="LF507" s="6"/>
      <c r="LG507" s="6"/>
      <c r="LH507" s="6"/>
      <c r="LI507" s="6"/>
      <c r="LJ507" s="6"/>
      <c r="LK507" s="6"/>
      <c r="LL507" s="6"/>
      <c r="LM507" s="6"/>
      <c r="LN507" s="6"/>
      <c r="LO507" s="6"/>
      <c r="LP507" s="6"/>
      <c r="LQ507" s="6"/>
      <c r="LR507" s="6"/>
      <c r="LS507" s="6"/>
      <c r="LT507" s="6"/>
      <c r="LU507" s="6"/>
      <c r="LV507" s="6"/>
      <c r="LW507" s="6"/>
      <c r="LX507" s="6"/>
      <c r="LY507" s="6"/>
      <c r="LZ507" s="6"/>
      <c r="MA507" s="6"/>
      <c r="MB507" s="6"/>
      <c r="MC507" s="6"/>
      <c r="MD507" s="6"/>
      <c r="ME507" s="6"/>
      <c r="MF507" s="6"/>
      <c r="MG507" s="6"/>
      <c r="MH507" s="6"/>
      <c r="MI507" s="6"/>
      <c r="MJ507" s="6"/>
      <c r="MK507" s="6"/>
      <c r="ML507" s="6"/>
      <c r="MM507" s="6"/>
      <c r="MN507" s="6"/>
      <c r="MO507" s="6"/>
      <c r="MP507" s="6"/>
      <c r="MQ507" s="6"/>
      <c r="MR507" s="6"/>
      <c r="MS507" s="6"/>
      <c r="MT507" s="6"/>
      <c r="MU507" s="6"/>
      <c r="MV507" s="6"/>
      <c r="MW507" s="6"/>
      <c r="MX507" s="6"/>
      <c r="MY507" s="6"/>
      <c r="MZ507" s="6"/>
      <c r="NA507" s="6"/>
      <c r="NB507" s="6"/>
      <c r="NC507" s="6"/>
      <c r="ND507" s="6"/>
      <c r="NE507" s="6"/>
      <c r="NF507" s="6"/>
      <c r="NG507" s="6"/>
      <c r="NH507" s="6"/>
      <c r="NI507" s="6"/>
      <c r="NJ507" s="6"/>
      <c r="NK507" s="6"/>
      <c r="NL507" s="6"/>
      <c r="NM507" s="6"/>
      <c r="NN507" s="6"/>
      <c r="NO507" s="6"/>
      <c r="NP507" s="6"/>
      <c r="NQ507" s="6"/>
      <c r="NR507" s="6"/>
      <c r="NS507" s="6"/>
      <c r="NT507" s="6"/>
      <c r="NU507" s="6"/>
      <c r="NV507" s="6"/>
    </row>
    <row r="508" spans="1:386" s="19" customFormat="1" ht="20.100000000000001" customHeight="1" x14ac:dyDescent="0.35">
      <c r="A508" s="1"/>
      <c r="B508" s="2"/>
      <c r="C508" s="3"/>
      <c r="D508" s="2"/>
      <c r="E508" s="2"/>
      <c r="F508" s="4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9"/>
      <c r="FL508" s="9"/>
      <c r="FM508" s="9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135"/>
      <c r="IK508" s="135"/>
      <c r="IL508" s="135"/>
      <c r="IN508" s="6"/>
      <c r="IO508" s="6"/>
      <c r="IP508" s="6"/>
      <c r="IQ508" s="6"/>
      <c r="IR508" s="6"/>
      <c r="IS508" s="6"/>
      <c r="IT508" s="6"/>
      <c r="IU508" s="6"/>
      <c r="IV508" s="6"/>
      <c r="IW508" s="6"/>
      <c r="IX508" s="6"/>
      <c r="IY508" s="6"/>
      <c r="IZ508" s="6"/>
      <c r="JA508" s="6"/>
      <c r="JB508" s="6"/>
      <c r="JC508" s="6"/>
      <c r="JD508" s="6"/>
      <c r="JE508" s="6"/>
      <c r="JF508" s="6"/>
      <c r="JG508" s="6"/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6"/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6"/>
      <c r="KZ508" s="6"/>
      <c r="LA508" s="6"/>
      <c r="LB508" s="6"/>
      <c r="LC508" s="6"/>
      <c r="LD508" s="6"/>
      <c r="LE508" s="6"/>
      <c r="LF508" s="6"/>
      <c r="LG508" s="6"/>
      <c r="LH508" s="6"/>
      <c r="LI508" s="6"/>
      <c r="LJ508" s="6"/>
      <c r="LK508" s="6"/>
      <c r="LL508" s="6"/>
      <c r="LM508" s="6"/>
      <c r="LN508" s="6"/>
      <c r="LO508" s="6"/>
      <c r="LP508" s="6"/>
      <c r="LQ508" s="6"/>
      <c r="LR508" s="6"/>
      <c r="LS508" s="6"/>
      <c r="LT508" s="6"/>
      <c r="LU508" s="6"/>
      <c r="LV508" s="6"/>
      <c r="LW508" s="6"/>
      <c r="LX508" s="6"/>
      <c r="LY508" s="6"/>
      <c r="LZ508" s="6"/>
      <c r="MA508" s="6"/>
      <c r="MB508" s="6"/>
      <c r="MC508" s="6"/>
      <c r="MD508" s="6"/>
      <c r="ME508" s="6"/>
      <c r="MF508" s="6"/>
      <c r="MG508" s="6"/>
      <c r="MH508" s="6"/>
      <c r="MI508" s="6"/>
      <c r="MJ508" s="6"/>
      <c r="MK508" s="6"/>
      <c r="ML508" s="6"/>
      <c r="MM508" s="6"/>
      <c r="MN508" s="6"/>
      <c r="MO508" s="6"/>
      <c r="MP508" s="6"/>
      <c r="MQ508" s="6"/>
      <c r="MR508" s="6"/>
      <c r="MS508" s="6"/>
      <c r="MT508" s="6"/>
      <c r="MU508" s="6"/>
      <c r="MV508" s="6"/>
      <c r="MW508" s="6"/>
      <c r="MX508" s="6"/>
      <c r="MY508" s="6"/>
      <c r="MZ508" s="6"/>
      <c r="NA508" s="6"/>
      <c r="NB508" s="6"/>
      <c r="NC508" s="6"/>
      <c r="ND508" s="6"/>
      <c r="NE508" s="6"/>
      <c r="NF508" s="6"/>
      <c r="NG508" s="6"/>
      <c r="NH508" s="6"/>
      <c r="NI508" s="6"/>
      <c r="NJ508" s="6"/>
      <c r="NK508" s="6"/>
      <c r="NL508" s="6"/>
      <c r="NM508" s="6"/>
      <c r="NN508" s="6"/>
      <c r="NO508" s="6"/>
      <c r="NP508" s="6"/>
      <c r="NQ508" s="6"/>
      <c r="NR508" s="6"/>
      <c r="NS508" s="6"/>
      <c r="NT508" s="6"/>
      <c r="NU508" s="6"/>
      <c r="NV508" s="6"/>
    </row>
    <row r="509" spans="1:386" s="19" customFormat="1" ht="20.100000000000001" customHeight="1" x14ac:dyDescent="0.35">
      <c r="A509" s="1"/>
      <c r="B509" s="2"/>
      <c r="C509" s="3"/>
      <c r="D509" s="2"/>
      <c r="E509" s="2"/>
      <c r="F509" s="4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9"/>
      <c r="FL509" s="9"/>
      <c r="FM509" s="9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135"/>
      <c r="IK509" s="135"/>
      <c r="IL509" s="135"/>
      <c r="IN509" s="6"/>
      <c r="IO509" s="6"/>
      <c r="IP509" s="6"/>
      <c r="IQ509" s="6"/>
      <c r="IR509" s="6"/>
      <c r="IS509" s="6"/>
      <c r="IT509" s="6"/>
      <c r="IU509" s="6"/>
      <c r="IV509" s="6"/>
      <c r="IW509" s="6"/>
      <c r="IX509" s="6"/>
      <c r="IY509" s="6"/>
      <c r="IZ509" s="6"/>
      <c r="JA509" s="6"/>
      <c r="JB509" s="6"/>
      <c r="JC509" s="6"/>
      <c r="JD509" s="6"/>
      <c r="JE509" s="6"/>
      <c r="JF509" s="6"/>
      <c r="JG509" s="6"/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6"/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6"/>
      <c r="KZ509" s="6"/>
      <c r="LA509" s="6"/>
      <c r="LB509" s="6"/>
      <c r="LC509" s="6"/>
      <c r="LD509" s="6"/>
      <c r="LE509" s="6"/>
      <c r="LF509" s="6"/>
      <c r="LG509" s="6"/>
      <c r="LH509" s="6"/>
      <c r="LI509" s="6"/>
      <c r="LJ509" s="6"/>
      <c r="LK509" s="6"/>
      <c r="LL509" s="6"/>
      <c r="LM509" s="6"/>
      <c r="LN509" s="6"/>
      <c r="LO509" s="6"/>
      <c r="LP509" s="6"/>
      <c r="LQ509" s="6"/>
      <c r="LR509" s="6"/>
      <c r="LS509" s="6"/>
      <c r="LT509" s="6"/>
      <c r="LU509" s="6"/>
      <c r="LV509" s="6"/>
      <c r="LW509" s="6"/>
      <c r="LX509" s="6"/>
      <c r="LY509" s="6"/>
      <c r="LZ509" s="6"/>
      <c r="MA509" s="6"/>
      <c r="MB509" s="6"/>
      <c r="MC509" s="6"/>
      <c r="MD509" s="6"/>
      <c r="ME509" s="6"/>
      <c r="MF509" s="6"/>
      <c r="MG509" s="6"/>
      <c r="MH509" s="6"/>
      <c r="MI509" s="6"/>
      <c r="MJ509" s="6"/>
      <c r="MK509" s="6"/>
      <c r="ML509" s="6"/>
      <c r="MM509" s="6"/>
      <c r="MN509" s="6"/>
      <c r="MO509" s="6"/>
      <c r="MP509" s="6"/>
      <c r="MQ509" s="6"/>
      <c r="MR509" s="6"/>
      <c r="MS509" s="6"/>
      <c r="MT509" s="6"/>
      <c r="MU509" s="6"/>
      <c r="MV509" s="6"/>
      <c r="MW509" s="6"/>
      <c r="MX509" s="6"/>
      <c r="MY509" s="6"/>
      <c r="MZ509" s="6"/>
      <c r="NA509" s="6"/>
      <c r="NB509" s="6"/>
      <c r="NC509" s="6"/>
      <c r="ND509" s="6"/>
      <c r="NE509" s="6"/>
      <c r="NF509" s="6"/>
      <c r="NG509" s="6"/>
      <c r="NH509" s="6"/>
      <c r="NI509" s="6"/>
      <c r="NJ509" s="6"/>
      <c r="NK509" s="6"/>
      <c r="NL509" s="6"/>
      <c r="NM509" s="6"/>
      <c r="NN509" s="6"/>
      <c r="NO509" s="6"/>
      <c r="NP509" s="6"/>
      <c r="NQ509" s="6"/>
      <c r="NR509" s="6"/>
      <c r="NS509" s="6"/>
      <c r="NT509" s="6"/>
      <c r="NU509" s="6"/>
      <c r="NV509" s="6"/>
    </row>
    <row r="510" spans="1:386" s="19" customFormat="1" ht="20.100000000000001" customHeight="1" x14ac:dyDescent="0.35">
      <c r="A510" s="1"/>
      <c r="B510" s="2"/>
      <c r="C510" s="3"/>
      <c r="D510" s="2"/>
      <c r="E510" s="2"/>
      <c r="F510" s="4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9"/>
      <c r="FL510" s="9"/>
      <c r="FM510" s="9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135"/>
      <c r="IK510" s="135"/>
      <c r="IL510" s="135"/>
      <c r="IN510" s="6"/>
      <c r="IO510" s="6"/>
      <c r="IP510" s="6"/>
      <c r="IQ510" s="6"/>
      <c r="IR510" s="6"/>
      <c r="IS510" s="6"/>
      <c r="IT510" s="6"/>
      <c r="IU510" s="6"/>
      <c r="IV510" s="6"/>
      <c r="IW510" s="6"/>
      <c r="IX510" s="6"/>
      <c r="IY510" s="6"/>
      <c r="IZ510" s="6"/>
      <c r="JA510" s="6"/>
      <c r="JB510" s="6"/>
      <c r="JC510" s="6"/>
      <c r="JD510" s="6"/>
      <c r="JE510" s="6"/>
      <c r="JF510" s="6"/>
      <c r="JG510" s="6"/>
      <c r="JH510" s="6"/>
      <c r="JI510" s="6"/>
      <c r="JJ510" s="6"/>
      <c r="JK510" s="6"/>
      <c r="JL510" s="6"/>
      <c r="JM510" s="6"/>
      <c r="JN510" s="6"/>
      <c r="JO510" s="6"/>
      <c r="JP510" s="6"/>
      <c r="JQ510" s="6"/>
      <c r="JR510" s="6"/>
      <c r="JS510" s="6"/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6"/>
      <c r="KZ510" s="6"/>
      <c r="LA510" s="6"/>
      <c r="LB510" s="6"/>
      <c r="LC510" s="6"/>
      <c r="LD510" s="6"/>
      <c r="LE510" s="6"/>
      <c r="LF510" s="6"/>
      <c r="LG510" s="6"/>
      <c r="LH510" s="6"/>
      <c r="LI510" s="6"/>
      <c r="LJ510" s="6"/>
      <c r="LK510" s="6"/>
      <c r="LL510" s="6"/>
      <c r="LM510" s="6"/>
      <c r="LN510" s="6"/>
      <c r="LO510" s="6"/>
      <c r="LP510" s="6"/>
      <c r="LQ510" s="6"/>
      <c r="LR510" s="6"/>
      <c r="LS510" s="6"/>
      <c r="LT510" s="6"/>
      <c r="LU510" s="6"/>
      <c r="LV510" s="6"/>
      <c r="LW510" s="6"/>
      <c r="LX510" s="6"/>
      <c r="LY510" s="6"/>
      <c r="LZ510" s="6"/>
      <c r="MA510" s="6"/>
      <c r="MB510" s="6"/>
      <c r="MC510" s="6"/>
      <c r="MD510" s="6"/>
      <c r="ME510" s="6"/>
      <c r="MF510" s="6"/>
      <c r="MG510" s="6"/>
      <c r="MH510" s="6"/>
      <c r="MI510" s="6"/>
      <c r="MJ510" s="6"/>
      <c r="MK510" s="6"/>
      <c r="ML510" s="6"/>
      <c r="MM510" s="6"/>
      <c r="MN510" s="6"/>
      <c r="MO510" s="6"/>
      <c r="MP510" s="6"/>
      <c r="MQ510" s="6"/>
      <c r="MR510" s="6"/>
      <c r="MS510" s="6"/>
      <c r="MT510" s="6"/>
      <c r="MU510" s="6"/>
      <c r="MV510" s="6"/>
      <c r="MW510" s="6"/>
      <c r="MX510" s="6"/>
      <c r="MY510" s="6"/>
      <c r="MZ510" s="6"/>
      <c r="NA510" s="6"/>
      <c r="NB510" s="6"/>
      <c r="NC510" s="6"/>
      <c r="ND510" s="6"/>
      <c r="NE510" s="6"/>
      <c r="NF510" s="6"/>
      <c r="NG510" s="6"/>
      <c r="NH510" s="6"/>
      <c r="NI510" s="6"/>
      <c r="NJ510" s="6"/>
      <c r="NK510" s="6"/>
      <c r="NL510" s="6"/>
      <c r="NM510" s="6"/>
      <c r="NN510" s="6"/>
      <c r="NO510" s="6"/>
      <c r="NP510" s="6"/>
      <c r="NQ510" s="6"/>
      <c r="NR510" s="6"/>
      <c r="NS510" s="6"/>
      <c r="NT510" s="6"/>
      <c r="NU510" s="6"/>
      <c r="NV510" s="6"/>
    </row>
    <row r="511" spans="1:386" s="19" customFormat="1" ht="20.100000000000001" customHeight="1" x14ac:dyDescent="0.35">
      <c r="A511" s="1"/>
      <c r="B511" s="2"/>
      <c r="C511" s="3"/>
      <c r="D511" s="2"/>
      <c r="E511" s="2"/>
      <c r="F511" s="4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9"/>
      <c r="FL511" s="9"/>
      <c r="FM511" s="9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135"/>
      <c r="IK511" s="135"/>
      <c r="IL511" s="135"/>
      <c r="IN511" s="6"/>
      <c r="IO511" s="6"/>
      <c r="IP511" s="6"/>
      <c r="IQ511" s="6"/>
      <c r="IR511" s="6"/>
      <c r="IS511" s="6"/>
      <c r="IT511" s="6"/>
      <c r="IU511" s="6"/>
      <c r="IV511" s="6"/>
      <c r="IW511" s="6"/>
      <c r="IX511" s="6"/>
      <c r="IY511" s="6"/>
      <c r="IZ511" s="6"/>
      <c r="JA511" s="6"/>
      <c r="JB511" s="6"/>
      <c r="JC511" s="6"/>
      <c r="JD511" s="6"/>
      <c r="JE511" s="6"/>
      <c r="JF511" s="6"/>
      <c r="JG511" s="6"/>
      <c r="JH511" s="6"/>
      <c r="JI511" s="6"/>
      <c r="JJ511" s="6"/>
      <c r="JK511" s="6"/>
      <c r="JL511" s="6"/>
      <c r="JM511" s="6"/>
      <c r="JN511" s="6"/>
      <c r="JO511" s="6"/>
      <c r="JP511" s="6"/>
      <c r="JQ511" s="6"/>
      <c r="JR511" s="6"/>
      <c r="JS511" s="6"/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6"/>
      <c r="KZ511" s="6"/>
      <c r="LA511" s="6"/>
      <c r="LB511" s="6"/>
      <c r="LC511" s="6"/>
      <c r="LD511" s="6"/>
      <c r="LE511" s="6"/>
      <c r="LF511" s="6"/>
      <c r="LG511" s="6"/>
      <c r="LH511" s="6"/>
      <c r="LI511" s="6"/>
      <c r="LJ511" s="6"/>
      <c r="LK511" s="6"/>
      <c r="LL511" s="6"/>
      <c r="LM511" s="6"/>
      <c r="LN511" s="6"/>
      <c r="LO511" s="6"/>
      <c r="LP511" s="6"/>
      <c r="LQ511" s="6"/>
      <c r="LR511" s="6"/>
      <c r="LS511" s="6"/>
      <c r="LT511" s="6"/>
      <c r="LU511" s="6"/>
      <c r="LV511" s="6"/>
      <c r="LW511" s="6"/>
      <c r="LX511" s="6"/>
      <c r="LY511" s="6"/>
      <c r="LZ511" s="6"/>
      <c r="MA511" s="6"/>
      <c r="MB511" s="6"/>
      <c r="MC511" s="6"/>
      <c r="MD511" s="6"/>
      <c r="ME511" s="6"/>
      <c r="MF511" s="6"/>
      <c r="MG511" s="6"/>
      <c r="MH511" s="6"/>
      <c r="MI511" s="6"/>
      <c r="MJ511" s="6"/>
      <c r="MK511" s="6"/>
      <c r="ML511" s="6"/>
      <c r="MM511" s="6"/>
      <c r="MN511" s="6"/>
      <c r="MO511" s="6"/>
      <c r="MP511" s="6"/>
      <c r="MQ511" s="6"/>
      <c r="MR511" s="6"/>
      <c r="MS511" s="6"/>
      <c r="MT511" s="6"/>
      <c r="MU511" s="6"/>
      <c r="MV511" s="6"/>
      <c r="MW511" s="6"/>
      <c r="MX511" s="6"/>
      <c r="MY511" s="6"/>
      <c r="MZ511" s="6"/>
      <c r="NA511" s="6"/>
      <c r="NB511" s="6"/>
      <c r="NC511" s="6"/>
      <c r="ND511" s="6"/>
      <c r="NE511" s="6"/>
      <c r="NF511" s="6"/>
      <c r="NG511" s="6"/>
      <c r="NH511" s="6"/>
      <c r="NI511" s="6"/>
      <c r="NJ511" s="6"/>
      <c r="NK511" s="6"/>
      <c r="NL511" s="6"/>
      <c r="NM511" s="6"/>
      <c r="NN511" s="6"/>
      <c r="NO511" s="6"/>
      <c r="NP511" s="6"/>
      <c r="NQ511" s="6"/>
      <c r="NR511" s="6"/>
      <c r="NS511" s="6"/>
      <c r="NT511" s="6"/>
      <c r="NU511" s="6"/>
      <c r="NV511" s="6"/>
    </row>
    <row r="512" spans="1:386" s="19" customFormat="1" ht="20.100000000000001" customHeight="1" x14ac:dyDescent="0.35">
      <c r="A512" s="1"/>
      <c r="B512" s="2"/>
      <c r="C512" s="3"/>
      <c r="D512" s="2"/>
      <c r="E512" s="2"/>
      <c r="F512" s="4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9"/>
      <c r="FL512" s="9"/>
      <c r="FM512" s="9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135"/>
      <c r="IK512" s="135"/>
      <c r="IL512" s="135"/>
      <c r="IN512" s="6"/>
      <c r="IO512" s="6"/>
      <c r="IP512" s="6"/>
      <c r="IQ512" s="6"/>
      <c r="IR512" s="6"/>
      <c r="IS512" s="6"/>
      <c r="IT512" s="6"/>
      <c r="IU512" s="6"/>
      <c r="IV512" s="6"/>
      <c r="IW512" s="6"/>
      <c r="IX512" s="6"/>
      <c r="IY512" s="6"/>
      <c r="IZ512" s="6"/>
      <c r="JA512" s="6"/>
      <c r="JB512" s="6"/>
      <c r="JC512" s="6"/>
      <c r="JD512" s="6"/>
      <c r="JE512" s="6"/>
      <c r="JF512" s="6"/>
      <c r="JG512" s="6"/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6"/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6"/>
      <c r="KZ512" s="6"/>
      <c r="LA512" s="6"/>
      <c r="LB512" s="6"/>
      <c r="LC512" s="6"/>
      <c r="LD512" s="6"/>
      <c r="LE512" s="6"/>
      <c r="LF512" s="6"/>
      <c r="LG512" s="6"/>
      <c r="LH512" s="6"/>
      <c r="LI512" s="6"/>
      <c r="LJ512" s="6"/>
      <c r="LK512" s="6"/>
      <c r="LL512" s="6"/>
      <c r="LM512" s="6"/>
      <c r="LN512" s="6"/>
      <c r="LO512" s="6"/>
      <c r="LP512" s="6"/>
      <c r="LQ512" s="6"/>
      <c r="LR512" s="6"/>
      <c r="LS512" s="6"/>
      <c r="LT512" s="6"/>
      <c r="LU512" s="6"/>
      <c r="LV512" s="6"/>
      <c r="LW512" s="6"/>
      <c r="LX512" s="6"/>
      <c r="LY512" s="6"/>
      <c r="LZ512" s="6"/>
      <c r="MA512" s="6"/>
      <c r="MB512" s="6"/>
      <c r="MC512" s="6"/>
      <c r="MD512" s="6"/>
      <c r="ME512" s="6"/>
      <c r="MF512" s="6"/>
      <c r="MG512" s="6"/>
      <c r="MH512" s="6"/>
      <c r="MI512" s="6"/>
      <c r="MJ512" s="6"/>
      <c r="MK512" s="6"/>
      <c r="ML512" s="6"/>
      <c r="MM512" s="6"/>
      <c r="MN512" s="6"/>
      <c r="MO512" s="6"/>
      <c r="MP512" s="6"/>
      <c r="MQ512" s="6"/>
      <c r="MR512" s="6"/>
      <c r="MS512" s="6"/>
      <c r="MT512" s="6"/>
      <c r="MU512" s="6"/>
      <c r="MV512" s="6"/>
      <c r="MW512" s="6"/>
      <c r="MX512" s="6"/>
      <c r="MY512" s="6"/>
      <c r="MZ512" s="6"/>
      <c r="NA512" s="6"/>
      <c r="NB512" s="6"/>
      <c r="NC512" s="6"/>
      <c r="ND512" s="6"/>
      <c r="NE512" s="6"/>
      <c r="NF512" s="6"/>
      <c r="NG512" s="6"/>
      <c r="NH512" s="6"/>
      <c r="NI512" s="6"/>
      <c r="NJ512" s="6"/>
      <c r="NK512" s="6"/>
      <c r="NL512" s="6"/>
      <c r="NM512" s="6"/>
      <c r="NN512" s="6"/>
      <c r="NO512" s="6"/>
      <c r="NP512" s="6"/>
      <c r="NQ512" s="6"/>
      <c r="NR512" s="6"/>
      <c r="NS512" s="6"/>
      <c r="NT512" s="6"/>
      <c r="NU512" s="6"/>
      <c r="NV512" s="6"/>
    </row>
    <row r="513" spans="1:386" s="19" customFormat="1" ht="20.100000000000001" customHeight="1" x14ac:dyDescent="0.35">
      <c r="A513" s="1"/>
      <c r="B513" s="2"/>
      <c r="C513" s="3"/>
      <c r="D513" s="2"/>
      <c r="E513" s="2"/>
      <c r="F513" s="4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9"/>
      <c r="FL513" s="9"/>
      <c r="FM513" s="9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135"/>
      <c r="IK513" s="135"/>
      <c r="IL513" s="135"/>
      <c r="IN513" s="6"/>
      <c r="IO513" s="6"/>
      <c r="IP513" s="6"/>
      <c r="IQ513" s="6"/>
      <c r="IR513" s="6"/>
      <c r="IS513" s="6"/>
      <c r="IT513" s="6"/>
      <c r="IU513" s="6"/>
      <c r="IV513" s="6"/>
      <c r="IW513" s="6"/>
      <c r="IX513" s="6"/>
      <c r="IY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6"/>
      <c r="KZ513" s="6"/>
      <c r="LA513" s="6"/>
      <c r="LB513" s="6"/>
      <c r="LC513" s="6"/>
      <c r="LD513" s="6"/>
      <c r="LE513" s="6"/>
      <c r="LF513" s="6"/>
      <c r="LG513" s="6"/>
      <c r="LH513" s="6"/>
      <c r="LI513" s="6"/>
      <c r="LJ513" s="6"/>
      <c r="LK513" s="6"/>
      <c r="LL513" s="6"/>
      <c r="LM513" s="6"/>
      <c r="LN513" s="6"/>
      <c r="LO513" s="6"/>
      <c r="LP513" s="6"/>
      <c r="LQ513" s="6"/>
      <c r="LR513" s="6"/>
      <c r="LS513" s="6"/>
      <c r="LT513" s="6"/>
      <c r="LU513" s="6"/>
      <c r="LV513" s="6"/>
      <c r="LW513" s="6"/>
      <c r="LX513" s="6"/>
      <c r="LY513" s="6"/>
      <c r="LZ513" s="6"/>
      <c r="MA513" s="6"/>
      <c r="MB513" s="6"/>
      <c r="MC513" s="6"/>
      <c r="MD513" s="6"/>
      <c r="ME513" s="6"/>
      <c r="MF513" s="6"/>
      <c r="MG513" s="6"/>
      <c r="MH513" s="6"/>
      <c r="MI513" s="6"/>
      <c r="MJ513" s="6"/>
      <c r="MK513" s="6"/>
      <c r="ML513" s="6"/>
      <c r="MM513" s="6"/>
      <c r="MN513" s="6"/>
      <c r="MO513" s="6"/>
      <c r="MP513" s="6"/>
      <c r="MQ513" s="6"/>
      <c r="MR513" s="6"/>
      <c r="MS513" s="6"/>
      <c r="MT513" s="6"/>
      <c r="MU513" s="6"/>
      <c r="MV513" s="6"/>
      <c r="MW513" s="6"/>
      <c r="MX513" s="6"/>
      <c r="MY513" s="6"/>
      <c r="MZ513" s="6"/>
      <c r="NA513" s="6"/>
      <c r="NB513" s="6"/>
      <c r="NC513" s="6"/>
      <c r="ND513" s="6"/>
      <c r="NE513" s="6"/>
      <c r="NF513" s="6"/>
      <c r="NG513" s="6"/>
      <c r="NH513" s="6"/>
      <c r="NI513" s="6"/>
      <c r="NJ513" s="6"/>
      <c r="NK513" s="6"/>
      <c r="NL513" s="6"/>
      <c r="NM513" s="6"/>
      <c r="NN513" s="6"/>
      <c r="NO513" s="6"/>
      <c r="NP513" s="6"/>
      <c r="NQ513" s="6"/>
      <c r="NR513" s="6"/>
      <c r="NS513" s="6"/>
      <c r="NT513" s="6"/>
      <c r="NU513" s="6"/>
      <c r="NV513" s="6"/>
    </row>
    <row r="514" spans="1:386" s="19" customFormat="1" ht="20.100000000000001" customHeight="1" x14ac:dyDescent="0.35">
      <c r="A514" s="1"/>
      <c r="B514" s="2"/>
      <c r="C514" s="3"/>
      <c r="D514" s="2"/>
      <c r="E514" s="2"/>
      <c r="F514" s="4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9"/>
      <c r="FL514" s="9"/>
      <c r="FM514" s="9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135"/>
      <c r="IK514" s="135"/>
      <c r="IL514" s="135"/>
      <c r="IN514" s="6"/>
      <c r="IO514" s="6"/>
      <c r="IP514" s="6"/>
      <c r="IQ514" s="6"/>
      <c r="IR514" s="6"/>
      <c r="IS514" s="6"/>
      <c r="IT514" s="6"/>
      <c r="IU514" s="6"/>
      <c r="IV514" s="6"/>
      <c r="IW514" s="6"/>
      <c r="IX514" s="6"/>
      <c r="IY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6"/>
      <c r="KZ514" s="6"/>
      <c r="LA514" s="6"/>
      <c r="LB514" s="6"/>
      <c r="LC514" s="6"/>
      <c r="LD514" s="6"/>
      <c r="LE514" s="6"/>
      <c r="LF514" s="6"/>
      <c r="LG514" s="6"/>
      <c r="LH514" s="6"/>
      <c r="LI514" s="6"/>
      <c r="LJ514" s="6"/>
      <c r="LK514" s="6"/>
      <c r="LL514" s="6"/>
      <c r="LM514" s="6"/>
      <c r="LN514" s="6"/>
      <c r="LO514" s="6"/>
      <c r="LP514" s="6"/>
      <c r="LQ514" s="6"/>
      <c r="LR514" s="6"/>
      <c r="LS514" s="6"/>
      <c r="LT514" s="6"/>
      <c r="LU514" s="6"/>
      <c r="LV514" s="6"/>
      <c r="LW514" s="6"/>
      <c r="LX514" s="6"/>
      <c r="LY514" s="6"/>
      <c r="LZ514" s="6"/>
      <c r="MA514" s="6"/>
      <c r="MB514" s="6"/>
      <c r="MC514" s="6"/>
      <c r="MD514" s="6"/>
      <c r="ME514" s="6"/>
      <c r="MF514" s="6"/>
      <c r="MG514" s="6"/>
      <c r="MH514" s="6"/>
      <c r="MI514" s="6"/>
      <c r="MJ514" s="6"/>
      <c r="MK514" s="6"/>
      <c r="ML514" s="6"/>
      <c r="MM514" s="6"/>
      <c r="MN514" s="6"/>
      <c r="MO514" s="6"/>
      <c r="MP514" s="6"/>
      <c r="MQ514" s="6"/>
      <c r="MR514" s="6"/>
      <c r="MS514" s="6"/>
      <c r="MT514" s="6"/>
      <c r="MU514" s="6"/>
      <c r="MV514" s="6"/>
      <c r="MW514" s="6"/>
      <c r="MX514" s="6"/>
      <c r="MY514" s="6"/>
      <c r="MZ514" s="6"/>
      <c r="NA514" s="6"/>
      <c r="NB514" s="6"/>
      <c r="NC514" s="6"/>
      <c r="ND514" s="6"/>
      <c r="NE514" s="6"/>
      <c r="NF514" s="6"/>
      <c r="NG514" s="6"/>
      <c r="NH514" s="6"/>
      <c r="NI514" s="6"/>
      <c r="NJ514" s="6"/>
      <c r="NK514" s="6"/>
      <c r="NL514" s="6"/>
      <c r="NM514" s="6"/>
      <c r="NN514" s="6"/>
      <c r="NO514" s="6"/>
      <c r="NP514" s="6"/>
      <c r="NQ514" s="6"/>
      <c r="NR514" s="6"/>
      <c r="NS514" s="6"/>
      <c r="NT514" s="6"/>
      <c r="NU514" s="6"/>
      <c r="NV514" s="6"/>
    </row>
    <row r="515" spans="1:386" s="19" customFormat="1" ht="20.100000000000001" customHeight="1" x14ac:dyDescent="0.35">
      <c r="A515" s="1"/>
      <c r="B515" s="2"/>
      <c r="C515" s="3"/>
      <c r="D515" s="2"/>
      <c r="E515" s="2"/>
      <c r="F515" s="4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9"/>
      <c r="FL515" s="9"/>
      <c r="FM515" s="9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135"/>
      <c r="IK515" s="135"/>
      <c r="IL515" s="135"/>
      <c r="IN515" s="6"/>
      <c r="IO515" s="6"/>
      <c r="IP515" s="6"/>
      <c r="IQ515" s="6"/>
      <c r="IR515" s="6"/>
      <c r="IS515" s="6"/>
      <c r="IT515" s="6"/>
      <c r="IU515" s="6"/>
      <c r="IV515" s="6"/>
      <c r="IW515" s="6"/>
      <c r="IX515" s="6"/>
      <c r="IY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6"/>
      <c r="KZ515" s="6"/>
      <c r="LA515" s="6"/>
      <c r="LB515" s="6"/>
      <c r="LC515" s="6"/>
      <c r="LD515" s="6"/>
      <c r="LE515" s="6"/>
      <c r="LF515" s="6"/>
      <c r="LG515" s="6"/>
      <c r="LH515" s="6"/>
      <c r="LI515" s="6"/>
      <c r="LJ515" s="6"/>
      <c r="LK515" s="6"/>
      <c r="LL515" s="6"/>
      <c r="LM515" s="6"/>
      <c r="LN515" s="6"/>
      <c r="LO515" s="6"/>
      <c r="LP515" s="6"/>
      <c r="LQ515" s="6"/>
      <c r="LR515" s="6"/>
      <c r="LS515" s="6"/>
      <c r="LT515" s="6"/>
      <c r="LU515" s="6"/>
      <c r="LV515" s="6"/>
      <c r="LW515" s="6"/>
      <c r="LX515" s="6"/>
      <c r="LY515" s="6"/>
      <c r="LZ515" s="6"/>
      <c r="MA515" s="6"/>
      <c r="MB515" s="6"/>
      <c r="MC515" s="6"/>
      <c r="MD515" s="6"/>
      <c r="ME515" s="6"/>
      <c r="MF515" s="6"/>
      <c r="MG515" s="6"/>
      <c r="MH515" s="6"/>
      <c r="MI515" s="6"/>
      <c r="MJ515" s="6"/>
      <c r="MK515" s="6"/>
      <c r="ML515" s="6"/>
      <c r="MM515" s="6"/>
      <c r="MN515" s="6"/>
      <c r="MO515" s="6"/>
      <c r="MP515" s="6"/>
      <c r="MQ515" s="6"/>
      <c r="MR515" s="6"/>
      <c r="MS515" s="6"/>
      <c r="MT515" s="6"/>
      <c r="MU515" s="6"/>
      <c r="MV515" s="6"/>
      <c r="MW515" s="6"/>
      <c r="MX515" s="6"/>
      <c r="MY515" s="6"/>
      <c r="MZ515" s="6"/>
      <c r="NA515" s="6"/>
      <c r="NB515" s="6"/>
      <c r="NC515" s="6"/>
      <c r="ND515" s="6"/>
      <c r="NE515" s="6"/>
      <c r="NF515" s="6"/>
      <c r="NG515" s="6"/>
      <c r="NH515" s="6"/>
      <c r="NI515" s="6"/>
      <c r="NJ515" s="6"/>
      <c r="NK515" s="6"/>
      <c r="NL515" s="6"/>
      <c r="NM515" s="6"/>
      <c r="NN515" s="6"/>
      <c r="NO515" s="6"/>
      <c r="NP515" s="6"/>
      <c r="NQ515" s="6"/>
      <c r="NR515" s="6"/>
      <c r="NS515" s="6"/>
      <c r="NT515" s="6"/>
      <c r="NU515" s="6"/>
      <c r="NV515" s="6"/>
    </row>
    <row r="516" spans="1:386" s="19" customFormat="1" ht="20.100000000000001" customHeight="1" x14ac:dyDescent="0.35">
      <c r="A516" s="1"/>
      <c r="B516" s="2"/>
      <c r="C516" s="3"/>
      <c r="D516" s="2"/>
      <c r="E516" s="2"/>
      <c r="F516" s="4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9"/>
      <c r="FL516" s="9"/>
      <c r="FM516" s="9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135"/>
      <c r="IK516" s="135"/>
      <c r="IL516" s="135"/>
      <c r="IN516" s="6"/>
      <c r="IO516" s="6"/>
      <c r="IP516" s="6"/>
      <c r="IQ516" s="6"/>
      <c r="IR516" s="6"/>
      <c r="IS516" s="6"/>
      <c r="IT516" s="6"/>
      <c r="IU516" s="6"/>
      <c r="IV516" s="6"/>
      <c r="IW516" s="6"/>
      <c r="IX516" s="6"/>
      <c r="IY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6"/>
      <c r="KZ516" s="6"/>
      <c r="LA516" s="6"/>
      <c r="LB516" s="6"/>
      <c r="LC516" s="6"/>
      <c r="LD516" s="6"/>
      <c r="LE516" s="6"/>
      <c r="LF516" s="6"/>
      <c r="LG516" s="6"/>
      <c r="LH516" s="6"/>
      <c r="LI516" s="6"/>
      <c r="LJ516" s="6"/>
      <c r="LK516" s="6"/>
      <c r="LL516" s="6"/>
      <c r="LM516" s="6"/>
      <c r="LN516" s="6"/>
      <c r="LO516" s="6"/>
      <c r="LP516" s="6"/>
      <c r="LQ516" s="6"/>
      <c r="LR516" s="6"/>
      <c r="LS516" s="6"/>
      <c r="LT516" s="6"/>
      <c r="LU516" s="6"/>
      <c r="LV516" s="6"/>
      <c r="LW516" s="6"/>
      <c r="LX516" s="6"/>
      <c r="LY516" s="6"/>
      <c r="LZ516" s="6"/>
      <c r="MA516" s="6"/>
      <c r="MB516" s="6"/>
      <c r="MC516" s="6"/>
      <c r="MD516" s="6"/>
      <c r="ME516" s="6"/>
      <c r="MF516" s="6"/>
      <c r="MG516" s="6"/>
      <c r="MH516" s="6"/>
      <c r="MI516" s="6"/>
      <c r="MJ516" s="6"/>
      <c r="MK516" s="6"/>
      <c r="ML516" s="6"/>
      <c r="MM516" s="6"/>
      <c r="MN516" s="6"/>
      <c r="MO516" s="6"/>
      <c r="MP516" s="6"/>
      <c r="MQ516" s="6"/>
      <c r="MR516" s="6"/>
      <c r="MS516" s="6"/>
      <c r="MT516" s="6"/>
      <c r="MU516" s="6"/>
      <c r="MV516" s="6"/>
      <c r="MW516" s="6"/>
      <c r="MX516" s="6"/>
      <c r="MY516" s="6"/>
      <c r="MZ516" s="6"/>
      <c r="NA516" s="6"/>
      <c r="NB516" s="6"/>
      <c r="NC516" s="6"/>
      <c r="ND516" s="6"/>
      <c r="NE516" s="6"/>
      <c r="NF516" s="6"/>
      <c r="NG516" s="6"/>
      <c r="NH516" s="6"/>
      <c r="NI516" s="6"/>
      <c r="NJ516" s="6"/>
      <c r="NK516" s="6"/>
      <c r="NL516" s="6"/>
      <c r="NM516" s="6"/>
      <c r="NN516" s="6"/>
      <c r="NO516" s="6"/>
      <c r="NP516" s="6"/>
      <c r="NQ516" s="6"/>
      <c r="NR516" s="6"/>
      <c r="NS516" s="6"/>
      <c r="NT516" s="6"/>
      <c r="NU516" s="6"/>
      <c r="NV516" s="6"/>
    </row>
    <row r="517" spans="1:386" s="19" customFormat="1" ht="20.100000000000001" customHeight="1" x14ac:dyDescent="0.35">
      <c r="A517" s="1"/>
      <c r="B517" s="2"/>
      <c r="C517" s="3"/>
      <c r="D517" s="2"/>
      <c r="E517" s="2"/>
      <c r="F517" s="4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9"/>
      <c r="FL517" s="9"/>
      <c r="FM517" s="9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135"/>
      <c r="IK517" s="135"/>
      <c r="IL517" s="135"/>
      <c r="IN517" s="6"/>
      <c r="IO517" s="6"/>
      <c r="IP517" s="6"/>
      <c r="IQ517" s="6"/>
      <c r="IR517" s="6"/>
      <c r="IS517" s="6"/>
      <c r="IT517" s="6"/>
      <c r="IU517" s="6"/>
      <c r="IV517" s="6"/>
      <c r="IW517" s="6"/>
      <c r="IX517" s="6"/>
      <c r="IY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6"/>
      <c r="KZ517" s="6"/>
      <c r="LA517" s="6"/>
      <c r="LB517" s="6"/>
      <c r="LC517" s="6"/>
      <c r="LD517" s="6"/>
      <c r="LE517" s="6"/>
      <c r="LF517" s="6"/>
      <c r="LG517" s="6"/>
      <c r="LH517" s="6"/>
      <c r="LI517" s="6"/>
      <c r="LJ517" s="6"/>
      <c r="LK517" s="6"/>
      <c r="LL517" s="6"/>
      <c r="LM517" s="6"/>
      <c r="LN517" s="6"/>
      <c r="LO517" s="6"/>
      <c r="LP517" s="6"/>
      <c r="LQ517" s="6"/>
      <c r="LR517" s="6"/>
      <c r="LS517" s="6"/>
      <c r="LT517" s="6"/>
      <c r="LU517" s="6"/>
      <c r="LV517" s="6"/>
      <c r="LW517" s="6"/>
      <c r="LX517" s="6"/>
      <c r="LY517" s="6"/>
      <c r="LZ517" s="6"/>
      <c r="MA517" s="6"/>
      <c r="MB517" s="6"/>
      <c r="MC517" s="6"/>
      <c r="MD517" s="6"/>
      <c r="ME517" s="6"/>
      <c r="MF517" s="6"/>
      <c r="MG517" s="6"/>
      <c r="MH517" s="6"/>
      <c r="MI517" s="6"/>
      <c r="MJ517" s="6"/>
      <c r="MK517" s="6"/>
      <c r="ML517" s="6"/>
      <c r="MM517" s="6"/>
      <c r="MN517" s="6"/>
      <c r="MO517" s="6"/>
      <c r="MP517" s="6"/>
      <c r="MQ517" s="6"/>
      <c r="MR517" s="6"/>
      <c r="MS517" s="6"/>
      <c r="MT517" s="6"/>
      <c r="MU517" s="6"/>
      <c r="MV517" s="6"/>
      <c r="MW517" s="6"/>
      <c r="MX517" s="6"/>
      <c r="MY517" s="6"/>
      <c r="MZ517" s="6"/>
      <c r="NA517" s="6"/>
      <c r="NB517" s="6"/>
      <c r="NC517" s="6"/>
      <c r="ND517" s="6"/>
      <c r="NE517" s="6"/>
      <c r="NF517" s="6"/>
      <c r="NG517" s="6"/>
      <c r="NH517" s="6"/>
      <c r="NI517" s="6"/>
      <c r="NJ517" s="6"/>
      <c r="NK517" s="6"/>
      <c r="NL517" s="6"/>
      <c r="NM517" s="6"/>
      <c r="NN517" s="6"/>
      <c r="NO517" s="6"/>
      <c r="NP517" s="6"/>
      <c r="NQ517" s="6"/>
      <c r="NR517" s="6"/>
      <c r="NS517" s="6"/>
      <c r="NT517" s="6"/>
      <c r="NU517" s="6"/>
      <c r="NV517" s="6"/>
    </row>
    <row r="518" spans="1:386" s="19" customFormat="1" ht="20.100000000000001" customHeight="1" x14ac:dyDescent="0.35">
      <c r="A518" s="1"/>
      <c r="B518" s="2"/>
      <c r="C518" s="3"/>
      <c r="D518" s="2"/>
      <c r="E518" s="2"/>
      <c r="F518" s="4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9"/>
      <c r="FL518" s="9"/>
      <c r="FM518" s="9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135"/>
      <c r="IK518" s="135"/>
      <c r="IL518" s="135"/>
      <c r="IN518" s="6"/>
      <c r="IO518" s="6"/>
      <c r="IP518" s="6"/>
      <c r="IQ518" s="6"/>
      <c r="IR518" s="6"/>
      <c r="IS518" s="6"/>
      <c r="IT518" s="6"/>
      <c r="IU518" s="6"/>
      <c r="IV518" s="6"/>
      <c r="IW518" s="6"/>
      <c r="IX518" s="6"/>
      <c r="IY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6"/>
      <c r="KZ518" s="6"/>
      <c r="LA518" s="6"/>
      <c r="LB518" s="6"/>
      <c r="LC518" s="6"/>
      <c r="LD518" s="6"/>
      <c r="LE518" s="6"/>
      <c r="LF518" s="6"/>
      <c r="LG518" s="6"/>
      <c r="LH518" s="6"/>
      <c r="LI518" s="6"/>
      <c r="LJ518" s="6"/>
      <c r="LK518" s="6"/>
      <c r="LL518" s="6"/>
      <c r="LM518" s="6"/>
      <c r="LN518" s="6"/>
      <c r="LO518" s="6"/>
      <c r="LP518" s="6"/>
      <c r="LQ518" s="6"/>
      <c r="LR518" s="6"/>
      <c r="LS518" s="6"/>
      <c r="LT518" s="6"/>
      <c r="LU518" s="6"/>
      <c r="LV518" s="6"/>
      <c r="LW518" s="6"/>
      <c r="LX518" s="6"/>
      <c r="LY518" s="6"/>
      <c r="LZ518" s="6"/>
      <c r="MA518" s="6"/>
      <c r="MB518" s="6"/>
      <c r="MC518" s="6"/>
      <c r="MD518" s="6"/>
      <c r="ME518" s="6"/>
      <c r="MF518" s="6"/>
      <c r="MG518" s="6"/>
      <c r="MH518" s="6"/>
      <c r="MI518" s="6"/>
      <c r="MJ518" s="6"/>
      <c r="MK518" s="6"/>
      <c r="ML518" s="6"/>
      <c r="MM518" s="6"/>
      <c r="MN518" s="6"/>
      <c r="MO518" s="6"/>
      <c r="MP518" s="6"/>
      <c r="MQ518" s="6"/>
      <c r="MR518" s="6"/>
      <c r="MS518" s="6"/>
      <c r="MT518" s="6"/>
      <c r="MU518" s="6"/>
      <c r="MV518" s="6"/>
      <c r="MW518" s="6"/>
      <c r="MX518" s="6"/>
      <c r="MY518" s="6"/>
      <c r="MZ518" s="6"/>
      <c r="NA518" s="6"/>
      <c r="NB518" s="6"/>
      <c r="NC518" s="6"/>
      <c r="ND518" s="6"/>
      <c r="NE518" s="6"/>
      <c r="NF518" s="6"/>
      <c r="NG518" s="6"/>
      <c r="NH518" s="6"/>
      <c r="NI518" s="6"/>
      <c r="NJ518" s="6"/>
      <c r="NK518" s="6"/>
      <c r="NL518" s="6"/>
      <c r="NM518" s="6"/>
      <c r="NN518" s="6"/>
      <c r="NO518" s="6"/>
      <c r="NP518" s="6"/>
      <c r="NQ518" s="6"/>
      <c r="NR518" s="6"/>
      <c r="NS518" s="6"/>
      <c r="NT518" s="6"/>
      <c r="NU518" s="6"/>
      <c r="NV518" s="6"/>
    </row>
    <row r="519" spans="1:386" s="19" customFormat="1" ht="20.100000000000001" customHeight="1" x14ac:dyDescent="0.35">
      <c r="A519" s="1"/>
      <c r="B519" s="2"/>
      <c r="C519" s="3"/>
      <c r="D519" s="2"/>
      <c r="E519" s="2"/>
      <c r="F519" s="4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9"/>
      <c r="FL519" s="9"/>
      <c r="FM519" s="9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135"/>
      <c r="IK519" s="135"/>
      <c r="IL519" s="135"/>
      <c r="IN519" s="6"/>
      <c r="IO519" s="6"/>
      <c r="IP519" s="6"/>
      <c r="IQ519" s="6"/>
      <c r="IR519" s="6"/>
      <c r="IS519" s="6"/>
      <c r="IT519" s="6"/>
      <c r="IU519" s="6"/>
      <c r="IV519" s="6"/>
      <c r="IW519" s="6"/>
      <c r="IX519" s="6"/>
      <c r="IY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6"/>
      <c r="KZ519" s="6"/>
      <c r="LA519" s="6"/>
      <c r="LB519" s="6"/>
      <c r="LC519" s="6"/>
      <c r="LD519" s="6"/>
      <c r="LE519" s="6"/>
      <c r="LF519" s="6"/>
      <c r="LG519" s="6"/>
      <c r="LH519" s="6"/>
      <c r="LI519" s="6"/>
      <c r="LJ519" s="6"/>
      <c r="LK519" s="6"/>
      <c r="LL519" s="6"/>
      <c r="LM519" s="6"/>
      <c r="LN519" s="6"/>
      <c r="LO519" s="6"/>
      <c r="LP519" s="6"/>
      <c r="LQ519" s="6"/>
      <c r="LR519" s="6"/>
      <c r="LS519" s="6"/>
      <c r="LT519" s="6"/>
      <c r="LU519" s="6"/>
      <c r="LV519" s="6"/>
      <c r="LW519" s="6"/>
      <c r="LX519" s="6"/>
      <c r="LY519" s="6"/>
      <c r="LZ519" s="6"/>
      <c r="MA519" s="6"/>
      <c r="MB519" s="6"/>
      <c r="MC519" s="6"/>
      <c r="MD519" s="6"/>
      <c r="ME519" s="6"/>
      <c r="MF519" s="6"/>
      <c r="MG519" s="6"/>
      <c r="MH519" s="6"/>
      <c r="MI519" s="6"/>
      <c r="MJ519" s="6"/>
      <c r="MK519" s="6"/>
      <c r="ML519" s="6"/>
      <c r="MM519" s="6"/>
      <c r="MN519" s="6"/>
      <c r="MO519" s="6"/>
      <c r="MP519" s="6"/>
      <c r="MQ519" s="6"/>
      <c r="MR519" s="6"/>
      <c r="MS519" s="6"/>
      <c r="MT519" s="6"/>
      <c r="MU519" s="6"/>
      <c r="MV519" s="6"/>
      <c r="MW519" s="6"/>
      <c r="MX519" s="6"/>
      <c r="MY519" s="6"/>
      <c r="MZ519" s="6"/>
      <c r="NA519" s="6"/>
      <c r="NB519" s="6"/>
      <c r="NC519" s="6"/>
      <c r="ND519" s="6"/>
      <c r="NE519" s="6"/>
      <c r="NF519" s="6"/>
      <c r="NG519" s="6"/>
      <c r="NH519" s="6"/>
      <c r="NI519" s="6"/>
      <c r="NJ519" s="6"/>
      <c r="NK519" s="6"/>
      <c r="NL519" s="6"/>
      <c r="NM519" s="6"/>
      <c r="NN519" s="6"/>
      <c r="NO519" s="6"/>
      <c r="NP519" s="6"/>
      <c r="NQ519" s="6"/>
      <c r="NR519" s="6"/>
      <c r="NS519" s="6"/>
      <c r="NT519" s="6"/>
      <c r="NU519" s="6"/>
      <c r="NV519" s="6"/>
    </row>
    <row r="520" spans="1:386" s="19" customFormat="1" ht="20.100000000000001" customHeight="1" x14ac:dyDescent="0.35">
      <c r="A520" s="1"/>
      <c r="B520" s="2"/>
      <c r="C520" s="3"/>
      <c r="D520" s="2"/>
      <c r="E520" s="2"/>
      <c r="F520" s="4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9"/>
      <c r="FL520" s="9"/>
      <c r="FM520" s="9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135"/>
      <c r="IK520" s="135"/>
      <c r="IL520" s="135"/>
      <c r="IN520" s="6"/>
      <c r="IO520" s="6"/>
      <c r="IP520" s="6"/>
      <c r="IQ520" s="6"/>
      <c r="IR520" s="6"/>
      <c r="IS520" s="6"/>
      <c r="IT520" s="6"/>
      <c r="IU520" s="6"/>
      <c r="IV520" s="6"/>
      <c r="IW520" s="6"/>
      <c r="IX520" s="6"/>
      <c r="IY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6"/>
      <c r="KZ520" s="6"/>
      <c r="LA520" s="6"/>
      <c r="LB520" s="6"/>
      <c r="LC520" s="6"/>
      <c r="LD520" s="6"/>
      <c r="LE520" s="6"/>
      <c r="LF520" s="6"/>
      <c r="LG520" s="6"/>
      <c r="LH520" s="6"/>
      <c r="LI520" s="6"/>
      <c r="LJ520" s="6"/>
      <c r="LK520" s="6"/>
      <c r="LL520" s="6"/>
      <c r="LM520" s="6"/>
      <c r="LN520" s="6"/>
      <c r="LO520" s="6"/>
      <c r="LP520" s="6"/>
      <c r="LQ520" s="6"/>
      <c r="LR520" s="6"/>
      <c r="LS520" s="6"/>
      <c r="LT520" s="6"/>
      <c r="LU520" s="6"/>
      <c r="LV520" s="6"/>
      <c r="LW520" s="6"/>
      <c r="LX520" s="6"/>
      <c r="LY520" s="6"/>
      <c r="LZ520" s="6"/>
      <c r="MA520" s="6"/>
      <c r="MB520" s="6"/>
      <c r="MC520" s="6"/>
      <c r="MD520" s="6"/>
      <c r="ME520" s="6"/>
      <c r="MF520" s="6"/>
      <c r="MG520" s="6"/>
      <c r="MH520" s="6"/>
      <c r="MI520" s="6"/>
      <c r="MJ520" s="6"/>
      <c r="MK520" s="6"/>
      <c r="ML520" s="6"/>
      <c r="MM520" s="6"/>
      <c r="MN520" s="6"/>
      <c r="MO520" s="6"/>
      <c r="MP520" s="6"/>
      <c r="MQ520" s="6"/>
      <c r="MR520" s="6"/>
      <c r="MS520" s="6"/>
      <c r="MT520" s="6"/>
      <c r="MU520" s="6"/>
      <c r="MV520" s="6"/>
      <c r="MW520" s="6"/>
      <c r="MX520" s="6"/>
      <c r="MY520" s="6"/>
      <c r="MZ520" s="6"/>
      <c r="NA520" s="6"/>
      <c r="NB520" s="6"/>
      <c r="NC520" s="6"/>
      <c r="ND520" s="6"/>
      <c r="NE520" s="6"/>
      <c r="NF520" s="6"/>
      <c r="NG520" s="6"/>
      <c r="NH520" s="6"/>
      <c r="NI520" s="6"/>
      <c r="NJ520" s="6"/>
      <c r="NK520" s="6"/>
      <c r="NL520" s="6"/>
      <c r="NM520" s="6"/>
      <c r="NN520" s="6"/>
      <c r="NO520" s="6"/>
      <c r="NP520" s="6"/>
      <c r="NQ520" s="6"/>
      <c r="NR520" s="6"/>
      <c r="NS520" s="6"/>
      <c r="NT520" s="6"/>
      <c r="NU520" s="6"/>
      <c r="NV520" s="6"/>
    </row>
    <row r="521" spans="1:386" s="19" customFormat="1" ht="20.100000000000001" customHeight="1" x14ac:dyDescent="0.35">
      <c r="A521" s="1"/>
      <c r="B521" s="2"/>
      <c r="C521" s="3"/>
      <c r="D521" s="2"/>
      <c r="E521" s="2"/>
      <c r="F521" s="4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9"/>
      <c r="FL521" s="9"/>
      <c r="FM521" s="9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135"/>
      <c r="IK521" s="135"/>
      <c r="IL521" s="135"/>
      <c r="IN521" s="6"/>
      <c r="IO521" s="6"/>
      <c r="IP521" s="6"/>
      <c r="IQ521" s="6"/>
      <c r="IR521" s="6"/>
      <c r="IS521" s="6"/>
      <c r="IT521" s="6"/>
      <c r="IU521" s="6"/>
      <c r="IV521" s="6"/>
      <c r="IW521" s="6"/>
      <c r="IX521" s="6"/>
      <c r="IY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6"/>
      <c r="KZ521" s="6"/>
      <c r="LA521" s="6"/>
      <c r="LB521" s="6"/>
      <c r="LC521" s="6"/>
      <c r="LD521" s="6"/>
      <c r="LE521" s="6"/>
      <c r="LF521" s="6"/>
      <c r="LG521" s="6"/>
      <c r="LH521" s="6"/>
      <c r="LI521" s="6"/>
      <c r="LJ521" s="6"/>
      <c r="LK521" s="6"/>
      <c r="LL521" s="6"/>
      <c r="LM521" s="6"/>
      <c r="LN521" s="6"/>
      <c r="LO521" s="6"/>
      <c r="LP521" s="6"/>
      <c r="LQ521" s="6"/>
      <c r="LR521" s="6"/>
      <c r="LS521" s="6"/>
      <c r="LT521" s="6"/>
      <c r="LU521" s="6"/>
      <c r="LV521" s="6"/>
      <c r="LW521" s="6"/>
      <c r="LX521" s="6"/>
      <c r="LY521" s="6"/>
      <c r="LZ521" s="6"/>
      <c r="MA521" s="6"/>
      <c r="MB521" s="6"/>
      <c r="MC521" s="6"/>
      <c r="MD521" s="6"/>
      <c r="ME521" s="6"/>
      <c r="MF521" s="6"/>
      <c r="MG521" s="6"/>
      <c r="MH521" s="6"/>
      <c r="MI521" s="6"/>
      <c r="MJ521" s="6"/>
      <c r="MK521" s="6"/>
      <c r="ML521" s="6"/>
      <c r="MM521" s="6"/>
      <c r="MN521" s="6"/>
      <c r="MO521" s="6"/>
      <c r="MP521" s="6"/>
      <c r="MQ521" s="6"/>
      <c r="MR521" s="6"/>
      <c r="MS521" s="6"/>
      <c r="MT521" s="6"/>
      <c r="MU521" s="6"/>
      <c r="MV521" s="6"/>
      <c r="MW521" s="6"/>
      <c r="MX521" s="6"/>
      <c r="MY521" s="6"/>
      <c r="MZ521" s="6"/>
      <c r="NA521" s="6"/>
      <c r="NB521" s="6"/>
      <c r="NC521" s="6"/>
      <c r="ND521" s="6"/>
      <c r="NE521" s="6"/>
      <c r="NF521" s="6"/>
      <c r="NG521" s="6"/>
      <c r="NH521" s="6"/>
      <c r="NI521" s="6"/>
      <c r="NJ521" s="6"/>
      <c r="NK521" s="6"/>
      <c r="NL521" s="6"/>
      <c r="NM521" s="6"/>
      <c r="NN521" s="6"/>
      <c r="NO521" s="6"/>
      <c r="NP521" s="6"/>
      <c r="NQ521" s="6"/>
      <c r="NR521" s="6"/>
      <c r="NS521" s="6"/>
      <c r="NT521" s="6"/>
      <c r="NU521" s="6"/>
      <c r="NV521" s="6"/>
    </row>
    <row r="522" spans="1:386" s="19" customFormat="1" ht="20.100000000000001" customHeight="1" x14ac:dyDescent="0.35">
      <c r="A522" s="1"/>
      <c r="B522" s="2"/>
      <c r="C522" s="3"/>
      <c r="D522" s="2"/>
      <c r="E522" s="2"/>
      <c r="F522" s="4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9"/>
      <c r="FL522" s="9"/>
      <c r="FM522" s="9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135"/>
      <c r="IK522" s="135"/>
      <c r="IL522" s="135"/>
      <c r="IN522" s="6"/>
      <c r="IO522" s="6"/>
      <c r="IP522" s="6"/>
      <c r="IQ522" s="6"/>
      <c r="IR522" s="6"/>
      <c r="IS522" s="6"/>
      <c r="IT522" s="6"/>
      <c r="IU522" s="6"/>
      <c r="IV522" s="6"/>
      <c r="IW522" s="6"/>
      <c r="IX522" s="6"/>
      <c r="IY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6"/>
      <c r="KZ522" s="6"/>
      <c r="LA522" s="6"/>
      <c r="LB522" s="6"/>
      <c r="LC522" s="6"/>
      <c r="LD522" s="6"/>
      <c r="LE522" s="6"/>
      <c r="LF522" s="6"/>
      <c r="LG522" s="6"/>
      <c r="LH522" s="6"/>
      <c r="LI522" s="6"/>
      <c r="LJ522" s="6"/>
      <c r="LK522" s="6"/>
      <c r="LL522" s="6"/>
      <c r="LM522" s="6"/>
      <c r="LN522" s="6"/>
      <c r="LO522" s="6"/>
      <c r="LP522" s="6"/>
      <c r="LQ522" s="6"/>
      <c r="LR522" s="6"/>
      <c r="LS522" s="6"/>
      <c r="LT522" s="6"/>
      <c r="LU522" s="6"/>
      <c r="LV522" s="6"/>
      <c r="LW522" s="6"/>
      <c r="LX522" s="6"/>
      <c r="LY522" s="6"/>
      <c r="LZ522" s="6"/>
      <c r="MA522" s="6"/>
      <c r="MB522" s="6"/>
      <c r="MC522" s="6"/>
      <c r="MD522" s="6"/>
      <c r="ME522" s="6"/>
      <c r="MF522" s="6"/>
      <c r="MG522" s="6"/>
      <c r="MH522" s="6"/>
      <c r="MI522" s="6"/>
      <c r="MJ522" s="6"/>
      <c r="MK522" s="6"/>
      <c r="ML522" s="6"/>
      <c r="MM522" s="6"/>
      <c r="MN522" s="6"/>
      <c r="MO522" s="6"/>
      <c r="MP522" s="6"/>
      <c r="MQ522" s="6"/>
      <c r="MR522" s="6"/>
      <c r="MS522" s="6"/>
      <c r="MT522" s="6"/>
      <c r="MU522" s="6"/>
      <c r="MV522" s="6"/>
      <c r="MW522" s="6"/>
      <c r="MX522" s="6"/>
      <c r="MY522" s="6"/>
      <c r="MZ522" s="6"/>
      <c r="NA522" s="6"/>
      <c r="NB522" s="6"/>
      <c r="NC522" s="6"/>
      <c r="ND522" s="6"/>
      <c r="NE522" s="6"/>
      <c r="NF522" s="6"/>
      <c r="NG522" s="6"/>
      <c r="NH522" s="6"/>
      <c r="NI522" s="6"/>
      <c r="NJ522" s="6"/>
      <c r="NK522" s="6"/>
      <c r="NL522" s="6"/>
      <c r="NM522" s="6"/>
      <c r="NN522" s="6"/>
      <c r="NO522" s="6"/>
      <c r="NP522" s="6"/>
      <c r="NQ522" s="6"/>
      <c r="NR522" s="6"/>
      <c r="NS522" s="6"/>
      <c r="NT522" s="6"/>
      <c r="NU522" s="6"/>
      <c r="NV522" s="6"/>
    </row>
    <row r="523" spans="1:386" s="19" customFormat="1" ht="20.100000000000001" customHeight="1" x14ac:dyDescent="0.35">
      <c r="A523" s="1"/>
      <c r="B523" s="2"/>
      <c r="C523" s="3"/>
      <c r="D523" s="2"/>
      <c r="E523" s="2"/>
      <c r="F523" s="4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9"/>
      <c r="FL523" s="9"/>
      <c r="FM523" s="9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135"/>
      <c r="IK523" s="135"/>
      <c r="IL523" s="135"/>
      <c r="IN523" s="6"/>
      <c r="IO523" s="6"/>
      <c r="IP523" s="6"/>
      <c r="IQ523" s="6"/>
      <c r="IR523" s="6"/>
      <c r="IS523" s="6"/>
      <c r="IT523" s="6"/>
      <c r="IU523" s="6"/>
      <c r="IV523" s="6"/>
      <c r="IW523" s="6"/>
      <c r="IX523" s="6"/>
      <c r="IY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6"/>
      <c r="KZ523" s="6"/>
      <c r="LA523" s="6"/>
      <c r="LB523" s="6"/>
      <c r="LC523" s="6"/>
      <c r="LD523" s="6"/>
      <c r="LE523" s="6"/>
      <c r="LF523" s="6"/>
      <c r="LG523" s="6"/>
      <c r="LH523" s="6"/>
      <c r="LI523" s="6"/>
      <c r="LJ523" s="6"/>
      <c r="LK523" s="6"/>
      <c r="LL523" s="6"/>
      <c r="LM523" s="6"/>
      <c r="LN523" s="6"/>
      <c r="LO523" s="6"/>
      <c r="LP523" s="6"/>
      <c r="LQ523" s="6"/>
      <c r="LR523" s="6"/>
      <c r="LS523" s="6"/>
      <c r="LT523" s="6"/>
      <c r="LU523" s="6"/>
      <c r="LV523" s="6"/>
      <c r="LW523" s="6"/>
      <c r="LX523" s="6"/>
      <c r="LY523" s="6"/>
      <c r="LZ523" s="6"/>
      <c r="MA523" s="6"/>
      <c r="MB523" s="6"/>
      <c r="MC523" s="6"/>
      <c r="MD523" s="6"/>
      <c r="ME523" s="6"/>
      <c r="MF523" s="6"/>
      <c r="MG523" s="6"/>
      <c r="MH523" s="6"/>
      <c r="MI523" s="6"/>
      <c r="MJ523" s="6"/>
      <c r="MK523" s="6"/>
      <c r="ML523" s="6"/>
      <c r="MM523" s="6"/>
      <c r="MN523" s="6"/>
      <c r="MO523" s="6"/>
      <c r="MP523" s="6"/>
      <c r="MQ523" s="6"/>
      <c r="MR523" s="6"/>
      <c r="MS523" s="6"/>
      <c r="MT523" s="6"/>
      <c r="MU523" s="6"/>
      <c r="MV523" s="6"/>
      <c r="MW523" s="6"/>
      <c r="MX523" s="6"/>
      <c r="MY523" s="6"/>
      <c r="MZ523" s="6"/>
      <c r="NA523" s="6"/>
      <c r="NB523" s="6"/>
      <c r="NC523" s="6"/>
      <c r="ND523" s="6"/>
      <c r="NE523" s="6"/>
      <c r="NF523" s="6"/>
      <c r="NG523" s="6"/>
      <c r="NH523" s="6"/>
      <c r="NI523" s="6"/>
      <c r="NJ523" s="6"/>
      <c r="NK523" s="6"/>
      <c r="NL523" s="6"/>
      <c r="NM523" s="6"/>
      <c r="NN523" s="6"/>
      <c r="NO523" s="6"/>
      <c r="NP523" s="6"/>
      <c r="NQ523" s="6"/>
      <c r="NR523" s="6"/>
      <c r="NS523" s="6"/>
      <c r="NT523" s="6"/>
      <c r="NU523" s="6"/>
      <c r="NV523" s="6"/>
    </row>
    <row r="524" spans="1:386" s="19" customFormat="1" ht="20.100000000000001" customHeight="1" x14ac:dyDescent="0.35">
      <c r="A524" s="1"/>
      <c r="B524" s="2"/>
      <c r="C524" s="3"/>
      <c r="D524" s="2"/>
      <c r="E524" s="2"/>
      <c r="F524" s="4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9"/>
      <c r="FL524" s="9"/>
      <c r="FM524" s="9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135"/>
      <c r="IK524" s="135"/>
      <c r="IL524" s="135"/>
      <c r="IN524" s="6"/>
      <c r="IO524" s="6"/>
      <c r="IP524" s="6"/>
      <c r="IQ524" s="6"/>
      <c r="IR524" s="6"/>
      <c r="IS524" s="6"/>
      <c r="IT524" s="6"/>
      <c r="IU524" s="6"/>
      <c r="IV524" s="6"/>
      <c r="IW524" s="6"/>
      <c r="IX524" s="6"/>
      <c r="IY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6"/>
      <c r="KZ524" s="6"/>
      <c r="LA524" s="6"/>
      <c r="LB524" s="6"/>
      <c r="LC524" s="6"/>
      <c r="LD524" s="6"/>
      <c r="LE524" s="6"/>
      <c r="LF524" s="6"/>
      <c r="LG524" s="6"/>
      <c r="LH524" s="6"/>
      <c r="LI524" s="6"/>
      <c r="LJ524" s="6"/>
      <c r="LK524" s="6"/>
      <c r="LL524" s="6"/>
      <c r="LM524" s="6"/>
      <c r="LN524" s="6"/>
      <c r="LO524" s="6"/>
      <c r="LP524" s="6"/>
      <c r="LQ524" s="6"/>
      <c r="LR524" s="6"/>
      <c r="LS524" s="6"/>
      <c r="LT524" s="6"/>
      <c r="LU524" s="6"/>
      <c r="LV524" s="6"/>
      <c r="LW524" s="6"/>
      <c r="LX524" s="6"/>
      <c r="LY524" s="6"/>
      <c r="LZ524" s="6"/>
      <c r="MA524" s="6"/>
      <c r="MB524" s="6"/>
      <c r="MC524" s="6"/>
      <c r="MD524" s="6"/>
      <c r="ME524" s="6"/>
      <c r="MF524" s="6"/>
      <c r="MG524" s="6"/>
      <c r="MH524" s="6"/>
      <c r="MI524" s="6"/>
      <c r="MJ524" s="6"/>
      <c r="MK524" s="6"/>
      <c r="ML524" s="6"/>
      <c r="MM524" s="6"/>
      <c r="MN524" s="6"/>
      <c r="MO524" s="6"/>
      <c r="MP524" s="6"/>
      <c r="MQ524" s="6"/>
      <c r="MR524" s="6"/>
      <c r="MS524" s="6"/>
      <c r="MT524" s="6"/>
      <c r="MU524" s="6"/>
      <c r="MV524" s="6"/>
      <c r="MW524" s="6"/>
      <c r="MX524" s="6"/>
      <c r="MY524" s="6"/>
      <c r="MZ524" s="6"/>
      <c r="NA524" s="6"/>
      <c r="NB524" s="6"/>
      <c r="NC524" s="6"/>
      <c r="ND524" s="6"/>
      <c r="NE524" s="6"/>
      <c r="NF524" s="6"/>
      <c r="NG524" s="6"/>
      <c r="NH524" s="6"/>
      <c r="NI524" s="6"/>
      <c r="NJ524" s="6"/>
      <c r="NK524" s="6"/>
      <c r="NL524" s="6"/>
      <c r="NM524" s="6"/>
      <c r="NN524" s="6"/>
      <c r="NO524" s="6"/>
      <c r="NP524" s="6"/>
      <c r="NQ524" s="6"/>
      <c r="NR524" s="6"/>
      <c r="NS524" s="6"/>
      <c r="NT524" s="6"/>
      <c r="NU524" s="6"/>
      <c r="NV524" s="6"/>
    </row>
    <row r="525" spans="1:386" s="19" customFormat="1" ht="20.100000000000001" customHeight="1" x14ac:dyDescent="0.35">
      <c r="A525" s="1"/>
      <c r="B525" s="2"/>
      <c r="C525" s="3"/>
      <c r="D525" s="2"/>
      <c r="E525" s="2"/>
      <c r="F525" s="4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9"/>
      <c r="FL525" s="9"/>
      <c r="FM525" s="9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135"/>
      <c r="IK525" s="135"/>
      <c r="IL525" s="135"/>
      <c r="IN525" s="6"/>
      <c r="IO525" s="6"/>
      <c r="IP525" s="6"/>
      <c r="IQ525" s="6"/>
      <c r="IR525" s="6"/>
      <c r="IS525" s="6"/>
      <c r="IT525" s="6"/>
      <c r="IU525" s="6"/>
      <c r="IV525" s="6"/>
      <c r="IW525" s="6"/>
      <c r="IX525" s="6"/>
      <c r="IY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6"/>
      <c r="KZ525" s="6"/>
      <c r="LA525" s="6"/>
      <c r="LB525" s="6"/>
      <c r="LC525" s="6"/>
      <c r="LD525" s="6"/>
      <c r="LE525" s="6"/>
      <c r="LF525" s="6"/>
      <c r="LG525" s="6"/>
      <c r="LH525" s="6"/>
      <c r="LI525" s="6"/>
      <c r="LJ525" s="6"/>
      <c r="LK525" s="6"/>
      <c r="LL525" s="6"/>
      <c r="LM525" s="6"/>
      <c r="LN525" s="6"/>
      <c r="LO525" s="6"/>
      <c r="LP525" s="6"/>
      <c r="LQ525" s="6"/>
      <c r="LR525" s="6"/>
      <c r="LS525" s="6"/>
      <c r="LT525" s="6"/>
      <c r="LU525" s="6"/>
      <c r="LV525" s="6"/>
      <c r="LW525" s="6"/>
      <c r="LX525" s="6"/>
      <c r="LY525" s="6"/>
      <c r="LZ525" s="6"/>
      <c r="MA525" s="6"/>
      <c r="MB525" s="6"/>
      <c r="MC525" s="6"/>
      <c r="MD525" s="6"/>
      <c r="ME525" s="6"/>
      <c r="MF525" s="6"/>
      <c r="MG525" s="6"/>
      <c r="MH525" s="6"/>
      <c r="MI525" s="6"/>
      <c r="MJ525" s="6"/>
      <c r="MK525" s="6"/>
      <c r="ML525" s="6"/>
      <c r="MM525" s="6"/>
      <c r="MN525" s="6"/>
      <c r="MO525" s="6"/>
      <c r="MP525" s="6"/>
      <c r="MQ525" s="6"/>
      <c r="MR525" s="6"/>
      <c r="MS525" s="6"/>
      <c r="MT525" s="6"/>
      <c r="MU525" s="6"/>
      <c r="MV525" s="6"/>
      <c r="MW525" s="6"/>
      <c r="MX525" s="6"/>
      <c r="MY525" s="6"/>
      <c r="MZ525" s="6"/>
      <c r="NA525" s="6"/>
      <c r="NB525" s="6"/>
      <c r="NC525" s="6"/>
      <c r="ND525" s="6"/>
      <c r="NE525" s="6"/>
      <c r="NF525" s="6"/>
      <c r="NG525" s="6"/>
      <c r="NH525" s="6"/>
      <c r="NI525" s="6"/>
      <c r="NJ525" s="6"/>
      <c r="NK525" s="6"/>
      <c r="NL525" s="6"/>
      <c r="NM525" s="6"/>
      <c r="NN525" s="6"/>
      <c r="NO525" s="6"/>
      <c r="NP525" s="6"/>
      <c r="NQ525" s="6"/>
      <c r="NR525" s="6"/>
      <c r="NS525" s="6"/>
      <c r="NT525" s="6"/>
      <c r="NU525" s="6"/>
      <c r="NV525" s="6"/>
    </row>
    <row r="526" spans="1:386" s="19" customFormat="1" ht="20.100000000000001" customHeight="1" x14ac:dyDescent="0.35">
      <c r="A526" s="1"/>
      <c r="B526" s="2"/>
      <c r="C526" s="3"/>
      <c r="D526" s="2"/>
      <c r="E526" s="2"/>
      <c r="F526" s="4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9"/>
      <c r="FL526" s="9"/>
      <c r="FM526" s="9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135"/>
      <c r="IK526" s="135"/>
      <c r="IL526" s="135"/>
      <c r="IN526" s="6"/>
      <c r="IO526" s="6"/>
      <c r="IP526" s="6"/>
      <c r="IQ526" s="6"/>
      <c r="IR526" s="6"/>
      <c r="IS526" s="6"/>
      <c r="IT526" s="6"/>
      <c r="IU526" s="6"/>
      <c r="IV526" s="6"/>
      <c r="IW526" s="6"/>
      <c r="IX526" s="6"/>
      <c r="IY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6"/>
      <c r="KZ526" s="6"/>
      <c r="LA526" s="6"/>
      <c r="LB526" s="6"/>
      <c r="LC526" s="6"/>
      <c r="LD526" s="6"/>
      <c r="LE526" s="6"/>
      <c r="LF526" s="6"/>
      <c r="LG526" s="6"/>
      <c r="LH526" s="6"/>
      <c r="LI526" s="6"/>
      <c r="LJ526" s="6"/>
      <c r="LK526" s="6"/>
      <c r="LL526" s="6"/>
      <c r="LM526" s="6"/>
      <c r="LN526" s="6"/>
      <c r="LO526" s="6"/>
      <c r="LP526" s="6"/>
      <c r="LQ526" s="6"/>
      <c r="LR526" s="6"/>
      <c r="LS526" s="6"/>
      <c r="LT526" s="6"/>
      <c r="LU526" s="6"/>
      <c r="LV526" s="6"/>
      <c r="LW526" s="6"/>
      <c r="LX526" s="6"/>
      <c r="LY526" s="6"/>
      <c r="LZ526" s="6"/>
      <c r="MA526" s="6"/>
      <c r="MB526" s="6"/>
      <c r="MC526" s="6"/>
      <c r="MD526" s="6"/>
      <c r="ME526" s="6"/>
      <c r="MF526" s="6"/>
      <c r="MG526" s="6"/>
      <c r="MH526" s="6"/>
      <c r="MI526" s="6"/>
      <c r="MJ526" s="6"/>
      <c r="MK526" s="6"/>
      <c r="ML526" s="6"/>
      <c r="MM526" s="6"/>
      <c r="MN526" s="6"/>
      <c r="MO526" s="6"/>
      <c r="MP526" s="6"/>
      <c r="MQ526" s="6"/>
      <c r="MR526" s="6"/>
      <c r="MS526" s="6"/>
      <c r="MT526" s="6"/>
      <c r="MU526" s="6"/>
      <c r="MV526" s="6"/>
      <c r="MW526" s="6"/>
      <c r="MX526" s="6"/>
      <c r="MY526" s="6"/>
      <c r="MZ526" s="6"/>
      <c r="NA526" s="6"/>
      <c r="NB526" s="6"/>
      <c r="NC526" s="6"/>
      <c r="ND526" s="6"/>
      <c r="NE526" s="6"/>
      <c r="NF526" s="6"/>
      <c r="NG526" s="6"/>
      <c r="NH526" s="6"/>
      <c r="NI526" s="6"/>
      <c r="NJ526" s="6"/>
      <c r="NK526" s="6"/>
      <c r="NL526" s="6"/>
      <c r="NM526" s="6"/>
      <c r="NN526" s="6"/>
      <c r="NO526" s="6"/>
      <c r="NP526" s="6"/>
      <c r="NQ526" s="6"/>
      <c r="NR526" s="6"/>
      <c r="NS526" s="6"/>
      <c r="NT526" s="6"/>
      <c r="NU526" s="6"/>
      <c r="NV526" s="6"/>
    </row>
    <row r="527" spans="1:386" s="19" customFormat="1" ht="20.100000000000001" customHeight="1" x14ac:dyDescent="0.35">
      <c r="A527" s="1"/>
      <c r="B527" s="2"/>
      <c r="C527" s="3"/>
      <c r="D527" s="2"/>
      <c r="E527" s="2"/>
      <c r="F527" s="4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9"/>
      <c r="FL527" s="9"/>
      <c r="FM527" s="9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135"/>
      <c r="IK527" s="135"/>
      <c r="IL527" s="135"/>
      <c r="IN527" s="6"/>
      <c r="IO527" s="6"/>
      <c r="IP527" s="6"/>
      <c r="IQ527" s="6"/>
      <c r="IR527" s="6"/>
      <c r="IS527" s="6"/>
      <c r="IT527" s="6"/>
      <c r="IU527" s="6"/>
      <c r="IV527" s="6"/>
      <c r="IW527" s="6"/>
      <c r="IX527" s="6"/>
      <c r="IY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6"/>
      <c r="KZ527" s="6"/>
      <c r="LA527" s="6"/>
      <c r="LB527" s="6"/>
      <c r="LC527" s="6"/>
      <c r="LD527" s="6"/>
      <c r="LE527" s="6"/>
      <c r="LF527" s="6"/>
      <c r="LG527" s="6"/>
      <c r="LH527" s="6"/>
      <c r="LI527" s="6"/>
      <c r="LJ527" s="6"/>
      <c r="LK527" s="6"/>
      <c r="LL527" s="6"/>
      <c r="LM527" s="6"/>
      <c r="LN527" s="6"/>
      <c r="LO527" s="6"/>
      <c r="LP527" s="6"/>
      <c r="LQ527" s="6"/>
      <c r="LR527" s="6"/>
      <c r="LS527" s="6"/>
      <c r="LT527" s="6"/>
      <c r="LU527" s="6"/>
      <c r="LV527" s="6"/>
      <c r="LW527" s="6"/>
      <c r="LX527" s="6"/>
      <c r="LY527" s="6"/>
      <c r="LZ527" s="6"/>
      <c r="MA527" s="6"/>
      <c r="MB527" s="6"/>
      <c r="MC527" s="6"/>
      <c r="MD527" s="6"/>
      <c r="ME527" s="6"/>
      <c r="MF527" s="6"/>
      <c r="MG527" s="6"/>
      <c r="MH527" s="6"/>
      <c r="MI527" s="6"/>
      <c r="MJ527" s="6"/>
      <c r="MK527" s="6"/>
      <c r="ML527" s="6"/>
      <c r="MM527" s="6"/>
      <c r="MN527" s="6"/>
      <c r="MO527" s="6"/>
      <c r="MP527" s="6"/>
      <c r="MQ527" s="6"/>
      <c r="MR527" s="6"/>
      <c r="MS527" s="6"/>
      <c r="MT527" s="6"/>
      <c r="MU527" s="6"/>
      <c r="MV527" s="6"/>
      <c r="MW527" s="6"/>
      <c r="MX527" s="6"/>
      <c r="MY527" s="6"/>
      <c r="MZ527" s="6"/>
      <c r="NA527" s="6"/>
      <c r="NB527" s="6"/>
      <c r="NC527" s="6"/>
      <c r="ND527" s="6"/>
      <c r="NE527" s="6"/>
      <c r="NF527" s="6"/>
      <c r="NG527" s="6"/>
      <c r="NH527" s="6"/>
      <c r="NI527" s="6"/>
      <c r="NJ527" s="6"/>
      <c r="NK527" s="6"/>
      <c r="NL527" s="6"/>
      <c r="NM527" s="6"/>
      <c r="NN527" s="6"/>
      <c r="NO527" s="6"/>
      <c r="NP527" s="6"/>
      <c r="NQ527" s="6"/>
      <c r="NR527" s="6"/>
      <c r="NS527" s="6"/>
      <c r="NT527" s="6"/>
      <c r="NU527" s="6"/>
      <c r="NV527" s="6"/>
    </row>
    <row r="528" spans="1:386" s="19" customFormat="1" ht="20.100000000000001" customHeight="1" x14ac:dyDescent="0.35">
      <c r="A528" s="1"/>
      <c r="B528" s="2"/>
      <c r="C528" s="3"/>
      <c r="D528" s="2"/>
      <c r="E528" s="2"/>
      <c r="F528" s="4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9"/>
      <c r="FL528" s="9"/>
      <c r="FM528" s="9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135"/>
      <c r="IK528" s="135"/>
      <c r="IL528" s="135"/>
      <c r="IN528" s="6"/>
      <c r="IO528" s="6"/>
      <c r="IP528" s="6"/>
      <c r="IQ528" s="6"/>
      <c r="IR528" s="6"/>
      <c r="IS528" s="6"/>
      <c r="IT528" s="6"/>
      <c r="IU528" s="6"/>
      <c r="IV528" s="6"/>
      <c r="IW528" s="6"/>
      <c r="IX528" s="6"/>
      <c r="IY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6"/>
      <c r="KZ528" s="6"/>
      <c r="LA528" s="6"/>
      <c r="LB528" s="6"/>
      <c r="LC528" s="6"/>
      <c r="LD528" s="6"/>
      <c r="LE528" s="6"/>
      <c r="LF528" s="6"/>
      <c r="LG528" s="6"/>
      <c r="LH528" s="6"/>
      <c r="LI528" s="6"/>
      <c r="LJ528" s="6"/>
      <c r="LK528" s="6"/>
      <c r="LL528" s="6"/>
      <c r="LM528" s="6"/>
      <c r="LN528" s="6"/>
      <c r="LO528" s="6"/>
      <c r="LP528" s="6"/>
      <c r="LQ528" s="6"/>
      <c r="LR528" s="6"/>
      <c r="LS528" s="6"/>
      <c r="LT528" s="6"/>
      <c r="LU528" s="6"/>
      <c r="LV528" s="6"/>
      <c r="LW528" s="6"/>
      <c r="LX528" s="6"/>
      <c r="LY528" s="6"/>
      <c r="LZ528" s="6"/>
      <c r="MA528" s="6"/>
      <c r="MB528" s="6"/>
      <c r="MC528" s="6"/>
      <c r="MD528" s="6"/>
      <c r="ME528" s="6"/>
      <c r="MF528" s="6"/>
      <c r="MG528" s="6"/>
      <c r="MH528" s="6"/>
      <c r="MI528" s="6"/>
      <c r="MJ528" s="6"/>
      <c r="MK528" s="6"/>
      <c r="ML528" s="6"/>
      <c r="MM528" s="6"/>
      <c r="MN528" s="6"/>
      <c r="MO528" s="6"/>
      <c r="MP528" s="6"/>
      <c r="MQ528" s="6"/>
      <c r="MR528" s="6"/>
      <c r="MS528" s="6"/>
      <c r="MT528" s="6"/>
      <c r="MU528" s="6"/>
      <c r="MV528" s="6"/>
      <c r="MW528" s="6"/>
      <c r="MX528" s="6"/>
      <c r="MY528" s="6"/>
      <c r="MZ528" s="6"/>
      <c r="NA528" s="6"/>
      <c r="NB528" s="6"/>
      <c r="NC528" s="6"/>
      <c r="ND528" s="6"/>
      <c r="NE528" s="6"/>
      <c r="NF528" s="6"/>
      <c r="NG528" s="6"/>
      <c r="NH528" s="6"/>
      <c r="NI528" s="6"/>
      <c r="NJ528" s="6"/>
      <c r="NK528" s="6"/>
      <c r="NL528" s="6"/>
      <c r="NM528" s="6"/>
      <c r="NN528" s="6"/>
      <c r="NO528" s="6"/>
      <c r="NP528" s="6"/>
      <c r="NQ528" s="6"/>
      <c r="NR528" s="6"/>
      <c r="NS528" s="6"/>
      <c r="NT528" s="6"/>
      <c r="NU528" s="6"/>
      <c r="NV528" s="6"/>
    </row>
    <row r="529" spans="1:386" s="19" customFormat="1" ht="20.100000000000001" customHeight="1" x14ac:dyDescent="0.35">
      <c r="A529" s="1"/>
      <c r="B529" s="2"/>
      <c r="C529" s="3"/>
      <c r="D529" s="2"/>
      <c r="E529" s="2"/>
      <c r="F529" s="4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9"/>
      <c r="FL529" s="9"/>
      <c r="FM529" s="9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135"/>
      <c r="IK529" s="135"/>
      <c r="IL529" s="135"/>
      <c r="IN529" s="6"/>
      <c r="IO529" s="6"/>
      <c r="IP529" s="6"/>
      <c r="IQ529" s="6"/>
      <c r="IR529" s="6"/>
      <c r="IS529" s="6"/>
      <c r="IT529" s="6"/>
      <c r="IU529" s="6"/>
      <c r="IV529" s="6"/>
      <c r="IW529" s="6"/>
      <c r="IX529" s="6"/>
      <c r="IY529" s="6"/>
      <c r="IZ529" s="6"/>
      <c r="JA529" s="6"/>
      <c r="JB529" s="6"/>
      <c r="JC529" s="6"/>
      <c r="JD529" s="6"/>
      <c r="JE529" s="6"/>
      <c r="JF529" s="6"/>
      <c r="JG529" s="6"/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6"/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6"/>
      <c r="KZ529" s="6"/>
      <c r="LA529" s="6"/>
      <c r="LB529" s="6"/>
      <c r="LC529" s="6"/>
      <c r="LD529" s="6"/>
      <c r="LE529" s="6"/>
      <c r="LF529" s="6"/>
      <c r="LG529" s="6"/>
      <c r="LH529" s="6"/>
      <c r="LI529" s="6"/>
      <c r="LJ529" s="6"/>
      <c r="LK529" s="6"/>
      <c r="LL529" s="6"/>
      <c r="LM529" s="6"/>
      <c r="LN529" s="6"/>
      <c r="LO529" s="6"/>
      <c r="LP529" s="6"/>
      <c r="LQ529" s="6"/>
      <c r="LR529" s="6"/>
      <c r="LS529" s="6"/>
      <c r="LT529" s="6"/>
      <c r="LU529" s="6"/>
      <c r="LV529" s="6"/>
      <c r="LW529" s="6"/>
      <c r="LX529" s="6"/>
      <c r="LY529" s="6"/>
      <c r="LZ529" s="6"/>
      <c r="MA529" s="6"/>
      <c r="MB529" s="6"/>
      <c r="MC529" s="6"/>
      <c r="MD529" s="6"/>
      <c r="ME529" s="6"/>
      <c r="MF529" s="6"/>
      <c r="MG529" s="6"/>
      <c r="MH529" s="6"/>
      <c r="MI529" s="6"/>
      <c r="MJ529" s="6"/>
      <c r="MK529" s="6"/>
      <c r="ML529" s="6"/>
      <c r="MM529" s="6"/>
      <c r="MN529" s="6"/>
      <c r="MO529" s="6"/>
      <c r="MP529" s="6"/>
      <c r="MQ529" s="6"/>
      <c r="MR529" s="6"/>
      <c r="MS529" s="6"/>
      <c r="MT529" s="6"/>
      <c r="MU529" s="6"/>
      <c r="MV529" s="6"/>
      <c r="MW529" s="6"/>
      <c r="MX529" s="6"/>
      <c r="MY529" s="6"/>
      <c r="MZ529" s="6"/>
      <c r="NA529" s="6"/>
      <c r="NB529" s="6"/>
      <c r="NC529" s="6"/>
      <c r="ND529" s="6"/>
      <c r="NE529" s="6"/>
      <c r="NF529" s="6"/>
      <c r="NG529" s="6"/>
      <c r="NH529" s="6"/>
      <c r="NI529" s="6"/>
      <c r="NJ529" s="6"/>
      <c r="NK529" s="6"/>
      <c r="NL529" s="6"/>
      <c r="NM529" s="6"/>
      <c r="NN529" s="6"/>
      <c r="NO529" s="6"/>
      <c r="NP529" s="6"/>
      <c r="NQ529" s="6"/>
      <c r="NR529" s="6"/>
      <c r="NS529" s="6"/>
      <c r="NT529" s="6"/>
      <c r="NU529" s="6"/>
      <c r="NV529" s="6"/>
    </row>
    <row r="530" spans="1:386" s="19" customFormat="1" ht="20.100000000000001" customHeight="1" x14ac:dyDescent="0.35">
      <c r="A530" s="1"/>
      <c r="B530" s="2"/>
      <c r="C530" s="3"/>
      <c r="D530" s="2"/>
      <c r="E530" s="2"/>
      <c r="F530" s="4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9"/>
      <c r="FL530" s="9"/>
      <c r="FM530" s="9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135"/>
      <c r="IK530" s="135"/>
      <c r="IL530" s="135"/>
      <c r="IN530" s="6"/>
      <c r="IO530" s="6"/>
      <c r="IP530" s="6"/>
      <c r="IQ530" s="6"/>
      <c r="IR530" s="6"/>
      <c r="IS530" s="6"/>
      <c r="IT530" s="6"/>
      <c r="IU530" s="6"/>
      <c r="IV530" s="6"/>
      <c r="IW530" s="6"/>
      <c r="IX530" s="6"/>
      <c r="IY530" s="6"/>
      <c r="IZ530" s="6"/>
      <c r="JA530" s="6"/>
      <c r="JB530" s="6"/>
      <c r="JC530" s="6"/>
      <c r="JD530" s="6"/>
      <c r="JE530" s="6"/>
      <c r="JF530" s="6"/>
      <c r="JG530" s="6"/>
      <c r="JH530" s="6"/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6"/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6"/>
      <c r="KZ530" s="6"/>
      <c r="LA530" s="6"/>
      <c r="LB530" s="6"/>
      <c r="LC530" s="6"/>
      <c r="LD530" s="6"/>
      <c r="LE530" s="6"/>
      <c r="LF530" s="6"/>
      <c r="LG530" s="6"/>
      <c r="LH530" s="6"/>
      <c r="LI530" s="6"/>
      <c r="LJ530" s="6"/>
      <c r="LK530" s="6"/>
      <c r="LL530" s="6"/>
      <c r="LM530" s="6"/>
      <c r="LN530" s="6"/>
      <c r="LO530" s="6"/>
      <c r="LP530" s="6"/>
      <c r="LQ530" s="6"/>
      <c r="LR530" s="6"/>
      <c r="LS530" s="6"/>
      <c r="LT530" s="6"/>
      <c r="LU530" s="6"/>
      <c r="LV530" s="6"/>
      <c r="LW530" s="6"/>
      <c r="LX530" s="6"/>
      <c r="LY530" s="6"/>
      <c r="LZ530" s="6"/>
      <c r="MA530" s="6"/>
      <c r="MB530" s="6"/>
      <c r="MC530" s="6"/>
      <c r="MD530" s="6"/>
      <c r="ME530" s="6"/>
      <c r="MF530" s="6"/>
      <c r="MG530" s="6"/>
      <c r="MH530" s="6"/>
      <c r="MI530" s="6"/>
      <c r="MJ530" s="6"/>
      <c r="MK530" s="6"/>
      <c r="ML530" s="6"/>
      <c r="MM530" s="6"/>
      <c r="MN530" s="6"/>
      <c r="MO530" s="6"/>
      <c r="MP530" s="6"/>
      <c r="MQ530" s="6"/>
      <c r="MR530" s="6"/>
      <c r="MS530" s="6"/>
      <c r="MT530" s="6"/>
      <c r="MU530" s="6"/>
      <c r="MV530" s="6"/>
      <c r="MW530" s="6"/>
      <c r="MX530" s="6"/>
      <c r="MY530" s="6"/>
      <c r="MZ530" s="6"/>
      <c r="NA530" s="6"/>
      <c r="NB530" s="6"/>
      <c r="NC530" s="6"/>
      <c r="ND530" s="6"/>
      <c r="NE530" s="6"/>
      <c r="NF530" s="6"/>
      <c r="NG530" s="6"/>
      <c r="NH530" s="6"/>
      <c r="NI530" s="6"/>
      <c r="NJ530" s="6"/>
      <c r="NK530" s="6"/>
      <c r="NL530" s="6"/>
      <c r="NM530" s="6"/>
      <c r="NN530" s="6"/>
      <c r="NO530" s="6"/>
      <c r="NP530" s="6"/>
      <c r="NQ530" s="6"/>
      <c r="NR530" s="6"/>
      <c r="NS530" s="6"/>
      <c r="NT530" s="6"/>
      <c r="NU530" s="6"/>
      <c r="NV530" s="6"/>
    </row>
    <row r="531" spans="1:386" s="19" customFormat="1" ht="20.100000000000001" customHeight="1" x14ac:dyDescent="0.35">
      <c r="A531" s="1"/>
      <c r="B531" s="2"/>
      <c r="C531" s="3"/>
      <c r="D531" s="2"/>
      <c r="E531" s="2"/>
      <c r="F531" s="4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9"/>
      <c r="FL531" s="9"/>
      <c r="FM531" s="9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135"/>
      <c r="IK531" s="135"/>
      <c r="IL531" s="135"/>
      <c r="IN531" s="6"/>
      <c r="IO531" s="6"/>
      <c r="IP531" s="6"/>
      <c r="IQ531" s="6"/>
      <c r="IR531" s="6"/>
      <c r="IS531" s="6"/>
      <c r="IT531" s="6"/>
      <c r="IU531" s="6"/>
      <c r="IV531" s="6"/>
      <c r="IW531" s="6"/>
      <c r="IX531" s="6"/>
      <c r="IY531" s="6"/>
      <c r="IZ531" s="6"/>
      <c r="JA531" s="6"/>
      <c r="JB531" s="6"/>
      <c r="JC531" s="6"/>
      <c r="JD531" s="6"/>
      <c r="JE531" s="6"/>
      <c r="JF531" s="6"/>
      <c r="JG531" s="6"/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6"/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6"/>
      <c r="KZ531" s="6"/>
      <c r="LA531" s="6"/>
      <c r="LB531" s="6"/>
      <c r="LC531" s="6"/>
      <c r="LD531" s="6"/>
      <c r="LE531" s="6"/>
      <c r="LF531" s="6"/>
      <c r="LG531" s="6"/>
      <c r="LH531" s="6"/>
      <c r="LI531" s="6"/>
      <c r="LJ531" s="6"/>
      <c r="LK531" s="6"/>
      <c r="LL531" s="6"/>
      <c r="LM531" s="6"/>
      <c r="LN531" s="6"/>
      <c r="LO531" s="6"/>
      <c r="LP531" s="6"/>
      <c r="LQ531" s="6"/>
      <c r="LR531" s="6"/>
      <c r="LS531" s="6"/>
      <c r="LT531" s="6"/>
      <c r="LU531" s="6"/>
      <c r="LV531" s="6"/>
      <c r="LW531" s="6"/>
      <c r="LX531" s="6"/>
      <c r="LY531" s="6"/>
      <c r="LZ531" s="6"/>
      <c r="MA531" s="6"/>
      <c r="MB531" s="6"/>
      <c r="MC531" s="6"/>
      <c r="MD531" s="6"/>
      <c r="ME531" s="6"/>
      <c r="MF531" s="6"/>
      <c r="MG531" s="6"/>
      <c r="MH531" s="6"/>
      <c r="MI531" s="6"/>
      <c r="MJ531" s="6"/>
      <c r="MK531" s="6"/>
      <c r="ML531" s="6"/>
      <c r="MM531" s="6"/>
      <c r="MN531" s="6"/>
      <c r="MO531" s="6"/>
      <c r="MP531" s="6"/>
      <c r="MQ531" s="6"/>
      <c r="MR531" s="6"/>
      <c r="MS531" s="6"/>
      <c r="MT531" s="6"/>
      <c r="MU531" s="6"/>
      <c r="MV531" s="6"/>
      <c r="MW531" s="6"/>
      <c r="MX531" s="6"/>
      <c r="MY531" s="6"/>
      <c r="MZ531" s="6"/>
      <c r="NA531" s="6"/>
      <c r="NB531" s="6"/>
      <c r="NC531" s="6"/>
      <c r="ND531" s="6"/>
      <c r="NE531" s="6"/>
      <c r="NF531" s="6"/>
      <c r="NG531" s="6"/>
      <c r="NH531" s="6"/>
      <c r="NI531" s="6"/>
      <c r="NJ531" s="6"/>
      <c r="NK531" s="6"/>
      <c r="NL531" s="6"/>
      <c r="NM531" s="6"/>
      <c r="NN531" s="6"/>
      <c r="NO531" s="6"/>
      <c r="NP531" s="6"/>
      <c r="NQ531" s="6"/>
      <c r="NR531" s="6"/>
      <c r="NS531" s="6"/>
      <c r="NT531" s="6"/>
      <c r="NU531" s="6"/>
      <c r="NV531" s="6"/>
    </row>
    <row r="532" spans="1:386" s="19" customFormat="1" ht="20.100000000000001" customHeight="1" x14ac:dyDescent="0.35">
      <c r="A532" s="1"/>
      <c r="B532" s="2"/>
      <c r="C532" s="3"/>
      <c r="D532" s="2"/>
      <c r="E532" s="2"/>
      <c r="F532" s="4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9"/>
      <c r="FL532" s="9"/>
      <c r="FM532" s="9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135"/>
      <c r="IK532" s="135"/>
      <c r="IL532" s="135"/>
      <c r="IN532" s="6"/>
      <c r="IO532" s="6"/>
      <c r="IP532" s="6"/>
      <c r="IQ532" s="6"/>
      <c r="IR532" s="6"/>
      <c r="IS532" s="6"/>
      <c r="IT532" s="6"/>
      <c r="IU532" s="6"/>
      <c r="IV532" s="6"/>
      <c r="IW532" s="6"/>
      <c r="IX532" s="6"/>
      <c r="IY532" s="6"/>
      <c r="IZ532" s="6"/>
      <c r="JA532" s="6"/>
      <c r="JB532" s="6"/>
      <c r="JC532" s="6"/>
      <c r="JD532" s="6"/>
      <c r="JE532" s="6"/>
      <c r="JF532" s="6"/>
      <c r="JG532" s="6"/>
      <c r="JH532" s="6"/>
      <c r="JI532" s="6"/>
      <c r="JJ532" s="6"/>
      <c r="JK532" s="6"/>
      <c r="JL532" s="6"/>
      <c r="JM532" s="6"/>
      <c r="JN532" s="6"/>
      <c r="JO532" s="6"/>
      <c r="JP532" s="6"/>
      <c r="JQ532" s="6"/>
      <c r="JR532" s="6"/>
      <c r="JS532" s="6"/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6"/>
      <c r="KZ532" s="6"/>
      <c r="LA532" s="6"/>
      <c r="LB532" s="6"/>
      <c r="LC532" s="6"/>
      <c r="LD532" s="6"/>
      <c r="LE532" s="6"/>
      <c r="LF532" s="6"/>
      <c r="LG532" s="6"/>
      <c r="LH532" s="6"/>
      <c r="LI532" s="6"/>
      <c r="LJ532" s="6"/>
      <c r="LK532" s="6"/>
      <c r="LL532" s="6"/>
      <c r="LM532" s="6"/>
      <c r="LN532" s="6"/>
      <c r="LO532" s="6"/>
      <c r="LP532" s="6"/>
      <c r="LQ532" s="6"/>
      <c r="LR532" s="6"/>
      <c r="LS532" s="6"/>
      <c r="LT532" s="6"/>
      <c r="LU532" s="6"/>
      <c r="LV532" s="6"/>
      <c r="LW532" s="6"/>
      <c r="LX532" s="6"/>
      <c r="LY532" s="6"/>
      <c r="LZ532" s="6"/>
      <c r="MA532" s="6"/>
      <c r="MB532" s="6"/>
      <c r="MC532" s="6"/>
      <c r="MD532" s="6"/>
      <c r="ME532" s="6"/>
      <c r="MF532" s="6"/>
      <c r="MG532" s="6"/>
      <c r="MH532" s="6"/>
      <c r="MI532" s="6"/>
      <c r="MJ532" s="6"/>
      <c r="MK532" s="6"/>
      <c r="ML532" s="6"/>
      <c r="MM532" s="6"/>
      <c r="MN532" s="6"/>
      <c r="MO532" s="6"/>
      <c r="MP532" s="6"/>
      <c r="MQ532" s="6"/>
      <c r="MR532" s="6"/>
      <c r="MS532" s="6"/>
      <c r="MT532" s="6"/>
      <c r="MU532" s="6"/>
      <c r="MV532" s="6"/>
      <c r="MW532" s="6"/>
      <c r="MX532" s="6"/>
      <c r="MY532" s="6"/>
      <c r="MZ532" s="6"/>
      <c r="NA532" s="6"/>
      <c r="NB532" s="6"/>
      <c r="NC532" s="6"/>
      <c r="ND532" s="6"/>
      <c r="NE532" s="6"/>
      <c r="NF532" s="6"/>
      <c r="NG532" s="6"/>
      <c r="NH532" s="6"/>
      <c r="NI532" s="6"/>
      <c r="NJ532" s="6"/>
      <c r="NK532" s="6"/>
      <c r="NL532" s="6"/>
      <c r="NM532" s="6"/>
      <c r="NN532" s="6"/>
      <c r="NO532" s="6"/>
      <c r="NP532" s="6"/>
      <c r="NQ532" s="6"/>
      <c r="NR532" s="6"/>
      <c r="NS532" s="6"/>
      <c r="NT532" s="6"/>
      <c r="NU532" s="6"/>
      <c r="NV532" s="6"/>
    </row>
    <row r="533" spans="1:386" s="19" customFormat="1" ht="20.100000000000001" customHeight="1" x14ac:dyDescent="0.35">
      <c r="A533" s="1"/>
      <c r="B533" s="2"/>
      <c r="C533" s="3"/>
      <c r="D533" s="2"/>
      <c r="E533" s="2"/>
      <c r="F533" s="4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9"/>
      <c r="FL533" s="9"/>
      <c r="FM533" s="9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135"/>
      <c r="IK533" s="135"/>
      <c r="IL533" s="135"/>
      <c r="IN533" s="6"/>
      <c r="IO533" s="6"/>
      <c r="IP533" s="6"/>
      <c r="IQ533" s="6"/>
      <c r="IR533" s="6"/>
      <c r="IS533" s="6"/>
      <c r="IT533" s="6"/>
      <c r="IU533" s="6"/>
      <c r="IV533" s="6"/>
      <c r="IW533" s="6"/>
      <c r="IX533" s="6"/>
      <c r="IY533" s="6"/>
      <c r="IZ533" s="6"/>
      <c r="JA533" s="6"/>
      <c r="JB533" s="6"/>
      <c r="JC533" s="6"/>
      <c r="JD533" s="6"/>
      <c r="JE533" s="6"/>
      <c r="JF533" s="6"/>
      <c r="JG533" s="6"/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6"/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6"/>
      <c r="KZ533" s="6"/>
      <c r="LA533" s="6"/>
      <c r="LB533" s="6"/>
      <c r="LC533" s="6"/>
      <c r="LD533" s="6"/>
      <c r="LE533" s="6"/>
      <c r="LF533" s="6"/>
      <c r="LG533" s="6"/>
      <c r="LH533" s="6"/>
      <c r="LI533" s="6"/>
      <c r="LJ533" s="6"/>
      <c r="LK533" s="6"/>
      <c r="LL533" s="6"/>
      <c r="LM533" s="6"/>
      <c r="LN533" s="6"/>
      <c r="LO533" s="6"/>
      <c r="LP533" s="6"/>
      <c r="LQ533" s="6"/>
      <c r="LR533" s="6"/>
      <c r="LS533" s="6"/>
      <c r="LT533" s="6"/>
      <c r="LU533" s="6"/>
      <c r="LV533" s="6"/>
      <c r="LW533" s="6"/>
      <c r="LX533" s="6"/>
      <c r="LY533" s="6"/>
      <c r="LZ533" s="6"/>
      <c r="MA533" s="6"/>
      <c r="MB533" s="6"/>
      <c r="MC533" s="6"/>
      <c r="MD533" s="6"/>
      <c r="ME533" s="6"/>
      <c r="MF533" s="6"/>
      <c r="MG533" s="6"/>
      <c r="MH533" s="6"/>
      <c r="MI533" s="6"/>
      <c r="MJ533" s="6"/>
      <c r="MK533" s="6"/>
      <c r="ML533" s="6"/>
      <c r="MM533" s="6"/>
      <c r="MN533" s="6"/>
      <c r="MO533" s="6"/>
      <c r="MP533" s="6"/>
      <c r="MQ533" s="6"/>
      <c r="MR533" s="6"/>
      <c r="MS533" s="6"/>
      <c r="MT533" s="6"/>
      <c r="MU533" s="6"/>
      <c r="MV533" s="6"/>
      <c r="MW533" s="6"/>
      <c r="MX533" s="6"/>
      <c r="MY533" s="6"/>
      <c r="MZ533" s="6"/>
      <c r="NA533" s="6"/>
      <c r="NB533" s="6"/>
      <c r="NC533" s="6"/>
      <c r="ND533" s="6"/>
      <c r="NE533" s="6"/>
      <c r="NF533" s="6"/>
      <c r="NG533" s="6"/>
      <c r="NH533" s="6"/>
      <c r="NI533" s="6"/>
      <c r="NJ533" s="6"/>
      <c r="NK533" s="6"/>
      <c r="NL533" s="6"/>
      <c r="NM533" s="6"/>
      <c r="NN533" s="6"/>
      <c r="NO533" s="6"/>
      <c r="NP533" s="6"/>
      <c r="NQ533" s="6"/>
      <c r="NR533" s="6"/>
      <c r="NS533" s="6"/>
      <c r="NT533" s="6"/>
      <c r="NU533" s="6"/>
      <c r="NV533" s="6"/>
    </row>
    <row r="534" spans="1:386" s="19" customFormat="1" ht="20.100000000000001" customHeight="1" x14ac:dyDescent="0.35">
      <c r="A534" s="1"/>
      <c r="B534" s="2"/>
      <c r="C534" s="3"/>
      <c r="D534" s="2"/>
      <c r="E534" s="2"/>
      <c r="F534" s="4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9"/>
      <c r="FL534" s="9"/>
      <c r="FM534" s="9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135"/>
      <c r="IK534" s="135"/>
      <c r="IL534" s="135"/>
      <c r="IN534" s="6"/>
      <c r="IO534" s="6"/>
      <c r="IP534" s="6"/>
      <c r="IQ534" s="6"/>
      <c r="IR534" s="6"/>
      <c r="IS534" s="6"/>
      <c r="IT534" s="6"/>
      <c r="IU534" s="6"/>
      <c r="IV534" s="6"/>
      <c r="IW534" s="6"/>
      <c r="IX534" s="6"/>
      <c r="IY534" s="6"/>
      <c r="IZ534" s="6"/>
      <c r="JA534" s="6"/>
      <c r="JB534" s="6"/>
      <c r="JC534" s="6"/>
      <c r="JD534" s="6"/>
      <c r="JE534" s="6"/>
      <c r="JF534" s="6"/>
      <c r="JG534" s="6"/>
      <c r="JH534" s="6"/>
      <c r="JI534" s="6"/>
      <c r="JJ534" s="6"/>
      <c r="JK534" s="6"/>
      <c r="JL534" s="6"/>
      <c r="JM534" s="6"/>
      <c r="JN534" s="6"/>
      <c r="JO534" s="6"/>
      <c r="JP534" s="6"/>
      <c r="JQ534" s="6"/>
      <c r="JR534" s="6"/>
      <c r="JS534" s="6"/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6"/>
      <c r="KZ534" s="6"/>
      <c r="LA534" s="6"/>
      <c r="LB534" s="6"/>
      <c r="LC534" s="6"/>
      <c r="LD534" s="6"/>
      <c r="LE534" s="6"/>
      <c r="LF534" s="6"/>
      <c r="LG534" s="6"/>
      <c r="LH534" s="6"/>
      <c r="LI534" s="6"/>
      <c r="LJ534" s="6"/>
      <c r="LK534" s="6"/>
      <c r="LL534" s="6"/>
      <c r="LM534" s="6"/>
      <c r="LN534" s="6"/>
      <c r="LO534" s="6"/>
      <c r="LP534" s="6"/>
      <c r="LQ534" s="6"/>
      <c r="LR534" s="6"/>
      <c r="LS534" s="6"/>
      <c r="LT534" s="6"/>
      <c r="LU534" s="6"/>
      <c r="LV534" s="6"/>
      <c r="LW534" s="6"/>
      <c r="LX534" s="6"/>
      <c r="LY534" s="6"/>
      <c r="LZ534" s="6"/>
      <c r="MA534" s="6"/>
      <c r="MB534" s="6"/>
      <c r="MC534" s="6"/>
      <c r="MD534" s="6"/>
      <c r="ME534" s="6"/>
      <c r="MF534" s="6"/>
      <c r="MG534" s="6"/>
      <c r="MH534" s="6"/>
      <c r="MI534" s="6"/>
      <c r="MJ534" s="6"/>
      <c r="MK534" s="6"/>
      <c r="ML534" s="6"/>
      <c r="MM534" s="6"/>
      <c r="MN534" s="6"/>
      <c r="MO534" s="6"/>
      <c r="MP534" s="6"/>
      <c r="MQ534" s="6"/>
      <c r="MR534" s="6"/>
      <c r="MS534" s="6"/>
      <c r="MT534" s="6"/>
      <c r="MU534" s="6"/>
      <c r="MV534" s="6"/>
      <c r="MW534" s="6"/>
      <c r="MX534" s="6"/>
      <c r="MY534" s="6"/>
      <c r="MZ534" s="6"/>
      <c r="NA534" s="6"/>
      <c r="NB534" s="6"/>
      <c r="NC534" s="6"/>
      <c r="ND534" s="6"/>
      <c r="NE534" s="6"/>
      <c r="NF534" s="6"/>
      <c r="NG534" s="6"/>
      <c r="NH534" s="6"/>
      <c r="NI534" s="6"/>
      <c r="NJ534" s="6"/>
      <c r="NK534" s="6"/>
      <c r="NL534" s="6"/>
      <c r="NM534" s="6"/>
      <c r="NN534" s="6"/>
      <c r="NO534" s="6"/>
      <c r="NP534" s="6"/>
      <c r="NQ534" s="6"/>
      <c r="NR534" s="6"/>
      <c r="NS534" s="6"/>
      <c r="NT534" s="6"/>
      <c r="NU534" s="6"/>
      <c r="NV534" s="6"/>
    </row>
    <row r="535" spans="1:386" s="19" customFormat="1" ht="20.100000000000001" customHeight="1" x14ac:dyDescent="0.35">
      <c r="A535" s="1"/>
      <c r="B535" s="2"/>
      <c r="C535" s="3"/>
      <c r="D535" s="2"/>
      <c r="E535" s="2"/>
      <c r="F535" s="4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9"/>
      <c r="FL535" s="9"/>
      <c r="FM535" s="9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135"/>
      <c r="IK535" s="135"/>
      <c r="IL535" s="135"/>
      <c r="IN535" s="6"/>
      <c r="IO535" s="6"/>
      <c r="IP535" s="6"/>
      <c r="IQ535" s="6"/>
      <c r="IR535" s="6"/>
      <c r="IS535" s="6"/>
      <c r="IT535" s="6"/>
      <c r="IU535" s="6"/>
      <c r="IV535" s="6"/>
      <c r="IW535" s="6"/>
      <c r="IX535" s="6"/>
      <c r="IY535" s="6"/>
      <c r="IZ535" s="6"/>
      <c r="JA535" s="6"/>
      <c r="JB535" s="6"/>
      <c r="JC535" s="6"/>
      <c r="JD535" s="6"/>
      <c r="JE535" s="6"/>
      <c r="JF535" s="6"/>
      <c r="JG535" s="6"/>
      <c r="JH535" s="6"/>
      <c r="JI535" s="6"/>
      <c r="JJ535" s="6"/>
      <c r="JK535" s="6"/>
      <c r="JL535" s="6"/>
      <c r="JM535" s="6"/>
      <c r="JN535" s="6"/>
      <c r="JO535" s="6"/>
      <c r="JP535" s="6"/>
      <c r="JQ535" s="6"/>
      <c r="JR535" s="6"/>
      <c r="JS535" s="6"/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6"/>
      <c r="KZ535" s="6"/>
      <c r="LA535" s="6"/>
      <c r="LB535" s="6"/>
      <c r="LC535" s="6"/>
      <c r="LD535" s="6"/>
      <c r="LE535" s="6"/>
      <c r="LF535" s="6"/>
      <c r="LG535" s="6"/>
      <c r="LH535" s="6"/>
      <c r="LI535" s="6"/>
      <c r="LJ535" s="6"/>
      <c r="LK535" s="6"/>
      <c r="LL535" s="6"/>
      <c r="LM535" s="6"/>
      <c r="LN535" s="6"/>
      <c r="LO535" s="6"/>
      <c r="LP535" s="6"/>
      <c r="LQ535" s="6"/>
      <c r="LR535" s="6"/>
      <c r="LS535" s="6"/>
      <c r="LT535" s="6"/>
      <c r="LU535" s="6"/>
      <c r="LV535" s="6"/>
      <c r="LW535" s="6"/>
      <c r="LX535" s="6"/>
      <c r="LY535" s="6"/>
      <c r="LZ535" s="6"/>
      <c r="MA535" s="6"/>
      <c r="MB535" s="6"/>
      <c r="MC535" s="6"/>
      <c r="MD535" s="6"/>
      <c r="ME535" s="6"/>
      <c r="MF535" s="6"/>
      <c r="MG535" s="6"/>
      <c r="MH535" s="6"/>
      <c r="MI535" s="6"/>
      <c r="MJ535" s="6"/>
      <c r="MK535" s="6"/>
      <c r="ML535" s="6"/>
      <c r="MM535" s="6"/>
      <c r="MN535" s="6"/>
      <c r="MO535" s="6"/>
      <c r="MP535" s="6"/>
      <c r="MQ535" s="6"/>
      <c r="MR535" s="6"/>
      <c r="MS535" s="6"/>
      <c r="MT535" s="6"/>
      <c r="MU535" s="6"/>
      <c r="MV535" s="6"/>
      <c r="MW535" s="6"/>
      <c r="MX535" s="6"/>
      <c r="MY535" s="6"/>
      <c r="MZ535" s="6"/>
      <c r="NA535" s="6"/>
      <c r="NB535" s="6"/>
      <c r="NC535" s="6"/>
      <c r="ND535" s="6"/>
      <c r="NE535" s="6"/>
      <c r="NF535" s="6"/>
      <c r="NG535" s="6"/>
      <c r="NH535" s="6"/>
      <c r="NI535" s="6"/>
      <c r="NJ535" s="6"/>
      <c r="NK535" s="6"/>
      <c r="NL535" s="6"/>
      <c r="NM535" s="6"/>
      <c r="NN535" s="6"/>
      <c r="NO535" s="6"/>
      <c r="NP535" s="6"/>
      <c r="NQ535" s="6"/>
      <c r="NR535" s="6"/>
      <c r="NS535" s="6"/>
      <c r="NT535" s="6"/>
      <c r="NU535" s="6"/>
      <c r="NV535" s="6"/>
    </row>
    <row r="536" spans="1:386" s="19" customFormat="1" ht="20.100000000000001" customHeight="1" x14ac:dyDescent="0.35">
      <c r="A536" s="1"/>
      <c r="B536" s="2"/>
      <c r="C536" s="3"/>
      <c r="D536" s="2"/>
      <c r="E536" s="2"/>
      <c r="F536" s="4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9"/>
      <c r="FL536" s="9"/>
      <c r="FM536" s="9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135"/>
      <c r="IK536" s="135"/>
      <c r="IL536" s="135"/>
      <c r="IN536" s="6"/>
      <c r="IO536" s="6"/>
      <c r="IP536" s="6"/>
      <c r="IQ536" s="6"/>
      <c r="IR536" s="6"/>
      <c r="IS536" s="6"/>
      <c r="IT536" s="6"/>
      <c r="IU536" s="6"/>
      <c r="IV536" s="6"/>
      <c r="IW536" s="6"/>
      <c r="IX536" s="6"/>
      <c r="IY536" s="6"/>
      <c r="IZ536" s="6"/>
      <c r="JA536" s="6"/>
      <c r="JB536" s="6"/>
      <c r="JC536" s="6"/>
      <c r="JD536" s="6"/>
      <c r="JE536" s="6"/>
      <c r="JF536" s="6"/>
      <c r="JG536" s="6"/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6"/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6"/>
      <c r="KZ536" s="6"/>
      <c r="LA536" s="6"/>
      <c r="LB536" s="6"/>
      <c r="LC536" s="6"/>
      <c r="LD536" s="6"/>
      <c r="LE536" s="6"/>
      <c r="LF536" s="6"/>
      <c r="LG536" s="6"/>
      <c r="LH536" s="6"/>
      <c r="LI536" s="6"/>
      <c r="LJ536" s="6"/>
      <c r="LK536" s="6"/>
      <c r="LL536" s="6"/>
      <c r="LM536" s="6"/>
      <c r="LN536" s="6"/>
      <c r="LO536" s="6"/>
      <c r="LP536" s="6"/>
      <c r="LQ536" s="6"/>
      <c r="LR536" s="6"/>
      <c r="LS536" s="6"/>
      <c r="LT536" s="6"/>
      <c r="LU536" s="6"/>
      <c r="LV536" s="6"/>
      <c r="LW536" s="6"/>
      <c r="LX536" s="6"/>
      <c r="LY536" s="6"/>
      <c r="LZ536" s="6"/>
      <c r="MA536" s="6"/>
      <c r="MB536" s="6"/>
      <c r="MC536" s="6"/>
      <c r="MD536" s="6"/>
      <c r="ME536" s="6"/>
      <c r="MF536" s="6"/>
      <c r="MG536" s="6"/>
      <c r="MH536" s="6"/>
      <c r="MI536" s="6"/>
      <c r="MJ536" s="6"/>
      <c r="MK536" s="6"/>
      <c r="ML536" s="6"/>
      <c r="MM536" s="6"/>
      <c r="MN536" s="6"/>
      <c r="MO536" s="6"/>
      <c r="MP536" s="6"/>
      <c r="MQ536" s="6"/>
      <c r="MR536" s="6"/>
      <c r="MS536" s="6"/>
      <c r="MT536" s="6"/>
      <c r="MU536" s="6"/>
      <c r="MV536" s="6"/>
      <c r="MW536" s="6"/>
      <c r="MX536" s="6"/>
      <c r="MY536" s="6"/>
      <c r="MZ536" s="6"/>
      <c r="NA536" s="6"/>
      <c r="NB536" s="6"/>
      <c r="NC536" s="6"/>
      <c r="ND536" s="6"/>
      <c r="NE536" s="6"/>
      <c r="NF536" s="6"/>
      <c r="NG536" s="6"/>
      <c r="NH536" s="6"/>
      <c r="NI536" s="6"/>
      <c r="NJ536" s="6"/>
      <c r="NK536" s="6"/>
      <c r="NL536" s="6"/>
      <c r="NM536" s="6"/>
      <c r="NN536" s="6"/>
      <c r="NO536" s="6"/>
      <c r="NP536" s="6"/>
      <c r="NQ536" s="6"/>
      <c r="NR536" s="6"/>
      <c r="NS536" s="6"/>
      <c r="NT536" s="6"/>
      <c r="NU536" s="6"/>
      <c r="NV536" s="6"/>
    </row>
    <row r="537" spans="1:386" s="19" customFormat="1" ht="20.100000000000001" customHeight="1" x14ac:dyDescent="0.35">
      <c r="A537" s="1"/>
      <c r="B537" s="2"/>
      <c r="C537" s="3"/>
      <c r="D537" s="2"/>
      <c r="E537" s="2"/>
      <c r="F537" s="4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9"/>
      <c r="FL537" s="9"/>
      <c r="FM537" s="9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135"/>
      <c r="IK537" s="135"/>
      <c r="IL537" s="135"/>
      <c r="IN537" s="6"/>
      <c r="IO537" s="6"/>
      <c r="IP537" s="6"/>
      <c r="IQ537" s="6"/>
      <c r="IR537" s="6"/>
      <c r="IS537" s="6"/>
      <c r="IT537" s="6"/>
      <c r="IU537" s="6"/>
      <c r="IV537" s="6"/>
      <c r="IW537" s="6"/>
      <c r="IX537" s="6"/>
      <c r="IY537" s="6"/>
      <c r="IZ537" s="6"/>
      <c r="JA537" s="6"/>
      <c r="JB537" s="6"/>
      <c r="JC537" s="6"/>
      <c r="JD537" s="6"/>
      <c r="JE537" s="6"/>
      <c r="JF537" s="6"/>
      <c r="JG537" s="6"/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6"/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6"/>
      <c r="KZ537" s="6"/>
      <c r="LA537" s="6"/>
      <c r="LB537" s="6"/>
      <c r="LC537" s="6"/>
      <c r="LD537" s="6"/>
      <c r="LE537" s="6"/>
      <c r="LF537" s="6"/>
      <c r="LG537" s="6"/>
      <c r="LH537" s="6"/>
      <c r="LI537" s="6"/>
      <c r="LJ537" s="6"/>
      <c r="LK537" s="6"/>
      <c r="LL537" s="6"/>
      <c r="LM537" s="6"/>
      <c r="LN537" s="6"/>
      <c r="LO537" s="6"/>
      <c r="LP537" s="6"/>
      <c r="LQ537" s="6"/>
      <c r="LR537" s="6"/>
      <c r="LS537" s="6"/>
      <c r="LT537" s="6"/>
      <c r="LU537" s="6"/>
      <c r="LV537" s="6"/>
      <c r="LW537" s="6"/>
      <c r="LX537" s="6"/>
      <c r="LY537" s="6"/>
      <c r="LZ537" s="6"/>
      <c r="MA537" s="6"/>
      <c r="MB537" s="6"/>
      <c r="MC537" s="6"/>
      <c r="MD537" s="6"/>
      <c r="ME537" s="6"/>
      <c r="MF537" s="6"/>
      <c r="MG537" s="6"/>
      <c r="MH537" s="6"/>
      <c r="MI537" s="6"/>
      <c r="MJ537" s="6"/>
      <c r="MK537" s="6"/>
      <c r="ML537" s="6"/>
      <c r="MM537" s="6"/>
      <c r="MN537" s="6"/>
      <c r="MO537" s="6"/>
      <c r="MP537" s="6"/>
      <c r="MQ537" s="6"/>
      <c r="MR537" s="6"/>
      <c r="MS537" s="6"/>
      <c r="MT537" s="6"/>
      <c r="MU537" s="6"/>
      <c r="MV537" s="6"/>
      <c r="MW537" s="6"/>
      <c r="MX537" s="6"/>
      <c r="MY537" s="6"/>
      <c r="MZ537" s="6"/>
      <c r="NA537" s="6"/>
      <c r="NB537" s="6"/>
      <c r="NC537" s="6"/>
      <c r="ND537" s="6"/>
      <c r="NE537" s="6"/>
      <c r="NF537" s="6"/>
      <c r="NG537" s="6"/>
      <c r="NH537" s="6"/>
      <c r="NI537" s="6"/>
      <c r="NJ537" s="6"/>
      <c r="NK537" s="6"/>
      <c r="NL537" s="6"/>
      <c r="NM537" s="6"/>
      <c r="NN537" s="6"/>
      <c r="NO537" s="6"/>
      <c r="NP537" s="6"/>
      <c r="NQ537" s="6"/>
      <c r="NR537" s="6"/>
      <c r="NS537" s="6"/>
      <c r="NT537" s="6"/>
      <c r="NU537" s="6"/>
      <c r="NV537" s="6"/>
    </row>
    <row r="538" spans="1:386" s="19" customFormat="1" ht="20.100000000000001" customHeight="1" x14ac:dyDescent="0.35">
      <c r="A538" s="1"/>
      <c r="B538" s="2"/>
      <c r="C538" s="3"/>
      <c r="D538" s="2"/>
      <c r="E538" s="2"/>
      <c r="F538" s="4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9"/>
      <c r="FL538" s="9"/>
      <c r="FM538" s="9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135"/>
      <c r="IK538" s="135"/>
      <c r="IL538" s="135"/>
      <c r="IN538" s="6"/>
      <c r="IO538" s="6"/>
      <c r="IP538" s="6"/>
      <c r="IQ538" s="6"/>
      <c r="IR538" s="6"/>
      <c r="IS538" s="6"/>
      <c r="IT538" s="6"/>
      <c r="IU538" s="6"/>
      <c r="IV538" s="6"/>
      <c r="IW538" s="6"/>
      <c r="IX538" s="6"/>
      <c r="IY538" s="6"/>
      <c r="IZ538" s="6"/>
      <c r="JA538" s="6"/>
      <c r="JB538" s="6"/>
      <c r="JC538" s="6"/>
      <c r="JD538" s="6"/>
      <c r="JE538" s="6"/>
      <c r="JF538" s="6"/>
      <c r="JG538" s="6"/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6"/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6"/>
      <c r="KZ538" s="6"/>
      <c r="LA538" s="6"/>
      <c r="LB538" s="6"/>
      <c r="LC538" s="6"/>
      <c r="LD538" s="6"/>
      <c r="LE538" s="6"/>
      <c r="LF538" s="6"/>
      <c r="LG538" s="6"/>
      <c r="LH538" s="6"/>
      <c r="LI538" s="6"/>
      <c r="LJ538" s="6"/>
      <c r="LK538" s="6"/>
      <c r="LL538" s="6"/>
      <c r="LM538" s="6"/>
      <c r="LN538" s="6"/>
      <c r="LO538" s="6"/>
      <c r="LP538" s="6"/>
      <c r="LQ538" s="6"/>
      <c r="LR538" s="6"/>
      <c r="LS538" s="6"/>
      <c r="LT538" s="6"/>
      <c r="LU538" s="6"/>
      <c r="LV538" s="6"/>
      <c r="LW538" s="6"/>
      <c r="LX538" s="6"/>
      <c r="LY538" s="6"/>
      <c r="LZ538" s="6"/>
      <c r="MA538" s="6"/>
      <c r="MB538" s="6"/>
      <c r="MC538" s="6"/>
      <c r="MD538" s="6"/>
      <c r="ME538" s="6"/>
      <c r="MF538" s="6"/>
      <c r="MG538" s="6"/>
      <c r="MH538" s="6"/>
      <c r="MI538" s="6"/>
      <c r="MJ538" s="6"/>
      <c r="MK538" s="6"/>
      <c r="ML538" s="6"/>
      <c r="MM538" s="6"/>
      <c r="MN538" s="6"/>
      <c r="MO538" s="6"/>
      <c r="MP538" s="6"/>
      <c r="MQ538" s="6"/>
      <c r="MR538" s="6"/>
      <c r="MS538" s="6"/>
      <c r="MT538" s="6"/>
      <c r="MU538" s="6"/>
      <c r="MV538" s="6"/>
      <c r="MW538" s="6"/>
      <c r="MX538" s="6"/>
      <c r="MY538" s="6"/>
      <c r="MZ538" s="6"/>
      <c r="NA538" s="6"/>
      <c r="NB538" s="6"/>
      <c r="NC538" s="6"/>
      <c r="ND538" s="6"/>
      <c r="NE538" s="6"/>
      <c r="NF538" s="6"/>
      <c r="NG538" s="6"/>
      <c r="NH538" s="6"/>
      <c r="NI538" s="6"/>
      <c r="NJ538" s="6"/>
      <c r="NK538" s="6"/>
      <c r="NL538" s="6"/>
      <c r="NM538" s="6"/>
      <c r="NN538" s="6"/>
      <c r="NO538" s="6"/>
      <c r="NP538" s="6"/>
      <c r="NQ538" s="6"/>
      <c r="NR538" s="6"/>
      <c r="NS538" s="6"/>
      <c r="NT538" s="6"/>
      <c r="NU538" s="6"/>
      <c r="NV538" s="6"/>
    </row>
    <row r="539" spans="1:386" s="19" customFormat="1" ht="20.100000000000001" customHeight="1" x14ac:dyDescent="0.35">
      <c r="A539" s="1"/>
      <c r="B539" s="2"/>
      <c r="C539" s="3"/>
      <c r="D539" s="2"/>
      <c r="E539" s="2"/>
      <c r="F539" s="4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9"/>
      <c r="FL539" s="9"/>
      <c r="FM539" s="9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135"/>
      <c r="IK539" s="135"/>
      <c r="IL539" s="135"/>
      <c r="IN539" s="6"/>
      <c r="IO539" s="6"/>
      <c r="IP539" s="6"/>
      <c r="IQ539" s="6"/>
      <c r="IR539" s="6"/>
      <c r="IS539" s="6"/>
      <c r="IT539" s="6"/>
      <c r="IU539" s="6"/>
      <c r="IV539" s="6"/>
      <c r="IW539" s="6"/>
      <c r="IX539" s="6"/>
      <c r="IY539" s="6"/>
      <c r="IZ539" s="6"/>
      <c r="JA539" s="6"/>
      <c r="JB539" s="6"/>
      <c r="JC539" s="6"/>
      <c r="JD539" s="6"/>
      <c r="JE539" s="6"/>
      <c r="JF539" s="6"/>
      <c r="JG539" s="6"/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6"/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6"/>
      <c r="KZ539" s="6"/>
      <c r="LA539" s="6"/>
      <c r="LB539" s="6"/>
      <c r="LC539" s="6"/>
      <c r="LD539" s="6"/>
      <c r="LE539" s="6"/>
      <c r="LF539" s="6"/>
      <c r="LG539" s="6"/>
      <c r="LH539" s="6"/>
      <c r="LI539" s="6"/>
      <c r="LJ539" s="6"/>
      <c r="LK539" s="6"/>
      <c r="LL539" s="6"/>
      <c r="LM539" s="6"/>
      <c r="LN539" s="6"/>
      <c r="LO539" s="6"/>
      <c r="LP539" s="6"/>
      <c r="LQ539" s="6"/>
      <c r="LR539" s="6"/>
      <c r="LS539" s="6"/>
      <c r="LT539" s="6"/>
      <c r="LU539" s="6"/>
      <c r="LV539" s="6"/>
      <c r="LW539" s="6"/>
      <c r="LX539" s="6"/>
      <c r="LY539" s="6"/>
      <c r="LZ539" s="6"/>
      <c r="MA539" s="6"/>
      <c r="MB539" s="6"/>
      <c r="MC539" s="6"/>
      <c r="MD539" s="6"/>
      <c r="ME539" s="6"/>
      <c r="MF539" s="6"/>
      <c r="MG539" s="6"/>
      <c r="MH539" s="6"/>
      <c r="MI539" s="6"/>
      <c r="MJ539" s="6"/>
      <c r="MK539" s="6"/>
      <c r="ML539" s="6"/>
      <c r="MM539" s="6"/>
      <c r="MN539" s="6"/>
      <c r="MO539" s="6"/>
      <c r="MP539" s="6"/>
      <c r="MQ539" s="6"/>
      <c r="MR539" s="6"/>
      <c r="MS539" s="6"/>
      <c r="MT539" s="6"/>
      <c r="MU539" s="6"/>
      <c r="MV539" s="6"/>
      <c r="MW539" s="6"/>
      <c r="MX539" s="6"/>
      <c r="MY539" s="6"/>
      <c r="MZ539" s="6"/>
      <c r="NA539" s="6"/>
      <c r="NB539" s="6"/>
      <c r="NC539" s="6"/>
      <c r="ND539" s="6"/>
      <c r="NE539" s="6"/>
      <c r="NF539" s="6"/>
      <c r="NG539" s="6"/>
      <c r="NH539" s="6"/>
      <c r="NI539" s="6"/>
      <c r="NJ539" s="6"/>
      <c r="NK539" s="6"/>
      <c r="NL539" s="6"/>
      <c r="NM539" s="6"/>
      <c r="NN539" s="6"/>
      <c r="NO539" s="6"/>
      <c r="NP539" s="6"/>
      <c r="NQ539" s="6"/>
      <c r="NR539" s="6"/>
      <c r="NS539" s="6"/>
      <c r="NT539" s="6"/>
      <c r="NU539" s="6"/>
      <c r="NV539" s="6"/>
    </row>
    <row r="540" spans="1:386" s="19" customFormat="1" ht="20.100000000000001" customHeight="1" x14ac:dyDescent="0.35">
      <c r="A540" s="1"/>
      <c r="B540" s="2"/>
      <c r="C540" s="3"/>
      <c r="D540" s="2"/>
      <c r="E540" s="2"/>
      <c r="F540" s="4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9"/>
      <c r="FL540" s="9"/>
      <c r="FM540" s="9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135"/>
      <c r="IK540" s="135"/>
      <c r="IL540" s="135"/>
      <c r="IN540" s="6"/>
      <c r="IO540" s="6"/>
      <c r="IP540" s="6"/>
      <c r="IQ540" s="6"/>
      <c r="IR540" s="6"/>
      <c r="IS540" s="6"/>
      <c r="IT540" s="6"/>
      <c r="IU540" s="6"/>
      <c r="IV540" s="6"/>
      <c r="IW540" s="6"/>
      <c r="IX540" s="6"/>
      <c r="IY540" s="6"/>
      <c r="IZ540" s="6"/>
      <c r="JA540" s="6"/>
      <c r="JB540" s="6"/>
      <c r="JC540" s="6"/>
      <c r="JD540" s="6"/>
      <c r="JE540" s="6"/>
      <c r="JF540" s="6"/>
      <c r="JG540" s="6"/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6"/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6"/>
      <c r="KZ540" s="6"/>
      <c r="LA540" s="6"/>
      <c r="LB540" s="6"/>
      <c r="LC540" s="6"/>
      <c r="LD540" s="6"/>
      <c r="LE540" s="6"/>
      <c r="LF540" s="6"/>
      <c r="LG540" s="6"/>
      <c r="LH540" s="6"/>
      <c r="LI540" s="6"/>
      <c r="LJ540" s="6"/>
      <c r="LK540" s="6"/>
      <c r="LL540" s="6"/>
      <c r="LM540" s="6"/>
      <c r="LN540" s="6"/>
      <c r="LO540" s="6"/>
      <c r="LP540" s="6"/>
      <c r="LQ540" s="6"/>
      <c r="LR540" s="6"/>
      <c r="LS540" s="6"/>
      <c r="LT540" s="6"/>
      <c r="LU540" s="6"/>
      <c r="LV540" s="6"/>
      <c r="LW540" s="6"/>
      <c r="LX540" s="6"/>
      <c r="LY540" s="6"/>
      <c r="LZ540" s="6"/>
      <c r="MA540" s="6"/>
      <c r="MB540" s="6"/>
      <c r="MC540" s="6"/>
      <c r="MD540" s="6"/>
      <c r="ME540" s="6"/>
      <c r="MF540" s="6"/>
      <c r="MG540" s="6"/>
      <c r="MH540" s="6"/>
      <c r="MI540" s="6"/>
      <c r="MJ540" s="6"/>
      <c r="MK540" s="6"/>
      <c r="ML540" s="6"/>
      <c r="MM540" s="6"/>
      <c r="MN540" s="6"/>
      <c r="MO540" s="6"/>
      <c r="MP540" s="6"/>
      <c r="MQ540" s="6"/>
      <c r="MR540" s="6"/>
      <c r="MS540" s="6"/>
      <c r="MT540" s="6"/>
      <c r="MU540" s="6"/>
      <c r="MV540" s="6"/>
      <c r="MW540" s="6"/>
      <c r="MX540" s="6"/>
      <c r="MY540" s="6"/>
      <c r="MZ540" s="6"/>
      <c r="NA540" s="6"/>
      <c r="NB540" s="6"/>
      <c r="NC540" s="6"/>
      <c r="ND540" s="6"/>
      <c r="NE540" s="6"/>
      <c r="NF540" s="6"/>
      <c r="NG540" s="6"/>
      <c r="NH540" s="6"/>
      <c r="NI540" s="6"/>
      <c r="NJ540" s="6"/>
      <c r="NK540" s="6"/>
      <c r="NL540" s="6"/>
      <c r="NM540" s="6"/>
      <c r="NN540" s="6"/>
      <c r="NO540" s="6"/>
      <c r="NP540" s="6"/>
      <c r="NQ540" s="6"/>
      <c r="NR540" s="6"/>
      <c r="NS540" s="6"/>
      <c r="NT540" s="6"/>
      <c r="NU540" s="6"/>
      <c r="NV540" s="6"/>
    </row>
    <row r="541" spans="1:386" s="19" customFormat="1" ht="20.100000000000001" customHeight="1" x14ac:dyDescent="0.35">
      <c r="A541" s="1"/>
      <c r="B541" s="2"/>
      <c r="C541" s="3"/>
      <c r="D541" s="2"/>
      <c r="E541" s="2"/>
      <c r="F541" s="4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9"/>
      <c r="FL541" s="9"/>
      <c r="FM541" s="9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135"/>
      <c r="IK541" s="135"/>
      <c r="IL541" s="135"/>
      <c r="IN541" s="6"/>
      <c r="IO541" s="6"/>
      <c r="IP541" s="6"/>
      <c r="IQ541" s="6"/>
      <c r="IR541" s="6"/>
      <c r="IS541" s="6"/>
      <c r="IT541" s="6"/>
      <c r="IU541" s="6"/>
      <c r="IV541" s="6"/>
      <c r="IW541" s="6"/>
      <c r="IX541" s="6"/>
      <c r="IY541" s="6"/>
      <c r="IZ541" s="6"/>
      <c r="JA541" s="6"/>
      <c r="JB541" s="6"/>
      <c r="JC541" s="6"/>
      <c r="JD541" s="6"/>
      <c r="JE541" s="6"/>
      <c r="JF541" s="6"/>
      <c r="JG541" s="6"/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6"/>
      <c r="JS541" s="6"/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6"/>
      <c r="KZ541" s="6"/>
      <c r="LA541" s="6"/>
      <c r="LB541" s="6"/>
      <c r="LC541" s="6"/>
      <c r="LD541" s="6"/>
      <c r="LE541" s="6"/>
      <c r="LF541" s="6"/>
      <c r="LG541" s="6"/>
      <c r="LH541" s="6"/>
      <c r="LI541" s="6"/>
      <c r="LJ541" s="6"/>
      <c r="LK541" s="6"/>
      <c r="LL541" s="6"/>
      <c r="LM541" s="6"/>
      <c r="LN541" s="6"/>
      <c r="LO541" s="6"/>
      <c r="LP541" s="6"/>
      <c r="LQ541" s="6"/>
      <c r="LR541" s="6"/>
      <c r="LS541" s="6"/>
      <c r="LT541" s="6"/>
      <c r="LU541" s="6"/>
      <c r="LV541" s="6"/>
      <c r="LW541" s="6"/>
      <c r="LX541" s="6"/>
      <c r="LY541" s="6"/>
      <c r="LZ541" s="6"/>
      <c r="MA541" s="6"/>
      <c r="MB541" s="6"/>
      <c r="MC541" s="6"/>
      <c r="MD541" s="6"/>
      <c r="ME541" s="6"/>
      <c r="MF541" s="6"/>
      <c r="MG541" s="6"/>
      <c r="MH541" s="6"/>
      <c r="MI541" s="6"/>
      <c r="MJ541" s="6"/>
      <c r="MK541" s="6"/>
      <c r="ML541" s="6"/>
      <c r="MM541" s="6"/>
      <c r="MN541" s="6"/>
      <c r="MO541" s="6"/>
      <c r="MP541" s="6"/>
      <c r="MQ541" s="6"/>
      <c r="MR541" s="6"/>
      <c r="MS541" s="6"/>
      <c r="MT541" s="6"/>
      <c r="MU541" s="6"/>
      <c r="MV541" s="6"/>
      <c r="MW541" s="6"/>
      <c r="MX541" s="6"/>
      <c r="MY541" s="6"/>
      <c r="MZ541" s="6"/>
      <c r="NA541" s="6"/>
      <c r="NB541" s="6"/>
      <c r="NC541" s="6"/>
      <c r="ND541" s="6"/>
      <c r="NE541" s="6"/>
      <c r="NF541" s="6"/>
      <c r="NG541" s="6"/>
      <c r="NH541" s="6"/>
      <c r="NI541" s="6"/>
      <c r="NJ541" s="6"/>
      <c r="NK541" s="6"/>
      <c r="NL541" s="6"/>
      <c r="NM541" s="6"/>
      <c r="NN541" s="6"/>
      <c r="NO541" s="6"/>
      <c r="NP541" s="6"/>
      <c r="NQ541" s="6"/>
      <c r="NR541" s="6"/>
      <c r="NS541" s="6"/>
      <c r="NT541" s="6"/>
      <c r="NU541" s="6"/>
      <c r="NV541" s="6"/>
    </row>
    <row r="542" spans="1:386" s="19" customFormat="1" ht="20.100000000000001" customHeight="1" x14ac:dyDescent="0.35">
      <c r="A542" s="1"/>
      <c r="B542" s="2"/>
      <c r="C542" s="3"/>
      <c r="D542" s="2"/>
      <c r="E542" s="2"/>
      <c r="F542" s="4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9"/>
      <c r="FL542" s="9"/>
      <c r="FM542" s="9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135"/>
      <c r="IK542" s="135"/>
      <c r="IL542" s="135"/>
      <c r="IN542" s="6"/>
      <c r="IO542" s="6"/>
      <c r="IP542" s="6"/>
      <c r="IQ542" s="6"/>
      <c r="IR542" s="6"/>
      <c r="IS542" s="6"/>
      <c r="IT542" s="6"/>
      <c r="IU542" s="6"/>
      <c r="IV542" s="6"/>
      <c r="IW542" s="6"/>
      <c r="IX542" s="6"/>
      <c r="IY542" s="6"/>
      <c r="IZ542" s="6"/>
      <c r="JA542" s="6"/>
      <c r="JB542" s="6"/>
      <c r="JC542" s="6"/>
      <c r="JD542" s="6"/>
      <c r="JE542" s="6"/>
      <c r="JF542" s="6"/>
      <c r="JG542" s="6"/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6"/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6"/>
      <c r="KZ542" s="6"/>
      <c r="LA542" s="6"/>
      <c r="LB542" s="6"/>
      <c r="LC542" s="6"/>
      <c r="LD542" s="6"/>
      <c r="LE542" s="6"/>
      <c r="LF542" s="6"/>
      <c r="LG542" s="6"/>
      <c r="LH542" s="6"/>
      <c r="LI542" s="6"/>
      <c r="LJ542" s="6"/>
      <c r="LK542" s="6"/>
      <c r="LL542" s="6"/>
      <c r="LM542" s="6"/>
      <c r="LN542" s="6"/>
      <c r="LO542" s="6"/>
      <c r="LP542" s="6"/>
      <c r="LQ542" s="6"/>
      <c r="LR542" s="6"/>
      <c r="LS542" s="6"/>
      <c r="LT542" s="6"/>
      <c r="LU542" s="6"/>
      <c r="LV542" s="6"/>
      <c r="LW542" s="6"/>
      <c r="LX542" s="6"/>
      <c r="LY542" s="6"/>
      <c r="LZ542" s="6"/>
      <c r="MA542" s="6"/>
      <c r="MB542" s="6"/>
      <c r="MC542" s="6"/>
      <c r="MD542" s="6"/>
      <c r="ME542" s="6"/>
      <c r="MF542" s="6"/>
      <c r="MG542" s="6"/>
      <c r="MH542" s="6"/>
      <c r="MI542" s="6"/>
      <c r="MJ542" s="6"/>
      <c r="MK542" s="6"/>
      <c r="ML542" s="6"/>
      <c r="MM542" s="6"/>
      <c r="MN542" s="6"/>
      <c r="MO542" s="6"/>
      <c r="MP542" s="6"/>
      <c r="MQ542" s="6"/>
      <c r="MR542" s="6"/>
      <c r="MS542" s="6"/>
      <c r="MT542" s="6"/>
      <c r="MU542" s="6"/>
      <c r="MV542" s="6"/>
      <c r="MW542" s="6"/>
      <c r="MX542" s="6"/>
      <c r="MY542" s="6"/>
      <c r="MZ542" s="6"/>
      <c r="NA542" s="6"/>
      <c r="NB542" s="6"/>
      <c r="NC542" s="6"/>
      <c r="ND542" s="6"/>
      <c r="NE542" s="6"/>
      <c r="NF542" s="6"/>
      <c r="NG542" s="6"/>
      <c r="NH542" s="6"/>
      <c r="NI542" s="6"/>
      <c r="NJ542" s="6"/>
      <c r="NK542" s="6"/>
      <c r="NL542" s="6"/>
      <c r="NM542" s="6"/>
      <c r="NN542" s="6"/>
      <c r="NO542" s="6"/>
      <c r="NP542" s="6"/>
      <c r="NQ542" s="6"/>
      <c r="NR542" s="6"/>
      <c r="NS542" s="6"/>
      <c r="NT542" s="6"/>
      <c r="NU542" s="6"/>
      <c r="NV542" s="6"/>
    </row>
    <row r="543" spans="1:386" s="19" customFormat="1" ht="20.100000000000001" customHeight="1" x14ac:dyDescent="0.35">
      <c r="A543" s="1"/>
      <c r="B543" s="2"/>
      <c r="C543" s="3"/>
      <c r="D543" s="2"/>
      <c r="E543" s="2"/>
      <c r="F543" s="4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9"/>
      <c r="FL543" s="9"/>
      <c r="FM543" s="9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135"/>
      <c r="IK543" s="135"/>
      <c r="IL543" s="135"/>
      <c r="IN543" s="6"/>
      <c r="IO543" s="6"/>
      <c r="IP543" s="6"/>
      <c r="IQ543" s="6"/>
      <c r="IR543" s="6"/>
      <c r="IS543" s="6"/>
      <c r="IT543" s="6"/>
      <c r="IU543" s="6"/>
      <c r="IV543" s="6"/>
      <c r="IW543" s="6"/>
      <c r="IX543" s="6"/>
      <c r="IY543" s="6"/>
      <c r="IZ543" s="6"/>
      <c r="JA543" s="6"/>
      <c r="JB543" s="6"/>
      <c r="JC543" s="6"/>
      <c r="JD543" s="6"/>
      <c r="JE543" s="6"/>
      <c r="JF543" s="6"/>
      <c r="JG543" s="6"/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6"/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6"/>
      <c r="KZ543" s="6"/>
      <c r="LA543" s="6"/>
      <c r="LB543" s="6"/>
      <c r="LC543" s="6"/>
      <c r="LD543" s="6"/>
      <c r="LE543" s="6"/>
      <c r="LF543" s="6"/>
      <c r="LG543" s="6"/>
      <c r="LH543" s="6"/>
      <c r="LI543" s="6"/>
      <c r="LJ543" s="6"/>
      <c r="LK543" s="6"/>
      <c r="LL543" s="6"/>
      <c r="LM543" s="6"/>
      <c r="LN543" s="6"/>
      <c r="LO543" s="6"/>
      <c r="LP543" s="6"/>
      <c r="LQ543" s="6"/>
      <c r="LR543" s="6"/>
      <c r="LS543" s="6"/>
      <c r="LT543" s="6"/>
      <c r="LU543" s="6"/>
      <c r="LV543" s="6"/>
      <c r="LW543" s="6"/>
      <c r="LX543" s="6"/>
      <c r="LY543" s="6"/>
      <c r="LZ543" s="6"/>
      <c r="MA543" s="6"/>
      <c r="MB543" s="6"/>
      <c r="MC543" s="6"/>
      <c r="MD543" s="6"/>
      <c r="ME543" s="6"/>
      <c r="MF543" s="6"/>
      <c r="MG543" s="6"/>
      <c r="MH543" s="6"/>
      <c r="MI543" s="6"/>
      <c r="MJ543" s="6"/>
      <c r="MK543" s="6"/>
      <c r="ML543" s="6"/>
      <c r="MM543" s="6"/>
      <c r="MN543" s="6"/>
      <c r="MO543" s="6"/>
      <c r="MP543" s="6"/>
      <c r="MQ543" s="6"/>
      <c r="MR543" s="6"/>
      <c r="MS543" s="6"/>
      <c r="MT543" s="6"/>
      <c r="MU543" s="6"/>
      <c r="MV543" s="6"/>
      <c r="MW543" s="6"/>
      <c r="MX543" s="6"/>
      <c r="MY543" s="6"/>
      <c r="MZ543" s="6"/>
      <c r="NA543" s="6"/>
      <c r="NB543" s="6"/>
      <c r="NC543" s="6"/>
      <c r="ND543" s="6"/>
      <c r="NE543" s="6"/>
      <c r="NF543" s="6"/>
      <c r="NG543" s="6"/>
      <c r="NH543" s="6"/>
      <c r="NI543" s="6"/>
      <c r="NJ543" s="6"/>
      <c r="NK543" s="6"/>
      <c r="NL543" s="6"/>
      <c r="NM543" s="6"/>
      <c r="NN543" s="6"/>
      <c r="NO543" s="6"/>
      <c r="NP543" s="6"/>
      <c r="NQ543" s="6"/>
      <c r="NR543" s="6"/>
      <c r="NS543" s="6"/>
      <c r="NT543" s="6"/>
      <c r="NU543" s="6"/>
      <c r="NV543" s="6"/>
    </row>
    <row r="544" spans="1:386" s="19" customFormat="1" ht="20.100000000000001" customHeight="1" x14ac:dyDescent="0.35">
      <c r="A544" s="1"/>
      <c r="B544" s="2"/>
      <c r="C544" s="3"/>
      <c r="D544" s="2"/>
      <c r="E544" s="2"/>
      <c r="F544" s="4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9"/>
      <c r="FL544" s="9"/>
      <c r="FM544" s="9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135"/>
      <c r="IK544" s="135"/>
      <c r="IL544" s="135"/>
      <c r="IN544" s="6"/>
      <c r="IO544" s="6"/>
      <c r="IP544" s="6"/>
      <c r="IQ544" s="6"/>
      <c r="IR544" s="6"/>
      <c r="IS544" s="6"/>
      <c r="IT544" s="6"/>
      <c r="IU544" s="6"/>
      <c r="IV544" s="6"/>
      <c r="IW544" s="6"/>
      <c r="IX544" s="6"/>
      <c r="IY544" s="6"/>
      <c r="IZ544" s="6"/>
      <c r="JA544" s="6"/>
      <c r="JB544" s="6"/>
      <c r="JC544" s="6"/>
      <c r="JD544" s="6"/>
      <c r="JE544" s="6"/>
      <c r="JF544" s="6"/>
      <c r="JG544" s="6"/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6"/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6"/>
      <c r="KZ544" s="6"/>
      <c r="LA544" s="6"/>
      <c r="LB544" s="6"/>
      <c r="LC544" s="6"/>
      <c r="LD544" s="6"/>
      <c r="LE544" s="6"/>
      <c r="LF544" s="6"/>
      <c r="LG544" s="6"/>
      <c r="LH544" s="6"/>
      <c r="LI544" s="6"/>
      <c r="LJ544" s="6"/>
      <c r="LK544" s="6"/>
      <c r="LL544" s="6"/>
      <c r="LM544" s="6"/>
      <c r="LN544" s="6"/>
      <c r="LO544" s="6"/>
      <c r="LP544" s="6"/>
      <c r="LQ544" s="6"/>
      <c r="LR544" s="6"/>
      <c r="LS544" s="6"/>
      <c r="LT544" s="6"/>
      <c r="LU544" s="6"/>
      <c r="LV544" s="6"/>
      <c r="LW544" s="6"/>
      <c r="LX544" s="6"/>
      <c r="LY544" s="6"/>
      <c r="LZ544" s="6"/>
      <c r="MA544" s="6"/>
      <c r="MB544" s="6"/>
      <c r="MC544" s="6"/>
      <c r="MD544" s="6"/>
      <c r="ME544" s="6"/>
      <c r="MF544" s="6"/>
      <c r="MG544" s="6"/>
      <c r="MH544" s="6"/>
      <c r="MI544" s="6"/>
      <c r="MJ544" s="6"/>
      <c r="MK544" s="6"/>
      <c r="ML544" s="6"/>
      <c r="MM544" s="6"/>
      <c r="MN544" s="6"/>
      <c r="MO544" s="6"/>
      <c r="MP544" s="6"/>
      <c r="MQ544" s="6"/>
      <c r="MR544" s="6"/>
      <c r="MS544" s="6"/>
      <c r="MT544" s="6"/>
      <c r="MU544" s="6"/>
      <c r="MV544" s="6"/>
      <c r="MW544" s="6"/>
      <c r="MX544" s="6"/>
      <c r="MY544" s="6"/>
      <c r="MZ544" s="6"/>
      <c r="NA544" s="6"/>
      <c r="NB544" s="6"/>
      <c r="NC544" s="6"/>
      <c r="ND544" s="6"/>
      <c r="NE544" s="6"/>
      <c r="NF544" s="6"/>
      <c r="NG544" s="6"/>
      <c r="NH544" s="6"/>
      <c r="NI544" s="6"/>
      <c r="NJ544" s="6"/>
      <c r="NK544" s="6"/>
      <c r="NL544" s="6"/>
      <c r="NM544" s="6"/>
      <c r="NN544" s="6"/>
      <c r="NO544" s="6"/>
      <c r="NP544" s="6"/>
      <c r="NQ544" s="6"/>
      <c r="NR544" s="6"/>
      <c r="NS544" s="6"/>
      <c r="NT544" s="6"/>
      <c r="NU544" s="6"/>
      <c r="NV544" s="6"/>
    </row>
    <row r="545" spans="1:386" s="19" customFormat="1" ht="20.100000000000001" customHeight="1" x14ac:dyDescent="0.35">
      <c r="A545" s="1"/>
      <c r="B545" s="2"/>
      <c r="C545" s="3"/>
      <c r="D545" s="2"/>
      <c r="E545" s="2"/>
      <c r="F545" s="4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9"/>
      <c r="FL545" s="9"/>
      <c r="FM545" s="9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135"/>
      <c r="IK545" s="135"/>
      <c r="IL545" s="135"/>
      <c r="IN545" s="6"/>
      <c r="IO545" s="6"/>
      <c r="IP545" s="6"/>
      <c r="IQ545" s="6"/>
      <c r="IR545" s="6"/>
      <c r="IS545" s="6"/>
      <c r="IT545" s="6"/>
      <c r="IU545" s="6"/>
      <c r="IV545" s="6"/>
      <c r="IW545" s="6"/>
      <c r="IX545" s="6"/>
      <c r="IY545" s="6"/>
      <c r="IZ545" s="6"/>
      <c r="JA545" s="6"/>
      <c r="JB545" s="6"/>
      <c r="JC545" s="6"/>
      <c r="JD545" s="6"/>
      <c r="JE545" s="6"/>
      <c r="JF545" s="6"/>
      <c r="JG545" s="6"/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6"/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6"/>
      <c r="KZ545" s="6"/>
      <c r="LA545" s="6"/>
      <c r="LB545" s="6"/>
      <c r="LC545" s="6"/>
      <c r="LD545" s="6"/>
      <c r="LE545" s="6"/>
      <c r="LF545" s="6"/>
      <c r="LG545" s="6"/>
      <c r="LH545" s="6"/>
      <c r="LI545" s="6"/>
      <c r="LJ545" s="6"/>
      <c r="LK545" s="6"/>
      <c r="LL545" s="6"/>
      <c r="LM545" s="6"/>
      <c r="LN545" s="6"/>
      <c r="LO545" s="6"/>
      <c r="LP545" s="6"/>
      <c r="LQ545" s="6"/>
      <c r="LR545" s="6"/>
      <c r="LS545" s="6"/>
      <c r="LT545" s="6"/>
      <c r="LU545" s="6"/>
      <c r="LV545" s="6"/>
      <c r="LW545" s="6"/>
      <c r="LX545" s="6"/>
      <c r="LY545" s="6"/>
      <c r="LZ545" s="6"/>
      <c r="MA545" s="6"/>
      <c r="MB545" s="6"/>
      <c r="MC545" s="6"/>
      <c r="MD545" s="6"/>
      <c r="ME545" s="6"/>
      <c r="MF545" s="6"/>
      <c r="MG545" s="6"/>
      <c r="MH545" s="6"/>
      <c r="MI545" s="6"/>
      <c r="MJ545" s="6"/>
      <c r="MK545" s="6"/>
      <c r="ML545" s="6"/>
      <c r="MM545" s="6"/>
      <c r="MN545" s="6"/>
      <c r="MO545" s="6"/>
      <c r="MP545" s="6"/>
      <c r="MQ545" s="6"/>
      <c r="MR545" s="6"/>
      <c r="MS545" s="6"/>
      <c r="MT545" s="6"/>
      <c r="MU545" s="6"/>
      <c r="MV545" s="6"/>
      <c r="MW545" s="6"/>
      <c r="MX545" s="6"/>
      <c r="MY545" s="6"/>
      <c r="MZ545" s="6"/>
      <c r="NA545" s="6"/>
      <c r="NB545" s="6"/>
      <c r="NC545" s="6"/>
      <c r="ND545" s="6"/>
      <c r="NE545" s="6"/>
      <c r="NF545" s="6"/>
      <c r="NG545" s="6"/>
      <c r="NH545" s="6"/>
      <c r="NI545" s="6"/>
      <c r="NJ545" s="6"/>
      <c r="NK545" s="6"/>
      <c r="NL545" s="6"/>
      <c r="NM545" s="6"/>
      <c r="NN545" s="6"/>
      <c r="NO545" s="6"/>
      <c r="NP545" s="6"/>
      <c r="NQ545" s="6"/>
      <c r="NR545" s="6"/>
      <c r="NS545" s="6"/>
      <c r="NT545" s="6"/>
      <c r="NU545" s="6"/>
      <c r="NV545" s="6"/>
    </row>
    <row r="546" spans="1:386" s="19" customFormat="1" ht="20.100000000000001" customHeight="1" x14ac:dyDescent="0.35">
      <c r="A546" s="1"/>
      <c r="B546" s="2"/>
      <c r="C546" s="3"/>
      <c r="D546" s="2"/>
      <c r="E546" s="2"/>
      <c r="F546" s="4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9"/>
      <c r="FL546" s="9"/>
      <c r="FM546" s="9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135"/>
      <c r="IK546" s="135"/>
      <c r="IL546" s="135"/>
      <c r="IN546" s="6"/>
      <c r="IO546" s="6"/>
      <c r="IP546" s="6"/>
      <c r="IQ546" s="6"/>
      <c r="IR546" s="6"/>
      <c r="IS546" s="6"/>
      <c r="IT546" s="6"/>
      <c r="IU546" s="6"/>
      <c r="IV546" s="6"/>
      <c r="IW546" s="6"/>
      <c r="IX546" s="6"/>
      <c r="IY546" s="6"/>
      <c r="IZ546" s="6"/>
      <c r="JA546" s="6"/>
      <c r="JB546" s="6"/>
      <c r="JC546" s="6"/>
      <c r="JD546" s="6"/>
      <c r="JE546" s="6"/>
      <c r="JF546" s="6"/>
      <c r="JG546" s="6"/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6"/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6"/>
      <c r="KZ546" s="6"/>
      <c r="LA546" s="6"/>
      <c r="LB546" s="6"/>
      <c r="LC546" s="6"/>
      <c r="LD546" s="6"/>
      <c r="LE546" s="6"/>
      <c r="LF546" s="6"/>
      <c r="LG546" s="6"/>
      <c r="LH546" s="6"/>
      <c r="LI546" s="6"/>
      <c r="LJ546" s="6"/>
      <c r="LK546" s="6"/>
      <c r="LL546" s="6"/>
      <c r="LM546" s="6"/>
      <c r="LN546" s="6"/>
      <c r="LO546" s="6"/>
      <c r="LP546" s="6"/>
      <c r="LQ546" s="6"/>
      <c r="LR546" s="6"/>
      <c r="LS546" s="6"/>
      <c r="LT546" s="6"/>
      <c r="LU546" s="6"/>
      <c r="LV546" s="6"/>
      <c r="LW546" s="6"/>
      <c r="LX546" s="6"/>
      <c r="LY546" s="6"/>
      <c r="LZ546" s="6"/>
      <c r="MA546" s="6"/>
      <c r="MB546" s="6"/>
      <c r="MC546" s="6"/>
      <c r="MD546" s="6"/>
      <c r="ME546" s="6"/>
      <c r="MF546" s="6"/>
      <c r="MG546" s="6"/>
      <c r="MH546" s="6"/>
      <c r="MI546" s="6"/>
      <c r="MJ546" s="6"/>
      <c r="MK546" s="6"/>
      <c r="ML546" s="6"/>
      <c r="MM546" s="6"/>
      <c r="MN546" s="6"/>
      <c r="MO546" s="6"/>
      <c r="MP546" s="6"/>
      <c r="MQ546" s="6"/>
      <c r="MR546" s="6"/>
      <c r="MS546" s="6"/>
      <c r="MT546" s="6"/>
      <c r="MU546" s="6"/>
      <c r="MV546" s="6"/>
      <c r="MW546" s="6"/>
      <c r="MX546" s="6"/>
      <c r="MY546" s="6"/>
      <c r="MZ546" s="6"/>
      <c r="NA546" s="6"/>
      <c r="NB546" s="6"/>
      <c r="NC546" s="6"/>
      <c r="ND546" s="6"/>
      <c r="NE546" s="6"/>
      <c r="NF546" s="6"/>
      <c r="NG546" s="6"/>
      <c r="NH546" s="6"/>
      <c r="NI546" s="6"/>
      <c r="NJ546" s="6"/>
      <c r="NK546" s="6"/>
      <c r="NL546" s="6"/>
      <c r="NM546" s="6"/>
      <c r="NN546" s="6"/>
      <c r="NO546" s="6"/>
      <c r="NP546" s="6"/>
      <c r="NQ546" s="6"/>
      <c r="NR546" s="6"/>
      <c r="NS546" s="6"/>
      <c r="NT546" s="6"/>
      <c r="NU546" s="6"/>
      <c r="NV546" s="6"/>
    </row>
    <row r="547" spans="1:386" s="19" customFormat="1" ht="20.100000000000001" customHeight="1" x14ac:dyDescent="0.35">
      <c r="A547" s="1"/>
      <c r="B547" s="2"/>
      <c r="C547" s="3"/>
      <c r="D547" s="2"/>
      <c r="E547" s="2"/>
      <c r="F547" s="4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9"/>
      <c r="FL547" s="9"/>
      <c r="FM547" s="9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135"/>
      <c r="IK547" s="135"/>
      <c r="IL547" s="135"/>
      <c r="IN547" s="6"/>
      <c r="IO547" s="6"/>
      <c r="IP547" s="6"/>
      <c r="IQ547" s="6"/>
      <c r="IR547" s="6"/>
      <c r="IS547" s="6"/>
      <c r="IT547" s="6"/>
      <c r="IU547" s="6"/>
      <c r="IV547" s="6"/>
      <c r="IW547" s="6"/>
      <c r="IX547" s="6"/>
      <c r="IY547" s="6"/>
      <c r="IZ547" s="6"/>
      <c r="JA547" s="6"/>
      <c r="JB547" s="6"/>
      <c r="JC547" s="6"/>
      <c r="JD547" s="6"/>
      <c r="JE547" s="6"/>
      <c r="JF547" s="6"/>
      <c r="JG547" s="6"/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6"/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6"/>
      <c r="KZ547" s="6"/>
      <c r="LA547" s="6"/>
      <c r="LB547" s="6"/>
      <c r="LC547" s="6"/>
      <c r="LD547" s="6"/>
      <c r="LE547" s="6"/>
      <c r="LF547" s="6"/>
      <c r="LG547" s="6"/>
      <c r="LH547" s="6"/>
      <c r="LI547" s="6"/>
      <c r="LJ547" s="6"/>
      <c r="LK547" s="6"/>
      <c r="LL547" s="6"/>
      <c r="LM547" s="6"/>
      <c r="LN547" s="6"/>
      <c r="LO547" s="6"/>
      <c r="LP547" s="6"/>
      <c r="LQ547" s="6"/>
      <c r="LR547" s="6"/>
      <c r="LS547" s="6"/>
      <c r="LT547" s="6"/>
      <c r="LU547" s="6"/>
      <c r="LV547" s="6"/>
      <c r="LW547" s="6"/>
      <c r="LX547" s="6"/>
      <c r="LY547" s="6"/>
      <c r="LZ547" s="6"/>
      <c r="MA547" s="6"/>
      <c r="MB547" s="6"/>
      <c r="MC547" s="6"/>
      <c r="MD547" s="6"/>
      <c r="ME547" s="6"/>
      <c r="MF547" s="6"/>
      <c r="MG547" s="6"/>
      <c r="MH547" s="6"/>
      <c r="MI547" s="6"/>
      <c r="MJ547" s="6"/>
      <c r="MK547" s="6"/>
      <c r="ML547" s="6"/>
      <c r="MM547" s="6"/>
      <c r="MN547" s="6"/>
      <c r="MO547" s="6"/>
      <c r="MP547" s="6"/>
      <c r="MQ547" s="6"/>
      <c r="MR547" s="6"/>
      <c r="MS547" s="6"/>
      <c r="MT547" s="6"/>
      <c r="MU547" s="6"/>
      <c r="MV547" s="6"/>
      <c r="MW547" s="6"/>
      <c r="MX547" s="6"/>
      <c r="MY547" s="6"/>
      <c r="MZ547" s="6"/>
      <c r="NA547" s="6"/>
      <c r="NB547" s="6"/>
      <c r="NC547" s="6"/>
      <c r="ND547" s="6"/>
      <c r="NE547" s="6"/>
      <c r="NF547" s="6"/>
      <c r="NG547" s="6"/>
      <c r="NH547" s="6"/>
      <c r="NI547" s="6"/>
      <c r="NJ547" s="6"/>
      <c r="NK547" s="6"/>
      <c r="NL547" s="6"/>
      <c r="NM547" s="6"/>
      <c r="NN547" s="6"/>
      <c r="NO547" s="6"/>
      <c r="NP547" s="6"/>
      <c r="NQ547" s="6"/>
      <c r="NR547" s="6"/>
      <c r="NS547" s="6"/>
      <c r="NT547" s="6"/>
      <c r="NU547" s="6"/>
      <c r="NV547" s="6"/>
    </row>
    <row r="548" spans="1:386" s="19" customFormat="1" ht="20.100000000000001" customHeight="1" x14ac:dyDescent="0.35">
      <c r="A548" s="1"/>
      <c r="B548" s="2"/>
      <c r="C548" s="3"/>
      <c r="D548" s="2"/>
      <c r="E548" s="2"/>
      <c r="F548" s="4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9"/>
      <c r="FL548" s="9"/>
      <c r="FM548" s="9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135"/>
      <c r="IK548" s="135"/>
      <c r="IL548" s="135"/>
      <c r="IN548" s="6"/>
      <c r="IO548" s="6"/>
      <c r="IP548" s="6"/>
      <c r="IQ548" s="6"/>
      <c r="IR548" s="6"/>
      <c r="IS548" s="6"/>
      <c r="IT548" s="6"/>
      <c r="IU548" s="6"/>
      <c r="IV548" s="6"/>
      <c r="IW548" s="6"/>
      <c r="IX548" s="6"/>
      <c r="IY548" s="6"/>
      <c r="IZ548" s="6"/>
      <c r="JA548" s="6"/>
      <c r="JB548" s="6"/>
      <c r="JC548" s="6"/>
      <c r="JD548" s="6"/>
      <c r="JE548" s="6"/>
      <c r="JF548" s="6"/>
      <c r="JG548" s="6"/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6"/>
      <c r="JT548" s="6"/>
      <c r="JU548" s="6"/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6"/>
      <c r="KZ548" s="6"/>
      <c r="LA548" s="6"/>
      <c r="LB548" s="6"/>
      <c r="LC548" s="6"/>
      <c r="LD548" s="6"/>
      <c r="LE548" s="6"/>
      <c r="LF548" s="6"/>
      <c r="LG548" s="6"/>
      <c r="LH548" s="6"/>
      <c r="LI548" s="6"/>
      <c r="LJ548" s="6"/>
      <c r="LK548" s="6"/>
      <c r="LL548" s="6"/>
      <c r="LM548" s="6"/>
      <c r="LN548" s="6"/>
      <c r="LO548" s="6"/>
      <c r="LP548" s="6"/>
      <c r="LQ548" s="6"/>
      <c r="LR548" s="6"/>
      <c r="LS548" s="6"/>
      <c r="LT548" s="6"/>
      <c r="LU548" s="6"/>
      <c r="LV548" s="6"/>
      <c r="LW548" s="6"/>
      <c r="LX548" s="6"/>
      <c r="LY548" s="6"/>
      <c r="LZ548" s="6"/>
      <c r="MA548" s="6"/>
      <c r="MB548" s="6"/>
      <c r="MC548" s="6"/>
      <c r="MD548" s="6"/>
      <c r="ME548" s="6"/>
      <c r="MF548" s="6"/>
      <c r="MG548" s="6"/>
      <c r="MH548" s="6"/>
      <c r="MI548" s="6"/>
      <c r="MJ548" s="6"/>
      <c r="MK548" s="6"/>
      <c r="ML548" s="6"/>
      <c r="MM548" s="6"/>
      <c r="MN548" s="6"/>
      <c r="MO548" s="6"/>
      <c r="MP548" s="6"/>
      <c r="MQ548" s="6"/>
      <c r="MR548" s="6"/>
      <c r="MS548" s="6"/>
      <c r="MT548" s="6"/>
      <c r="MU548" s="6"/>
      <c r="MV548" s="6"/>
      <c r="MW548" s="6"/>
      <c r="MX548" s="6"/>
      <c r="MY548" s="6"/>
      <c r="MZ548" s="6"/>
      <c r="NA548" s="6"/>
      <c r="NB548" s="6"/>
      <c r="NC548" s="6"/>
      <c r="ND548" s="6"/>
      <c r="NE548" s="6"/>
      <c r="NF548" s="6"/>
      <c r="NG548" s="6"/>
      <c r="NH548" s="6"/>
      <c r="NI548" s="6"/>
      <c r="NJ548" s="6"/>
      <c r="NK548" s="6"/>
      <c r="NL548" s="6"/>
      <c r="NM548" s="6"/>
      <c r="NN548" s="6"/>
      <c r="NO548" s="6"/>
      <c r="NP548" s="6"/>
      <c r="NQ548" s="6"/>
      <c r="NR548" s="6"/>
      <c r="NS548" s="6"/>
      <c r="NT548" s="6"/>
      <c r="NU548" s="6"/>
      <c r="NV548" s="6"/>
    </row>
    <row r="549" spans="1:386" s="19" customFormat="1" ht="20.100000000000001" customHeight="1" x14ac:dyDescent="0.35">
      <c r="A549" s="1"/>
      <c r="B549" s="2"/>
      <c r="C549" s="3"/>
      <c r="D549" s="2"/>
      <c r="E549" s="2"/>
      <c r="F549" s="4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9"/>
      <c r="FL549" s="9"/>
      <c r="FM549" s="9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135"/>
      <c r="IK549" s="135"/>
      <c r="IL549" s="135"/>
      <c r="IN549" s="6"/>
      <c r="IO549" s="6"/>
      <c r="IP549" s="6"/>
      <c r="IQ549" s="6"/>
      <c r="IR549" s="6"/>
      <c r="IS549" s="6"/>
      <c r="IT549" s="6"/>
      <c r="IU549" s="6"/>
      <c r="IV549" s="6"/>
      <c r="IW549" s="6"/>
      <c r="IX549" s="6"/>
      <c r="IY549" s="6"/>
      <c r="IZ549" s="6"/>
      <c r="JA549" s="6"/>
      <c r="JB549" s="6"/>
      <c r="JC549" s="6"/>
      <c r="JD549" s="6"/>
      <c r="JE549" s="6"/>
      <c r="JF549" s="6"/>
      <c r="JG549" s="6"/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6"/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6"/>
      <c r="KZ549" s="6"/>
      <c r="LA549" s="6"/>
      <c r="LB549" s="6"/>
      <c r="LC549" s="6"/>
      <c r="LD549" s="6"/>
      <c r="LE549" s="6"/>
      <c r="LF549" s="6"/>
      <c r="LG549" s="6"/>
      <c r="LH549" s="6"/>
      <c r="LI549" s="6"/>
      <c r="LJ549" s="6"/>
      <c r="LK549" s="6"/>
      <c r="LL549" s="6"/>
      <c r="LM549" s="6"/>
      <c r="LN549" s="6"/>
      <c r="LO549" s="6"/>
      <c r="LP549" s="6"/>
      <c r="LQ549" s="6"/>
      <c r="LR549" s="6"/>
      <c r="LS549" s="6"/>
      <c r="LT549" s="6"/>
      <c r="LU549" s="6"/>
      <c r="LV549" s="6"/>
      <c r="LW549" s="6"/>
      <c r="LX549" s="6"/>
      <c r="LY549" s="6"/>
      <c r="LZ549" s="6"/>
      <c r="MA549" s="6"/>
      <c r="MB549" s="6"/>
      <c r="MC549" s="6"/>
      <c r="MD549" s="6"/>
      <c r="ME549" s="6"/>
      <c r="MF549" s="6"/>
      <c r="MG549" s="6"/>
      <c r="MH549" s="6"/>
      <c r="MI549" s="6"/>
      <c r="MJ549" s="6"/>
      <c r="MK549" s="6"/>
      <c r="ML549" s="6"/>
      <c r="MM549" s="6"/>
      <c r="MN549" s="6"/>
      <c r="MO549" s="6"/>
      <c r="MP549" s="6"/>
      <c r="MQ549" s="6"/>
      <c r="MR549" s="6"/>
      <c r="MS549" s="6"/>
      <c r="MT549" s="6"/>
      <c r="MU549" s="6"/>
      <c r="MV549" s="6"/>
      <c r="MW549" s="6"/>
      <c r="MX549" s="6"/>
      <c r="MY549" s="6"/>
      <c r="MZ549" s="6"/>
      <c r="NA549" s="6"/>
      <c r="NB549" s="6"/>
      <c r="NC549" s="6"/>
      <c r="ND549" s="6"/>
      <c r="NE549" s="6"/>
      <c r="NF549" s="6"/>
      <c r="NG549" s="6"/>
      <c r="NH549" s="6"/>
      <c r="NI549" s="6"/>
      <c r="NJ549" s="6"/>
      <c r="NK549" s="6"/>
      <c r="NL549" s="6"/>
      <c r="NM549" s="6"/>
      <c r="NN549" s="6"/>
      <c r="NO549" s="6"/>
      <c r="NP549" s="6"/>
      <c r="NQ549" s="6"/>
      <c r="NR549" s="6"/>
      <c r="NS549" s="6"/>
      <c r="NT549" s="6"/>
      <c r="NU549" s="6"/>
      <c r="NV549" s="6"/>
    </row>
    <row r="550" spans="1:386" s="19" customFormat="1" ht="20.100000000000001" customHeight="1" x14ac:dyDescent="0.35">
      <c r="A550" s="1"/>
      <c r="B550" s="2"/>
      <c r="C550" s="3"/>
      <c r="D550" s="2"/>
      <c r="E550" s="2"/>
      <c r="F550" s="4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9"/>
      <c r="FL550" s="9"/>
      <c r="FM550" s="9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135"/>
      <c r="IK550" s="135"/>
      <c r="IL550" s="135"/>
      <c r="IN550" s="6"/>
      <c r="IO550" s="6"/>
      <c r="IP550" s="6"/>
      <c r="IQ550" s="6"/>
      <c r="IR550" s="6"/>
      <c r="IS550" s="6"/>
      <c r="IT550" s="6"/>
      <c r="IU550" s="6"/>
      <c r="IV550" s="6"/>
      <c r="IW550" s="6"/>
      <c r="IX550" s="6"/>
      <c r="IY550" s="6"/>
      <c r="IZ550" s="6"/>
      <c r="JA550" s="6"/>
      <c r="JB550" s="6"/>
      <c r="JC550" s="6"/>
      <c r="JD550" s="6"/>
      <c r="JE550" s="6"/>
      <c r="JF550" s="6"/>
      <c r="JG550" s="6"/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6"/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6"/>
      <c r="KZ550" s="6"/>
      <c r="LA550" s="6"/>
      <c r="LB550" s="6"/>
      <c r="LC550" s="6"/>
      <c r="LD550" s="6"/>
      <c r="LE550" s="6"/>
      <c r="LF550" s="6"/>
      <c r="LG550" s="6"/>
      <c r="LH550" s="6"/>
      <c r="LI550" s="6"/>
      <c r="LJ550" s="6"/>
      <c r="LK550" s="6"/>
      <c r="LL550" s="6"/>
      <c r="LM550" s="6"/>
      <c r="LN550" s="6"/>
      <c r="LO550" s="6"/>
      <c r="LP550" s="6"/>
      <c r="LQ550" s="6"/>
      <c r="LR550" s="6"/>
      <c r="LS550" s="6"/>
      <c r="LT550" s="6"/>
      <c r="LU550" s="6"/>
      <c r="LV550" s="6"/>
      <c r="LW550" s="6"/>
      <c r="LX550" s="6"/>
      <c r="LY550" s="6"/>
      <c r="LZ550" s="6"/>
      <c r="MA550" s="6"/>
      <c r="MB550" s="6"/>
      <c r="MC550" s="6"/>
      <c r="MD550" s="6"/>
      <c r="ME550" s="6"/>
      <c r="MF550" s="6"/>
      <c r="MG550" s="6"/>
      <c r="MH550" s="6"/>
      <c r="MI550" s="6"/>
      <c r="MJ550" s="6"/>
      <c r="MK550" s="6"/>
      <c r="ML550" s="6"/>
      <c r="MM550" s="6"/>
      <c r="MN550" s="6"/>
      <c r="MO550" s="6"/>
      <c r="MP550" s="6"/>
      <c r="MQ550" s="6"/>
      <c r="MR550" s="6"/>
      <c r="MS550" s="6"/>
      <c r="MT550" s="6"/>
      <c r="MU550" s="6"/>
      <c r="MV550" s="6"/>
      <c r="MW550" s="6"/>
      <c r="MX550" s="6"/>
      <c r="MY550" s="6"/>
      <c r="MZ550" s="6"/>
      <c r="NA550" s="6"/>
      <c r="NB550" s="6"/>
      <c r="NC550" s="6"/>
      <c r="ND550" s="6"/>
      <c r="NE550" s="6"/>
      <c r="NF550" s="6"/>
      <c r="NG550" s="6"/>
      <c r="NH550" s="6"/>
      <c r="NI550" s="6"/>
      <c r="NJ550" s="6"/>
      <c r="NK550" s="6"/>
      <c r="NL550" s="6"/>
      <c r="NM550" s="6"/>
      <c r="NN550" s="6"/>
      <c r="NO550" s="6"/>
      <c r="NP550" s="6"/>
      <c r="NQ550" s="6"/>
      <c r="NR550" s="6"/>
      <c r="NS550" s="6"/>
      <c r="NT550" s="6"/>
      <c r="NU550" s="6"/>
      <c r="NV550" s="6"/>
    </row>
    <row r="551" spans="1:386" s="19" customFormat="1" ht="20.100000000000001" customHeight="1" x14ac:dyDescent="0.35">
      <c r="A551" s="1"/>
      <c r="B551" s="2"/>
      <c r="C551" s="3"/>
      <c r="D551" s="2"/>
      <c r="E551" s="2"/>
      <c r="F551" s="4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9"/>
      <c r="FL551" s="9"/>
      <c r="FM551" s="9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135"/>
      <c r="IK551" s="135"/>
      <c r="IL551" s="135"/>
      <c r="IN551" s="6"/>
      <c r="IO551" s="6"/>
      <c r="IP551" s="6"/>
      <c r="IQ551" s="6"/>
      <c r="IR551" s="6"/>
      <c r="IS551" s="6"/>
      <c r="IT551" s="6"/>
      <c r="IU551" s="6"/>
      <c r="IV551" s="6"/>
      <c r="IW551" s="6"/>
      <c r="IX551" s="6"/>
      <c r="IY551" s="6"/>
      <c r="IZ551" s="6"/>
      <c r="JA551" s="6"/>
      <c r="JB551" s="6"/>
      <c r="JC551" s="6"/>
      <c r="JD551" s="6"/>
      <c r="JE551" s="6"/>
      <c r="JF551" s="6"/>
      <c r="JG551" s="6"/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6"/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6"/>
      <c r="KZ551" s="6"/>
      <c r="LA551" s="6"/>
      <c r="LB551" s="6"/>
      <c r="LC551" s="6"/>
      <c r="LD551" s="6"/>
      <c r="LE551" s="6"/>
      <c r="LF551" s="6"/>
      <c r="LG551" s="6"/>
      <c r="LH551" s="6"/>
      <c r="LI551" s="6"/>
      <c r="LJ551" s="6"/>
      <c r="LK551" s="6"/>
      <c r="LL551" s="6"/>
      <c r="LM551" s="6"/>
      <c r="LN551" s="6"/>
      <c r="LO551" s="6"/>
      <c r="LP551" s="6"/>
      <c r="LQ551" s="6"/>
      <c r="LR551" s="6"/>
      <c r="LS551" s="6"/>
      <c r="LT551" s="6"/>
      <c r="LU551" s="6"/>
      <c r="LV551" s="6"/>
      <c r="LW551" s="6"/>
      <c r="LX551" s="6"/>
      <c r="LY551" s="6"/>
      <c r="LZ551" s="6"/>
      <c r="MA551" s="6"/>
      <c r="MB551" s="6"/>
      <c r="MC551" s="6"/>
      <c r="MD551" s="6"/>
      <c r="ME551" s="6"/>
      <c r="MF551" s="6"/>
      <c r="MG551" s="6"/>
      <c r="MH551" s="6"/>
      <c r="MI551" s="6"/>
      <c r="MJ551" s="6"/>
      <c r="MK551" s="6"/>
      <c r="ML551" s="6"/>
      <c r="MM551" s="6"/>
      <c r="MN551" s="6"/>
      <c r="MO551" s="6"/>
      <c r="MP551" s="6"/>
      <c r="MQ551" s="6"/>
      <c r="MR551" s="6"/>
      <c r="MS551" s="6"/>
      <c r="MT551" s="6"/>
      <c r="MU551" s="6"/>
      <c r="MV551" s="6"/>
      <c r="MW551" s="6"/>
      <c r="MX551" s="6"/>
      <c r="MY551" s="6"/>
      <c r="MZ551" s="6"/>
      <c r="NA551" s="6"/>
      <c r="NB551" s="6"/>
      <c r="NC551" s="6"/>
      <c r="ND551" s="6"/>
      <c r="NE551" s="6"/>
      <c r="NF551" s="6"/>
      <c r="NG551" s="6"/>
      <c r="NH551" s="6"/>
      <c r="NI551" s="6"/>
      <c r="NJ551" s="6"/>
      <c r="NK551" s="6"/>
      <c r="NL551" s="6"/>
      <c r="NM551" s="6"/>
      <c r="NN551" s="6"/>
      <c r="NO551" s="6"/>
      <c r="NP551" s="6"/>
      <c r="NQ551" s="6"/>
      <c r="NR551" s="6"/>
      <c r="NS551" s="6"/>
      <c r="NT551" s="6"/>
      <c r="NU551" s="6"/>
      <c r="NV551" s="6"/>
    </row>
    <row r="552" spans="1:386" s="19" customFormat="1" ht="20.100000000000001" customHeight="1" x14ac:dyDescent="0.35">
      <c r="A552" s="1"/>
      <c r="B552" s="2"/>
      <c r="C552" s="3"/>
      <c r="D552" s="2"/>
      <c r="E552" s="2"/>
      <c r="F552" s="4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9"/>
      <c r="FL552" s="9"/>
      <c r="FM552" s="9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135"/>
      <c r="IK552" s="135"/>
      <c r="IL552" s="135"/>
      <c r="IN552" s="6"/>
      <c r="IO552" s="6"/>
      <c r="IP552" s="6"/>
      <c r="IQ552" s="6"/>
      <c r="IR552" s="6"/>
      <c r="IS552" s="6"/>
      <c r="IT552" s="6"/>
      <c r="IU552" s="6"/>
      <c r="IV552" s="6"/>
      <c r="IW552" s="6"/>
      <c r="IX552" s="6"/>
      <c r="IY552" s="6"/>
      <c r="IZ552" s="6"/>
      <c r="JA552" s="6"/>
      <c r="JB552" s="6"/>
      <c r="JC552" s="6"/>
      <c r="JD552" s="6"/>
      <c r="JE552" s="6"/>
      <c r="JF552" s="6"/>
      <c r="JG552" s="6"/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6"/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6"/>
      <c r="KZ552" s="6"/>
      <c r="LA552" s="6"/>
      <c r="LB552" s="6"/>
      <c r="LC552" s="6"/>
      <c r="LD552" s="6"/>
      <c r="LE552" s="6"/>
      <c r="LF552" s="6"/>
      <c r="LG552" s="6"/>
      <c r="LH552" s="6"/>
      <c r="LI552" s="6"/>
      <c r="LJ552" s="6"/>
      <c r="LK552" s="6"/>
      <c r="LL552" s="6"/>
      <c r="LM552" s="6"/>
      <c r="LN552" s="6"/>
      <c r="LO552" s="6"/>
      <c r="LP552" s="6"/>
      <c r="LQ552" s="6"/>
      <c r="LR552" s="6"/>
      <c r="LS552" s="6"/>
      <c r="LT552" s="6"/>
      <c r="LU552" s="6"/>
      <c r="LV552" s="6"/>
      <c r="LW552" s="6"/>
      <c r="LX552" s="6"/>
      <c r="LY552" s="6"/>
      <c r="LZ552" s="6"/>
      <c r="MA552" s="6"/>
      <c r="MB552" s="6"/>
      <c r="MC552" s="6"/>
      <c r="MD552" s="6"/>
      <c r="ME552" s="6"/>
      <c r="MF552" s="6"/>
      <c r="MG552" s="6"/>
      <c r="MH552" s="6"/>
      <c r="MI552" s="6"/>
      <c r="MJ552" s="6"/>
      <c r="MK552" s="6"/>
      <c r="ML552" s="6"/>
      <c r="MM552" s="6"/>
      <c r="MN552" s="6"/>
      <c r="MO552" s="6"/>
      <c r="MP552" s="6"/>
      <c r="MQ552" s="6"/>
      <c r="MR552" s="6"/>
      <c r="MS552" s="6"/>
      <c r="MT552" s="6"/>
      <c r="MU552" s="6"/>
      <c r="MV552" s="6"/>
      <c r="MW552" s="6"/>
      <c r="MX552" s="6"/>
      <c r="MY552" s="6"/>
      <c r="MZ552" s="6"/>
      <c r="NA552" s="6"/>
      <c r="NB552" s="6"/>
      <c r="NC552" s="6"/>
      <c r="ND552" s="6"/>
      <c r="NE552" s="6"/>
      <c r="NF552" s="6"/>
      <c r="NG552" s="6"/>
      <c r="NH552" s="6"/>
      <c r="NI552" s="6"/>
      <c r="NJ552" s="6"/>
      <c r="NK552" s="6"/>
      <c r="NL552" s="6"/>
      <c r="NM552" s="6"/>
      <c r="NN552" s="6"/>
      <c r="NO552" s="6"/>
      <c r="NP552" s="6"/>
      <c r="NQ552" s="6"/>
      <c r="NR552" s="6"/>
      <c r="NS552" s="6"/>
      <c r="NT552" s="6"/>
      <c r="NU552" s="6"/>
      <c r="NV552" s="6"/>
    </row>
    <row r="553" spans="1:386" s="19" customFormat="1" ht="20.100000000000001" customHeight="1" x14ac:dyDescent="0.35">
      <c r="A553" s="1"/>
      <c r="B553" s="2"/>
      <c r="C553" s="3"/>
      <c r="D553" s="2"/>
      <c r="E553" s="2"/>
      <c r="F553" s="4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9"/>
      <c r="FL553" s="9"/>
      <c r="FM553" s="9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135"/>
      <c r="IK553" s="135"/>
      <c r="IL553" s="135"/>
      <c r="IN553" s="6"/>
      <c r="IO553" s="6"/>
      <c r="IP553" s="6"/>
      <c r="IQ553" s="6"/>
      <c r="IR553" s="6"/>
      <c r="IS553" s="6"/>
      <c r="IT553" s="6"/>
      <c r="IU553" s="6"/>
      <c r="IV553" s="6"/>
      <c r="IW553" s="6"/>
      <c r="IX553" s="6"/>
      <c r="IY553" s="6"/>
      <c r="IZ553" s="6"/>
      <c r="JA553" s="6"/>
      <c r="JB553" s="6"/>
      <c r="JC553" s="6"/>
      <c r="JD553" s="6"/>
      <c r="JE553" s="6"/>
      <c r="JF553" s="6"/>
      <c r="JG553" s="6"/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6"/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6"/>
      <c r="KZ553" s="6"/>
      <c r="LA553" s="6"/>
      <c r="LB553" s="6"/>
      <c r="LC553" s="6"/>
      <c r="LD553" s="6"/>
      <c r="LE553" s="6"/>
      <c r="LF553" s="6"/>
      <c r="LG553" s="6"/>
      <c r="LH553" s="6"/>
      <c r="LI553" s="6"/>
      <c r="LJ553" s="6"/>
      <c r="LK553" s="6"/>
      <c r="LL553" s="6"/>
      <c r="LM553" s="6"/>
      <c r="LN553" s="6"/>
      <c r="LO553" s="6"/>
      <c r="LP553" s="6"/>
      <c r="LQ553" s="6"/>
      <c r="LR553" s="6"/>
      <c r="LS553" s="6"/>
      <c r="LT553" s="6"/>
      <c r="LU553" s="6"/>
      <c r="LV553" s="6"/>
      <c r="LW553" s="6"/>
      <c r="LX553" s="6"/>
      <c r="LY553" s="6"/>
      <c r="LZ553" s="6"/>
      <c r="MA553" s="6"/>
      <c r="MB553" s="6"/>
      <c r="MC553" s="6"/>
      <c r="MD553" s="6"/>
      <c r="ME553" s="6"/>
      <c r="MF553" s="6"/>
      <c r="MG553" s="6"/>
      <c r="MH553" s="6"/>
      <c r="MI553" s="6"/>
      <c r="MJ553" s="6"/>
      <c r="MK553" s="6"/>
      <c r="ML553" s="6"/>
      <c r="MM553" s="6"/>
      <c r="MN553" s="6"/>
      <c r="MO553" s="6"/>
      <c r="MP553" s="6"/>
      <c r="MQ553" s="6"/>
      <c r="MR553" s="6"/>
      <c r="MS553" s="6"/>
      <c r="MT553" s="6"/>
      <c r="MU553" s="6"/>
      <c r="MV553" s="6"/>
      <c r="MW553" s="6"/>
      <c r="MX553" s="6"/>
      <c r="MY553" s="6"/>
      <c r="MZ553" s="6"/>
      <c r="NA553" s="6"/>
      <c r="NB553" s="6"/>
      <c r="NC553" s="6"/>
      <c r="ND553" s="6"/>
      <c r="NE553" s="6"/>
      <c r="NF553" s="6"/>
      <c r="NG553" s="6"/>
      <c r="NH553" s="6"/>
      <c r="NI553" s="6"/>
      <c r="NJ553" s="6"/>
      <c r="NK553" s="6"/>
      <c r="NL553" s="6"/>
      <c r="NM553" s="6"/>
      <c r="NN553" s="6"/>
      <c r="NO553" s="6"/>
      <c r="NP553" s="6"/>
      <c r="NQ553" s="6"/>
      <c r="NR553" s="6"/>
      <c r="NS553" s="6"/>
      <c r="NT553" s="6"/>
      <c r="NU553" s="6"/>
      <c r="NV553" s="6"/>
    </row>
    <row r="554" spans="1:386" s="19" customFormat="1" ht="20.100000000000001" customHeight="1" x14ac:dyDescent="0.35">
      <c r="A554" s="1"/>
      <c r="B554" s="2"/>
      <c r="C554" s="3"/>
      <c r="D554" s="2"/>
      <c r="E554" s="2"/>
      <c r="F554" s="4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9"/>
      <c r="FL554" s="9"/>
      <c r="FM554" s="9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135"/>
      <c r="IK554" s="135"/>
      <c r="IL554" s="135"/>
      <c r="IN554" s="6"/>
      <c r="IO554" s="6"/>
      <c r="IP554" s="6"/>
      <c r="IQ554" s="6"/>
      <c r="IR554" s="6"/>
      <c r="IS554" s="6"/>
      <c r="IT554" s="6"/>
      <c r="IU554" s="6"/>
      <c r="IV554" s="6"/>
      <c r="IW554" s="6"/>
      <c r="IX554" s="6"/>
      <c r="IY554" s="6"/>
      <c r="IZ554" s="6"/>
      <c r="JA554" s="6"/>
      <c r="JB554" s="6"/>
      <c r="JC554" s="6"/>
      <c r="JD554" s="6"/>
      <c r="JE554" s="6"/>
      <c r="JF554" s="6"/>
      <c r="JG554" s="6"/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6"/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6"/>
      <c r="KZ554" s="6"/>
      <c r="LA554" s="6"/>
      <c r="LB554" s="6"/>
      <c r="LC554" s="6"/>
      <c r="LD554" s="6"/>
      <c r="LE554" s="6"/>
      <c r="LF554" s="6"/>
      <c r="LG554" s="6"/>
      <c r="LH554" s="6"/>
      <c r="LI554" s="6"/>
      <c r="LJ554" s="6"/>
      <c r="LK554" s="6"/>
      <c r="LL554" s="6"/>
      <c r="LM554" s="6"/>
      <c r="LN554" s="6"/>
      <c r="LO554" s="6"/>
      <c r="LP554" s="6"/>
      <c r="LQ554" s="6"/>
      <c r="LR554" s="6"/>
      <c r="LS554" s="6"/>
      <c r="LT554" s="6"/>
      <c r="LU554" s="6"/>
      <c r="LV554" s="6"/>
      <c r="LW554" s="6"/>
      <c r="LX554" s="6"/>
      <c r="LY554" s="6"/>
      <c r="LZ554" s="6"/>
      <c r="MA554" s="6"/>
      <c r="MB554" s="6"/>
      <c r="MC554" s="6"/>
      <c r="MD554" s="6"/>
      <c r="ME554" s="6"/>
      <c r="MF554" s="6"/>
      <c r="MG554" s="6"/>
      <c r="MH554" s="6"/>
      <c r="MI554" s="6"/>
      <c r="MJ554" s="6"/>
      <c r="MK554" s="6"/>
      <c r="ML554" s="6"/>
      <c r="MM554" s="6"/>
      <c r="MN554" s="6"/>
      <c r="MO554" s="6"/>
      <c r="MP554" s="6"/>
      <c r="MQ554" s="6"/>
      <c r="MR554" s="6"/>
      <c r="MS554" s="6"/>
      <c r="MT554" s="6"/>
      <c r="MU554" s="6"/>
      <c r="MV554" s="6"/>
      <c r="MW554" s="6"/>
      <c r="MX554" s="6"/>
      <c r="MY554" s="6"/>
      <c r="MZ554" s="6"/>
      <c r="NA554" s="6"/>
      <c r="NB554" s="6"/>
      <c r="NC554" s="6"/>
      <c r="ND554" s="6"/>
      <c r="NE554" s="6"/>
      <c r="NF554" s="6"/>
      <c r="NG554" s="6"/>
      <c r="NH554" s="6"/>
      <c r="NI554" s="6"/>
      <c r="NJ554" s="6"/>
      <c r="NK554" s="6"/>
      <c r="NL554" s="6"/>
      <c r="NM554" s="6"/>
      <c r="NN554" s="6"/>
      <c r="NO554" s="6"/>
      <c r="NP554" s="6"/>
      <c r="NQ554" s="6"/>
      <c r="NR554" s="6"/>
      <c r="NS554" s="6"/>
      <c r="NT554" s="6"/>
      <c r="NU554" s="6"/>
      <c r="NV554" s="6"/>
    </row>
    <row r="555" spans="1:386" s="19" customFormat="1" ht="20.100000000000001" customHeight="1" x14ac:dyDescent="0.35">
      <c r="A555" s="1"/>
      <c r="B555" s="2"/>
      <c r="C555" s="3"/>
      <c r="D555" s="2"/>
      <c r="E555" s="2"/>
      <c r="F555" s="4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9"/>
      <c r="FL555" s="9"/>
      <c r="FM555" s="9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135"/>
      <c r="IK555" s="135"/>
      <c r="IL555" s="135"/>
      <c r="IN555" s="6"/>
      <c r="IO555" s="6"/>
      <c r="IP555" s="6"/>
      <c r="IQ555" s="6"/>
      <c r="IR555" s="6"/>
      <c r="IS555" s="6"/>
      <c r="IT555" s="6"/>
      <c r="IU555" s="6"/>
      <c r="IV555" s="6"/>
      <c r="IW555" s="6"/>
      <c r="IX555" s="6"/>
      <c r="IY555" s="6"/>
      <c r="IZ555" s="6"/>
      <c r="JA555" s="6"/>
      <c r="JB555" s="6"/>
      <c r="JC555" s="6"/>
      <c r="JD555" s="6"/>
      <c r="JE555" s="6"/>
      <c r="JF555" s="6"/>
      <c r="JG555" s="6"/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6"/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6"/>
      <c r="KZ555" s="6"/>
      <c r="LA555" s="6"/>
      <c r="LB555" s="6"/>
      <c r="LC555" s="6"/>
      <c r="LD555" s="6"/>
      <c r="LE555" s="6"/>
      <c r="LF555" s="6"/>
      <c r="LG555" s="6"/>
      <c r="LH555" s="6"/>
      <c r="LI555" s="6"/>
      <c r="LJ555" s="6"/>
      <c r="LK555" s="6"/>
      <c r="LL555" s="6"/>
      <c r="LM555" s="6"/>
      <c r="LN555" s="6"/>
      <c r="LO555" s="6"/>
      <c r="LP555" s="6"/>
      <c r="LQ555" s="6"/>
      <c r="LR555" s="6"/>
      <c r="LS555" s="6"/>
      <c r="LT555" s="6"/>
      <c r="LU555" s="6"/>
      <c r="LV555" s="6"/>
      <c r="LW555" s="6"/>
      <c r="LX555" s="6"/>
      <c r="LY555" s="6"/>
      <c r="LZ555" s="6"/>
      <c r="MA555" s="6"/>
      <c r="MB555" s="6"/>
      <c r="MC555" s="6"/>
      <c r="MD555" s="6"/>
      <c r="ME555" s="6"/>
      <c r="MF555" s="6"/>
      <c r="MG555" s="6"/>
      <c r="MH555" s="6"/>
      <c r="MI555" s="6"/>
      <c r="MJ555" s="6"/>
      <c r="MK555" s="6"/>
      <c r="ML555" s="6"/>
      <c r="MM555" s="6"/>
      <c r="MN555" s="6"/>
      <c r="MO555" s="6"/>
      <c r="MP555" s="6"/>
      <c r="MQ555" s="6"/>
      <c r="MR555" s="6"/>
      <c r="MS555" s="6"/>
      <c r="MT555" s="6"/>
      <c r="MU555" s="6"/>
      <c r="MV555" s="6"/>
      <c r="MW555" s="6"/>
      <c r="MX555" s="6"/>
      <c r="MY555" s="6"/>
      <c r="MZ555" s="6"/>
      <c r="NA555" s="6"/>
      <c r="NB555" s="6"/>
      <c r="NC555" s="6"/>
      <c r="ND555" s="6"/>
      <c r="NE555" s="6"/>
      <c r="NF555" s="6"/>
      <c r="NG555" s="6"/>
      <c r="NH555" s="6"/>
      <c r="NI555" s="6"/>
      <c r="NJ555" s="6"/>
      <c r="NK555" s="6"/>
      <c r="NL555" s="6"/>
      <c r="NM555" s="6"/>
      <c r="NN555" s="6"/>
      <c r="NO555" s="6"/>
      <c r="NP555" s="6"/>
      <c r="NQ555" s="6"/>
      <c r="NR555" s="6"/>
      <c r="NS555" s="6"/>
      <c r="NT555" s="6"/>
      <c r="NU555" s="6"/>
      <c r="NV555" s="6"/>
    </row>
    <row r="556" spans="1:386" s="19" customFormat="1" ht="20.100000000000001" customHeight="1" x14ac:dyDescent="0.35">
      <c r="A556" s="1"/>
      <c r="B556" s="2"/>
      <c r="C556" s="3"/>
      <c r="D556" s="2"/>
      <c r="E556" s="2"/>
      <c r="F556" s="4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9"/>
      <c r="FL556" s="9"/>
      <c r="FM556" s="9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135"/>
      <c r="IK556" s="135"/>
      <c r="IL556" s="135"/>
      <c r="IN556" s="6"/>
      <c r="IO556" s="6"/>
      <c r="IP556" s="6"/>
      <c r="IQ556" s="6"/>
      <c r="IR556" s="6"/>
      <c r="IS556" s="6"/>
      <c r="IT556" s="6"/>
      <c r="IU556" s="6"/>
      <c r="IV556" s="6"/>
      <c r="IW556" s="6"/>
      <c r="IX556" s="6"/>
      <c r="IY556" s="6"/>
      <c r="IZ556" s="6"/>
      <c r="JA556" s="6"/>
      <c r="JB556" s="6"/>
      <c r="JC556" s="6"/>
      <c r="JD556" s="6"/>
      <c r="JE556" s="6"/>
      <c r="JF556" s="6"/>
      <c r="JG556" s="6"/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6"/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6"/>
      <c r="KZ556" s="6"/>
      <c r="LA556" s="6"/>
      <c r="LB556" s="6"/>
      <c r="LC556" s="6"/>
      <c r="LD556" s="6"/>
      <c r="LE556" s="6"/>
      <c r="LF556" s="6"/>
      <c r="LG556" s="6"/>
      <c r="LH556" s="6"/>
      <c r="LI556" s="6"/>
      <c r="LJ556" s="6"/>
      <c r="LK556" s="6"/>
      <c r="LL556" s="6"/>
      <c r="LM556" s="6"/>
      <c r="LN556" s="6"/>
      <c r="LO556" s="6"/>
      <c r="LP556" s="6"/>
      <c r="LQ556" s="6"/>
      <c r="LR556" s="6"/>
      <c r="LS556" s="6"/>
      <c r="LT556" s="6"/>
      <c r="LU556" s="6"/>
      <c r="LV556" s="6"/>
      <c r="LW556" s="6"/>
      <c r="LX556" s="6"/>
      <c r="LY556" s="6"/>
      <c r="LZ556" s="6"/>
      <c r="MA556" s="6"/>
      <c r="MB556" s="6"/>
      <c r="MC556" s="6"/>
      <c r="MD556" s="6"/>
      <c r="ME556" s="6"/>
      <c r="MF556" s="6"/>
      <c r="MG556" s="6"/>
      <c r="MH556" s="6"/>
      <c r="MI556" s="6"/>
      <c r="MJ556" s="6"/>
      <c r="MK556" s="6"/>
      <c r="ML556" s="6"/>
      <c r="MM556" s="6"/>
      <c r="MN556" s="6"/>
      <c r="MO556" s="6"/>
      <c r="MP556" s="6"/>
      <c r="MQ556" s="6"/>
      <c r="MR556" s="6"/>
      <c r="MS556" s="6"/>
      <c r="MT556" s="6"/>
      <c r="MU556" s="6"/>
      <c r="MV556" s="6"/>
      <c r="MW556" s="6"/>
      <c r="MX556" s="6"/>
      <c r="MY556" s="6"/>
      <c r="MZ556" s="6"/>
      <c r="NA556" s="6"/>
      <c r="NB556" s="6"/>
      <c r="NC556" s="6"/>
      <c r="ND556" s="6"/>
      <c r="NE556" s="6"/>
      <c r="NF556" s="6"/>
      <c r="NG556" s="6"/>
      <c r="NH556" s="6"/>
      <c r="NI556" s="6"/>
      <c r="NJ556" s="6"/>
      <c r="NK556" s="6"/>
      <c r="NL556" s="6"/>
      <c r="NM556" s="6"/>
      <c r="NN556" s="6"/>
      <c r="NO556" s="6"/>
      <c r="NP556" s="6"/>
      <c r="NQ556" s="6"/>
      <c r="NR556" s="6"/>
      <c r="NS556" s="6"/>
      <c r="NT556" s="6"/>
      <c r="NU556" s="6"/>
      <c r="NV556" s="6"/>
    </row>
    <row r="557" spans="1:386" s="19" customFormat="1" ht="20.100000000000001" customHeight="1" x14ac:dyDescent="0.35">
      <c r="A557" s="1"/>
      <c r="B557" s="2"/>
      <c r="C557" s="3"/>
      <c r="D557" s="2"/>
      <c r="E557" s="2"/>
      <c r="F557" s="4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9"/>
      <c r="FL557" s="9"/>
      <c r="FM557" s="9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135"/>
      <c r="IK557" s="135"/>
      <c r="IL557" s="135"/>
      <c r="IN557" s="6"/>
      <c r="IO557" s="6"/>
      <c r="IP557" s="6"/>
      <c r="IQ557" s="6"/>
      <c r="IR557" s="6"/>
      <c r="IS557" s="6"/>
      <c r="IT557" s="6"/>
      <c r="IU557" s="6"/>
      <c r="IV557" s="6"/>
      <c r="IW557" s="6"/>
      <c r="IX557" s="6"/>
      <c r="IY557" s="6"/>
      <c r="IZ557" s="6"/>
      <c r="JA557" s="6"/>
      <c r="JB557" s="6"/>
      <c r="JC557" s="6"/>
      <c r="JD557" s="6"/>
      <c r="JE557" s="6"/>
      <c r="JF557" s="6"/>
      <c r="JG557" s="6"/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6"/>
      <c r="JT557" s="6"/>
      <c r="JU557" s="6"/>
      <c r="JV557" s="6"/>
      <c r="JW557" s="6"/>
      <c r="JX557" s="6"/>
      <c r="JY557" s="6"/>
      <c r="JZ557" s="6"/>
      <c r="KA557" s="6"/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6"/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6"/>
      <c r="KZ557" s="6"/>
      <c r="LA557" s="6"/>
      <c r="LB557" s="6"/>
      <c r="LC557" s="6"/>
      <c r="LD557" s="6"/>
      <c r="LE557" s="6"/>
      <c r="LF557" s="6"/>
      <c r="LG557" s="6"/>
      <c r="LH557" s="6"/>
      <c r="LI557" s="6"/>
      <c r="LJ557" s="6"/>
      <c r="LK557" s="6"/>
      <c r="LL557" s="6"/>
      <c r="LM557" s="6"/>
      <c r="LN557" s="6"/>
      <c r="LO557" s="6"/>
      <c r="LP557" s="6"/>
      <c r="LQ557" s="6"/>
      <c r="LR557" s="6"/>
      <c r="LS557" s="6"/>
      <c r="LT557" s="6"/>
      <c r="LU557" s="6"/>
      <c r="LV557" s="6"/>
      <c r="LW557" s="6"/>
      <c r="LX557" s="6"/>
      <c r="LY557" s="6"/>
      <c r="LZ557" s="6"/>
      <c r="MA557" s="6"/>
      <c r="MB557" s="6"/>
      <c r="MC557" s="6"/>
      <c r="MD557" s="6"/>
      <c r="ME557" s="6"/>
      <c r="MF557" s="6"/>
      <c r="MG557" s="6"/>
      <c r="MH557" s="6"/>
      <c r="MI557" s="6"/>
      <c r="MJ557" s="6"/>
      <c r="MK557" s="6"/>
      <c r="ML557" s="6"/>
      <c r="MM557" s="6"/>
      <c r="MN557" s="6"/>
      <c r="MO557" s="6"/>
      <c r="MP557" s="6"/>
      <c r="MQ557" s="6"/>
      <c r="MR557" s="6"/>
      <c r="MS557" s="6"/>
      <c r="MT557" s="6"/>
      <c r="MU557" s="6"/>
      <c r="MV557" s="6"/>
      <c r="MW557" s="6"/>
      <c r="MX557" s="6"/>
      <c r="MY557" s="6"/>
      <c r="MZ557" s="6"/>
      <c r="NA557" s="6"/>
      <c r="NB557" s="6"/>
      <c r="NC557" s="6"/>
      <c r="ND557" s="6"/>
      <c r="NE557" s="6"/>
      <c r="NF557" s="6"/>
      <c r="NG557" s="6"/>
      <c r="NH557" s="6"/>
      <c r="NI557" s="6"/>
      <c r="NJ557" s="6"/>
      <c r="NK557" s="6"/>
      <c r="NL557" s="6"/>
      <c r="NM557" s="6"/>
      <c r="NN557" s="6"/>
      <c r="NO557" s="6"/>
      <c r="NP557" s="6"/>
      <c r="NQ557" s="6"/>
      <c r="NR557" s="6"/>
      <c r="NS557" s="6"/>
      <c r="NT557" s="6"/>
      <c r="NU557" s="6"/>
      <c r="NV557" s="6"/>
    </row>
    <row r="558" spans="1:386" s="19" customFormat="1" ht="20.100000000000001" customHeight="1" x14ac:dyDescent="0.35">
      <c r="A558" s="1"/>
      <c r="B558" s="2"/>
      <c r="C558" s="3"/>
      <c r="D558" s="2"/>
      <c r="E558" s="2"/>
      <c r="F558" s="4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9"/>
      <c r="FL558" s="9"/>
      <c r="FM558" s="9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135"/>
      <c r="IK558" s="135"/>
      <c r="IL558" s="135"/>
      <c r="IN558" s="6"/>
      <c r="IO558" s="6"/>
      <c r="IP558" s="6"/>
      <c r="IQ558" s="6"/>
      <c r="IR558" s="6"/>
      <c r="IS558" s="6"/>
      <c r="IT558" s="6"/>
      <c r="IU558" s="6"/>
      <c r="IV558" s="6"/>
      <c r="IW558" s="6"/>
      <c r="IX558" s="6"/>
      <c r="IY558" s="6"/>
      <c r="IZ558" s="6"/>
      <c r="JA558" s="6"/>
      <c r="JB558" s="6"/>
      <c r="JC558" s="6"/>
      <c r="JD558" s="6"/>
      <c r="JE558" s="6"/>
      <c r="JF558" s="6"/>
      <c r="JG558" s="6"/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6"/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6"/>
      <c r="KZ558" s="6"/>
      <c r="LA558" s="6"/>
      <c r="LB558" s="6"/>
      <c r="LC558" s="6"/>
      <c r="LD558" s="6"/>
      <c r="LE558" s="6"/>
      <c r="LF558" s="6"/>
      <c r="LG558" s="6"/>
      <c r="LH558" s="6"/>
      <c r="LI558" s="6"/>
      <c r="LJ558" s="6"/>
      <c r="LK558" s="6"/>
      <c r="LL558" s="6"/>
      <c r="LM558" s="6"/>
      <c r="LN558" s="6"/>
      <c r="LO558" s="6"/>
      <c r="LP558" s="6"/>
      <c r="LQ558" s="6"/>
      <c r="LR558" s="6"/>
      <c r="LS558" s="6"/>
      <c r="LT558" s="6"/>
      <c r="LU558" s="6"/>
      <c r="LV558" s="6"/>
      <c r="LW558" s="6"/>
      <c r="LX558" s="6"/>
      <c r="LY558" s="6"/>
      <c r="LZ558" s="6"/>
      <c r="MA558" s="6"/>
      <c r="MB558" s="6"/>
      <c r="MC558" s="6"/>
      <c r="MD558" s="6"/>
      <c r="ME558" s="6"/>
      <c r="MF558" s="6"/>
      <c r="MG558" s="6"/>
      <c r="MH558" s="6"/>
      <c r="MI558" s="6"/>
      <c r="MJ558" s="6"/>
      <c r="MK558" s="6"/>
      <c r="ML558" s="6"/>
      <c r="MM558" s="6"/>
      <c r="MN558" s="6"/>
      <c r="MO558" s="6"/>
      <c r="MP558" s="6"/>
      <c r="MQ558" s="6"/>
      <c r="MR558" s="6"/>
      <c r="MS558" s="6"/>
      <c r="MT558" s="6"/>
      <c r="MU558" s="6"/>
      <c r="MV558" s="6"/>
      <c r="MW558" s="6"/>
      <c r="MX558" s="6"/>
      <c r="MY558" s="6"/>
      <c r="MZ558" s="6"/>
      <c r="NA558" s="6"/>
      <c r="NB558" s="6"/>
      <c r="NC558" s="6"/>
      <c r="ND558" s="6"/>
      <c r="NE558" s="6"/>
      <c r="NF558" s="6"/>
      <c r="NG558" s="6"/>
      <c r="NH558" s="6"/>
      <c r="NI558" s="6"/>
      <c r="NJ558" s="6"/>
      <c r="NK558" s="6"/>
      <c r="NL558" s="6"/>
      <c r="NM558" s="6"/>
      <c r="NN558" s="6"/>
      <c r="NO558" s="6"/>
      <c r="NP558" s="6"/>
      <c r="NQ558" s="6"/>
      <c r="NR558" s="6"/>
      <c r="NS558" s="6"/>
      <c r="NT558" s="6"/>
      <c r="NU558" s="6"/>
      <c r="NV558" s="6"/>
    </row>
    <row r="559" spans="1:386" s="19" customFormat="1" ht="20.100000000000001" customHeight="1" x14ac:dyDescent="0.35">
      <c r="A559" s="1"/>
      <c r="B559" s="2"/>
      <c r="C559" s="3"/>
      <c r="D559" s="2"/>
      <c r="E559" s="2"/>
      <c r="F559" s="4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9"/>
      <c r="FL559" s="9"/>
      <c r="FM559" s="9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135"/>
      <c r="IK559" s="135"/>
      <c r="IL559" s="135"/>
      <c r="IN559" s="6"/>
      <c r="IO559" s="6"/>
      <c r="IP559" s="6"/>
      <c r="IQ559" s="6"/>
      <c r="IR559" s="6"/>
      <c r="IS559" s="6"/>
      <c r="IT559" s="6"/>
      <c r="IU559" s="6"/>
      <c r="IV559" s="6"/>
      <c r="IW559" s="6"/>
      <c r="IX559" s="6"/>
      <c r="IY559" s="6"/>
      <c r="IZ559" s="6"/>
      <c r="JA559" s="6"/>
      <c r="JB559" s="6"/>
      <c r="JC559" s="6"/>
      <c r="JD559" s="6"/>
      <c r="JE559" s="6"/>
      <c r="JF559" s="6"/>
      <c r="JG559" s="6"/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6"/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6"/>
      <c r="KZ559" s="6"/>
      <c r="LA559" s="6"/>
      <c r="LB559" s="6"/>
      <c r="LC559" s="6"/>
      <c r="LD559" s="6"/>
      <c r="LE559" s="6"/>
      <c r="LF559" s="6"/>
      <c r="LG559" s="6"/>
      <c r="LH559" s="6"/>
      <c r="LI559" s="6"/>
      <c r="LJ559" s="6"/>
      <c r="LK559" s="6"/>
      <c r="LL559" s="6"/>
      <c r="LM559" s="6"/>
      <c r="LN559" s="6"/>
      <c r="LO559" s="6"/>
      <c r="LP559" s="6"/>
      <c r="LQ559" s="6"/>
      <c r="LR559" s="6"/>
      <c r="LS559" s="6"/>
      <c r="LT559" s="6"/>
      <c r="LU559" s="6"/>
      <c r="LV559" s="6"/>
      <c r="LW559" s="6"/>
      <c r="LX559" s="6"/>
      <c r="LY559" s="6"/>
      <c r="LZ559" s="6"/>
      <c r="MA559" s="6"/>
      <c r="MB559" s="6"/>
      <c r="MC559" s="6"/>
      <c r="MD559" s="6"/>
      <c r="ME559" s="6"/>
      <c r="MF559" s="6"/>
      <c r="MG559" s="6"/>
      <c r="MH559" s="6"/>
      <c r="MI559" s="6"/>
      <c r="MJ559" s="6"/>
      <c r="MK559" s="6"/>
      <c r="ML559" s="6"/>
      <c r="MM559" s="6"/>
      <c r="MN559" s="6"/>
      <c r="MO559" s="6"/>
      <c r="MP559" s="6"/>
      <c r="MQ559" s="6"/>
      <c r="MR559" s="6"/>
      <c r="MS559" s="6"/>
      <c r="MT559" s="6"/>
      <c r="MU559" s="6"/>
      <c r="MV559" s="6"/>
      <c r="MW559" s="6"/>
      <c r="MX559" s="6"/>
      <c r="MY559" s="6"/>
      <c r="MZ559" s="6"/>
      <c r="NA559" s="6"/>
      <c r="NB559" s="6"/>
      <c r="NC559" s="6"/>
      <c r="ND559" s="6"/>
      <c r="NE559" s="6"/>
      <c r="NF559" s="6"/>
      <c r="NG559" s="6"/>
      <c r="NH559" s="6"/>
      <c r="NI559" s="6"/>
      <c r="NJ559" s="6"/>
      <c r="NK559" s="6"/>
      <c r="NL559" s="6"/>
      <c r="NM559" s="6"/>
      <c r="NN559" s="6"/>
      <c r="NO559" s="6"/>
      <c r="NP559" s="6"/>
      <c r="NQ559" s="6"/>
      <c r="NR559" s="6"/>
      <c r="NS559" s="6"/>
      <c r="NT559" s="6"/>
      <c r="NU559" s="6"/>
      <c r="NV559" s="6"/>
    </row>
    <row r="560" spans="1:386" s="19" customFormat="1" ht="20.100000000000001" customHeight="1" x14ac:dyDescent="0.35">
      <c r="A560" s="1"/>
      <c r="B560" s="2"/>
      <c r="C560" s="3"/>
      <c r="D560" s="2"/>
      <c r="E560" s="2"/>
      <c r="F560" s="4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9"/>
      <c r="FL560" s="9"/>
      <c r="FM560" s="9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135"/>
      <c r="IK560" s="135"/>
      <c r="IL560" s="135"/>
      <c r="IN560" s="6"/>
      <c r="IO560" s="6"/>
      <c r="IP560" s="6"/>
      <c r="IQ560" s="6"/>
      <c r="IR560" s="6"/>
      <c r="IS560" s="6"/>
      <c r="IT560" s="6"/>
      <c r="IU560" s="6"/>
      <c r="IV560" s="6"/>
      <c r="IW560" s="6"/>
      <c r="IX560" s="6"/>
      <c r="IY560" s="6"/>
      <c r="IZ560" s="6"/>
      <c r="JA560" s="6"/>
      <c r="JB560" s="6"/>
      <c r="JC560" s="6"/>
      <c r="JD560" s="6"/>
      <c r="JE560" s="6"/>
      <c r="JF560" s="6"/>
      <c r="JG560" s="6"/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6"/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6"/>
      <c r="KZ560" s="6"/>
      <c r="LA560" s="6"/>
      <c r="LB560" s="6"/>
      <c r="LC560" s="6"/>
      <c r="LD560" s="6"/>
      <c r="LE560" s="6"/>
      <c r="LF560" s="6"/>
      <c r="LG560" s="6"/>
      <c r="LH560" s="6"/>
      <c r="LI560" s="6"/>
      <c r="LJ560" s="6"/>
      <c r="LK560" s="6"/>
      <c r="LL560" s="6"/>
      <c r="LM560" s="6"/>
      <c r="LN560" s="6"/>
      <c r="LO560" s="6"/>
      <c r="LP560" s="6"/>
      <c r="LQ560" s="6"/>
      <c r="LR560" s="6"/>
      <c r="LS560" s="6"/>
      <c r="LT560" s="6"/>
      <c r="LU560" s="6"/>
      <c r="LV560" s="6"/>
      <c r="LW560" s="6"/>
      <c r="LX560" s="6"/>
      <c r="LY560" s="6"/>
      <c r="LZ560" s="6"/>
      <c r="MA560" s="6"/>
      <c r="MB560" s="6"/>
      <c r="MC560" s="6"/>
      <c r="MD560" s="6"/>
      <c r="ME560" s="6"/>
      <c r="MF560" s="6"/>
      <c r="MG560" s="6"/>
      <c r="MH560" s="6"/>
      <c r="MI560" s="6"/>
      <c r="MJ560" s="6"/>
      <c r="MK560" s="6"/>
      <c r="ML560" s="6"/>
      <c r="MM560" s="6"/>
      <c r="MN560" s="6"/>
      <c r="MO560" s="6"/>
      <c r="MP560" s="6"/>
      <c r="MQ560" s="6"/>
      <c r="MR560" s="6"/>
      <c r="MS560" s="6"/>
      <c r="MT560" s="6"/>
      <c r="MU560" s="6"/>
      <c r="MV560" s="6"/>
      <c r="MW560" s="6"/>
      <c r="MX560" s="6"/>
      <c r="MY560" s="6"/>
      <c r="MZ560" s="6"/>
      <c r="NA560" s="6"/>
      <c r="NB560" s="6"/>
      <c r="NC560" s="6"/>
      <c r="ND560" s="6"/>
      <c r="NE560" s="6"/>
      <c r="NF560" s="6"/>
      <c r="NG560" s="6"/>
      <c r="NH560" s="6"/>
      <c r="NI560" s="6"/>
      <c r="NJ560" s="6"/>
      <c r="NK560" s="6"/>
      <c r="NL560" s="6"/>
      <c r="NM560" s="6"/>
      <c r="NN560" s="6"/>
      <c r="NO560" s="6"/>
      <c r="NP560" s="6"/>
      <c r="NQ560" s="6"/>
      <c r="NR560" s="6"/>
      <c r="NS560" s="6"/>
      <c r="NT560" s="6"/>
      <c r="NU560" s="6"/>
      <c r="NV560" s="6"/>
    </row>
    <row r="561" spans="1:386" s="19" customFormat="1" ht="20.100000000000001" customHeight="1" x14ac:dyDescent="0.35">
      <c r="A561" s="1"/>
      <c r="B561" s="2"/>
      <c r="C561" s="3"/>
      <c r="D561" s="2"/>
      <c r="E561" s="2"/>
      <c r="F561" s="4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9"/>
      <c r="FL561" s="9"/>
      <c r="FM561" s="9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135"/>
      <c r="IK561" s="135"/>
      <c r="IL561" s="135"/>
      <c r="IN561" s="6"/>
      <c r="IO561" s="6"/>
      <c r="IP561" s="6"/>
      <c r="IQ561" s="6"/>
      <c r="IR561" s="6"/>
      <c r="IS561" s="6"/>
      <c r="IT561" s="6"/>
      <c r="IU561" s="6"/>
      <c r="IV561" s="6"/>
      <c r="IW561" s="6"/>
      <c r="IX561" s="6"/>
      <c r="IY561" s="6"/>
      <c r="IZ561" s="6"/>
      <c r="JA561" s="6"/>
      <c r="JB561" s="6"/>
      <c r="JC561" s="6"/>
      <c r="JD561" s="6"/>
      <c r="JE561" s="6"/>
      <c r="JF561" s="6"/>
      <c r="JG561" s="6"/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6"/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6"/>
      <c r="KZ561" s="6"/>
      <c r="LA561" s="6"/>
      <c r="LB561" s="6"/>
      <c r="LC561" s="6"/>
      <c r="LD561" s="6"/>
      <c r="LE561" s="6"/>
      <c r="LF561" s="6"/>
      <c r="LG561" s="6"/>
      <c r="LH561" s="6"/>
      <c r="LI561" s="6"/>
      <c r="LJ561" s="6"/>
      <c r="LK561" s="6"/>
      <c r="LL561" s="6"/>
      <c r="LM561" s="6"/>
      <c r="LN561" s="6"/>
      <c r="LO561" s="6"/>
      <c r="LP561" s="6"/>
      <c r="LQ561" s="6"/>
      <c r="LR561" s="6"/>
      <c r="LS561" s="6"/>
      <c r="LT561" s="6"/>
      <c r="LU561" s="6"/>
      <c r="LV561" s="6"/>
      <c r="LW561" s="6"/>
      <c r="LX561" s="6"/>
      <c r="LY561" s="6"/>
      <c r="LZ561" s="6"/>
      <c r="MA561" s="6"/>
      <c r="MB561" s="6"/>
      <c r="MC561" s="6"/>
      <c r="MD561" s="6"/>
      <c r="ME561" s="6"/>
      <c r="MF561" s="6"/>
      <c r="MG561" s="6"/>
      <c r="MH561" s="6"/>
      <c r="MI561" s="6"/>
      <c r="MJ561" s="6"/>
      <c r="MK561" s="6"/>
      <c r="ML561" s="6"/>
      <c r="MM561" s="6"/>
      <c r="MN561" s="6"/>
      <c r="MO561" s="6"/>
      <c r="MP561" s="6"/>
      <c r="MQ561" s="6"/>
      <c r="MR561" s="6"/>
      <c r="MS561" s="6"/>
      <c r="MT561" s="6"/>
      <c r="MU561" s="6"/>
      <c r="MV561" s="6"/>
      <c r="MW561" s="6"/>
      <c r="MX561" s="6"/>
      <c r="MY561" s="6"/>
      <c r="MZ561" s="6"/>
      <c r="NA561" s="6"/>
      <c r="NB561" s="6"/>
      <c r="NC561" s="6"/>
      <c r="ND561" s="6"/>
      <c r="NE561" s="6"/>
      <c r="NF561" s="6"/>
      <c r="NG561" s="6"/>
      <c r="NH561" s="6"/>
      <c r="NI561" s="6"/>
      <c r="NJ561" s="6"/>
      <c r="NK561" s="6"/>
      <c r="NL561" s="6"/>
      <c r="NM561" s="6"/>
      <c r="NN561" s="6"/>
      <c r="NO561" s="6"/>
      <c r="NP561" s="6"/>
      <c r="NQ561" s="6"/>
      <c r="NR561" s="6"/>
      <c r="NS561" s="6"/>
      <c r="NT561" s="6"/>
      <c r="NU561" s="6"/>
      <c r="NV561" s="6"/>
    </row>
    <row r="562" spans="1:386" s="19" customFormat="1" ht="20.100000000000001" customHeight="1" x14ac:dyDescent="0.35">
      <c r="A562" s="1"/>
      <c r="B562" s="2"/>
      <c r="C562" s="3"/>
      <c r="D562" s="2"/>
      <c r="E562" s="2"/>
      <c r="F562" s="4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9"/>
      <c r="FL562" s="9"/>
      <c r="FM562" s="9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135"/>
      <c r="IK562" s="135"/>
      <c r="IL562" s="135"/>
      <c r="IN562" s="6"/>
      <c r="IO562" s="6"/>
      <c r="IP562" s="6"/>
      <c r="IQ562" s="6"/>
      <c r="IR562" s="6"/>
      <c r="IS562" s="6"/>
      <c r="IT562" s="6"/>
      <c r="IU562" s="6"/>
      <c r="IV562" s="6"/>
      <c r="IW562" s="6"/>
      <c r="IX562" s="6"/>
      <c r="IY562" s="6"/>
      <c r="IZ562" s="6"/>
      <c r="JA562" s="6"/>
      <c r="JB562" s="6"/>
      <c r="JC562" s="6"/>
      <c r="JD562" s="6"/>
      <c r="JE562" s="6"/>
      <c r="JF562" s="6"/>
      <c r="JG562" s="6"/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6"/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6"/>
      <c r="KZ562" s="6"/>
      <c r="LA562" s="6"/>
      <c r="LB562" s="6"/>
      <c r="LC562" s="6"/>
      <c r="LD562" s="6"/>
      <c r="LE562" s="6"/>
      <c r="LF562" s="6"/>
      <c r="LG562" s="6"/>
      <c r="LH562" s="6"/>
      <c r="LI562" s="6"/>
      <c r="LJ562" s="6"/>
      <c r="LK562" s="6"/>
      <c r="LL562" s="6"/>
      <c r="LM562" s="6"/>
      <c r="LN562" s="6"/>
      <c r="LO562" s="6"/>
      <c r="LP562" s="6"/>
      <c r="LQ562" s="6"/>
      <c r="LR562" s="6"/>
      <c r="LS562" s="6"/>
      <c r="LT562" s="6"/>
      <c r="LU562" s="6"/>
      <c r="LV562" s="6"/>
      <c r="LW562" s="6"/>
      <c r="LX562" s="6"/>
      <c r="LY562" s="6"/>
      <c r="LZ562" s="6"/>
      <c r="MA562" s="6"/>
      <c r="MB562" s="6"/>
      <c r="MC562" s="6"/>
      <c r="MD562" s="6"/>
      <c r="ME562" s="6"/>
      <c r="MF562" s="6"/>
      <c r="MG562" s="6"/>
      <c r="MH562" s="6"/>
      <c r="MI562" s="6"/>
      <c r="MJ562" s="6"/>
      <c r="MK562" s="6"/>
      <c r="ML562" s="6"/>
      <c r="MM562" s="6"/>
      <c r="MN562" s="6"/>
      <c r="MO562" s="6"/>
      <c r="MP562" s="6"/>
      <c r="MQ562" s="6"/>
      <c r="MR562" s="6"/>
      <c r="MS562" s="6"/>
      <c r="MT562" s="6"/>
      <c r="MU562" s="6"/>
      <c r="MV562" s="6"/>
      <c r="MW562" s="6"/>
      <c r="MX562" s="6"/>
      <c r="MY562" s="6"/>
      <c r="MZ562" s="6"/>
      <c r="NA562" s="6"/>
      <c r="NB562" s="6"/>
      <c r="NC562" s="6"/>
      <c r="ND562" s="6"/>
      <c r="NE562" s="6"/>
      <c r="NF562" s="6"/>
      <c r="NG562" s="6"/>
      <c r="NH562" s="6"/>
      <c r="NI562" s="6"/>
      <c r="NJ562" s="6"/>
      <c r="NK562" s="6"/>
      <c r="NL562" s="6"/>
      <c r="NM562" s="6"/>
      <c r="NN562" s="6"/>
      <c r="NO562" s="6"/>
      <c r="NP562" s="6"/>
      <c r="NQ562" s="6"/>
      <c r="NR562" s="6"/>
      <c r="NS562" s="6"/>
      <c r="NT562" s="6"/>
      <c r="NU562" s="6"/>
      <c r="NV562" s="6"/>
    </row>
    <row r="563" spans="1:386" s="19" customFormat="1" ht="20.100000000000001" customHeight="1" x14ac:dyDescent="0.35">
      <c r="A563" s="1"/>
      <c r="B563" s="2"/>
      <c r="C563" s="3"/>
      <c r="D563" s="2"/>
      <c r="E563" s="2"/>
      <c r="F563" s="4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9"/>
      <c r="FL563" s="9"/>
      <c r="FM563" s="9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135"/>
      <c r="IK563" s="135"/>
      <c r="IL563" s="135"/>
      <c r="IN563" s="6"/>
      <c r="IO563" s="6"/>
      <c r="IP563" s="6"/>
      <c r="IQ563" s="6"/>
      <c r="IR563" s="6"/>
      <c r="IS563" s="6"/>
      <c r="IT563" s="6"/>
      <c r="IU563" s="6"/>
      <c r="IV563" s="6"/>
      <c r="IW563" s="6"/>
      <c r="IX563" s="6"/>
      <c r="IY563" s="6"/>
      <c r="IZ563" s="6"/>
      <c r="JA563" s="6"/>
      <c r="JB563" s="6"/>
      <c r="JC563" s="6"/>
      <c r="JD563" s="6"/>
      <c r="JE563" s="6"/>
      <c r="JF563" s="6"/>
      <c r="JG563" s="6"/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6"/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6"/>
      <c r="KZ563" s="6"/>
      <c r="LA563" s="6"/>
      <c r="LB563" s="6"/>
      <c r="LC563" s="6"/>
      <c r="LD563" s="6"/>
      <c r="LE563" s="6"/>
      <c r="LF563" s="6"/>
      <c r="LG563" s="6"/>
      <c r="LH563" s="6"/>
      <c r="LI563" s="6"/>
      <c r="LJ563" s="6"/>
      <c r="LK563" s="6"/>
      <c r="LL563" s="6"/>
      <c r="LM563" s="6"/>
      <c r="LN563" s="6"/>
      <c r="LO563" s="6"/>
      <c r="LP563" s="6"/>
      <c r="LQ563" s="6"/>
      <c r="LR563" s="6"/>
      <c r="LS563" s="6"/>
      <c r="LT563" s="6"/>
      <c r="LU563" s="6"/>
      <c r="LV563" s="6"/>
      <c r="LW563" s="6"/>
      <c r="LX563" s="6"/>
      <c r="LY563" s="6"/>
      <c r="LZ563" s="6"/>
      <c r="MA563" s="6"/>
      <c r="MB563" s="6"/>
      <c r="MC563" s="6"/>
      <c r="MD563" s="6"/>
      <c r="ME563" s="6"/>
      <c r="MF563" s="6"/>
      <c r="MG563" s="6"/>
      <c r="MH563" s="6"/>
      <c r="MI563" s="6"/>
      <c r="MJ563" s="6"/>
      <c r="MK563" s="6"/>
      <c r="ML563" s="6"/>
      <c r="MM563" s="6"/>
      <c r="MN563" s="6"/>
      <c r="MO563" s="6"/>
      <c r="MP563" s="6"/>
      <c r="MQ563" s="6"/>
      <c r="MR563" s="6"/>
      <c r="MS563" s="6"/>
      <c r="MT563" s="6"/>
      <c r="MU563" s="6"/>
      <c r="MV563" s="6"/>
      <c r="MW563" s="6"/>
      <c r="MX563" s="6"/>
      <c r="MY563" s="6"/>
      <c r="MZ563" s="6"/>
      <c r="NA563" s="6"/>
      <c r="NB563" s="6"/>
      <c r="NC563" s="6"/>
      <c r="ND563" s="6"/>
      <c r="NE563" s="6"/>
      <c r="NF563" s="6"/>
      <c r="NG563" s="6"/>
      <c r="NH563" s="6"/>
      <c r="NI563" s="6"/>
      <c r="NJ563" s="6"/>
      <c r="NK563" s="6"/>
      <c r="NL563" s="6"/>
      <c r="NM563" s="6"/>
      <c r="NN563" s="6"/>
      <c r="NO563" s="6"/>
      <c r="NP563" s="6"/>
      <c r="NQ563" s="6"/>
      <c r="NR563" s="6"/>
      <c r="NS563" s="6"/>
      <c r="NT563" s="6"/>
      <c r="NU563" s="6"/>
      <c r="NV563" s="6"/>
    </row>
    <row r="564" spans="1:386" s="19" customFormat="1" ht="20.100000000000001" customHeight="1" x14ac:dyDescent="0.35">
      <c r="A564" s="1"/>
      <c r="B564" s="2"/>
      <c r="C564" s="3"/>
      <c r="D564" s="2"/>
      <c r="E564" s="2"/>
      <c r="F564" s="4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9"/>
      <c r="FL564" s="9"/>
      <c r="FM564" s="9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135"/>
      <c r="IK564" s="135"/>
      <c r="IL564" s="135"/>
      <c r="IN564" s="6"/>
      <c r="IO564" s="6"/>
      <c r="IP564" s="6"/>
      <c r="IQ564" s="6"/>
      <c r="IR564" s="6"/>
      <c r="IS564" s="6"/>
      <c r="IT564" s="6"/>
      <c r="IU564" s="6"/>
      <c r="IV564" s="6"/>
      <c r="IW564" s="6"/>
      <c r="IX564" s="6"/>
      <c r="IY564" s="6"/>
      <c r="IZ564" s="6"/>
      <c r="JA564" s="6"/>
      <c r="JB564" s="6"/>
      <c r="JC564" s="6"/>
      <c r="JD564" s="6"/>
      <c r="JE564" s="6"/>
      <c r="JF564" s="6"/>
      <c r="JG564" s="6"/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6"/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6"/>
      <c r="KZ564" s="6"/>
      <c r="LA564" s="6"/>
      <c r="LB564" s="6"/>
      <c r="LC564" s="6"/>
      <c r="LD564" s="6"/>
      <c r="LE564" s="6"/>
      <c r="LF564" s="6"/>
      <c r="LG564" s="6"/>
      <c r="LH564" s="6"/>
      <c r="LI564" s="6"/>
      <c r="LJ564" s="6"/>
      <c r="LK564" s="6"/>
      <c r="LL564" s="6"/>
      <c r="LM564" s="6"/>
      <c r="LN564" s="6"/>
      <c r="LO564" s="6"/>
      <c r="LP564" s="6"/>
      <c r="LQ564" s="6"/>
      <c r="LR564" s="6"/>
      <c r="LS564" s="6"/>
      <c r="LT564" s="6"/>
      <c r="LU564" s="6"/>
      <c r="LV564" s="6"/>
      <c r="LW564" s="6"/>
      <c r="LX564" s="6"/>
      <c r="LY564" s="6"/>
      <c r="LZ564" s="6"/>
      <c r="MA564" s="6"/>
      <c r="MB564" s="6"/>
      <c r="MC564" s="6"/>
      <c r="MD564" s="6"/>
      <c r="ME564" s="6"/>
      <c r="MF564" s="6"/>
      <c r="MG564" s="6"/>
      <c r="MH564" s="6"/>
      <c r="MI564" s="6"/>
      <c r="MJ564" s="6"/>
      <c r="MK564" s="6"/>
      <c r="ML564" s="6"/>
      <c r="MM564" s="6"/>
      <c r="MN564" s="6"/>
      <c r="MO564" s="6"/>
      <c r="MP564" s="6"/>
      <c r="MQ564" s="6"/>
      <c r="MR564" s="6"/>
      <c r="MS564" s="6"/>
      <c r="MT564" s="6"/>
      <c r="MU564" s="6"/>
      <c r="MV564" s="6"/>
      <c r="MW564" s="6"/>
      <c r="MX564" s="6"/>
      <c r="MY564" s="6"/>
      <c r="MZ564" s="6"/>
      <c r="NA564" s="6"/>
      <c r="NB564" s="6"/>
      <c r="NC564" s="6"/>
      <c r="ND564" s="6"/>
      <c r="NE564" s="6"/>
      <c r="NF564" s="6"/>
      <c r="NG564" s="6"/>
      <c r="NH564" s="6"/>
      <c r="NI564" s="6"/>
      <c r="NJ564" s="6"/>
      <c r="NK564" s="6"/>
      <c r="NL564" s="6"/>
      <c r="NM564" s="6"/>
      <c r="NN564" s="6"/>
      <c r="NO564" s="6"/>
      <c r="NP564" s="6"/>
      <c r="NQ564" s="6"/>
      <c r="NR564" s="6"/>
      <c r="NS564" s="6"/>
      <c r="NT564" s="6"/>
      <c r="NU564" s="6"/>
      <c r="NV564" s="6"/>
    </row>
    <row r="565" spans="1:386" s="19" customFormat="1" ht="20.100000000000001" customHeight="1" x14ac:dyDescent="0.35">
      <c r="A565" s="1"/>
      <c r="B565" s="2"/>
      <c r="C565" s="3"/>
      <c r="D565" s="2"/>
      <c r="E565" s="2"/>
      <c r="F565" s="4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9"/>
      <c r="FL565" s="9"/>
      <c r="FM565" s="9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135"/>
      <c r="IK565" s="135"/>
      <c r="IL565" s="135"/>
      <c r="IN565" s="6"/>
      <c r="IO565" s="6"/>
      <c r="IP565" s="6"/>
      <c r="IQ565" s="6"/>
      <c r="IR565" s="6"/>
      <c r="IS565" s="6"/>
      <c r="IT565" s="6"/>
      <c r="IU565" s="6"/>
      <c r="IV565" s="6"/>
      <c r="IW565" s="6"/>
      <c r="IX565" s="6"/>
      <c r="IY565" s="6"/>
      <c r="IZ565" s="6"/>
      <c r="JA565" s="6"/>
      <c r="JB565" s="6"/>
      <c r="JC565" s="6"/>
      <c r="JD565" s="6"/>
      <c r="JE565" s="6"/>
      <c r="JF565" s="6"/>
      <c r="JG565" s="6"/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6"/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6"/>
      <c r="KZ565" s="6"/>
      <c r="LA565" s="6"/>
      <c r="LB565" s="6"/>
      <c r="LC565" s="6"/>
      <c r="LD565" s="6"/>
      <c r="LE565" s="6"/>
      <c r="LF565" s="6"/>
      <c r="LG565" s="6"/>
      <c r="LH565" s="6"/>
      <c r="LI565" s="6"/>
      <c r="LJ565" s="6"/>
      <c r="LK565" s="6"/>
      <c r="LL565" s="6"/>
      <c r="LM565" s="6"/>
      <c r="LN565" s="6"/>
      <c r="LO565" s="6"/>
      <c r="LP565" s="6"/>
      <c r="LQ565" s="6"/>
      <c r="LR565" s="6"/>
      <c r="LS565" s="6"/>
      <c r="LT565" s="6"/>
      <c r="LU565" s="6"/>
      <c r="LV565" s="6"/>
      <c r="LW565" s="6"/>
      <c r="LX565" s="6"/>
      <c r="LY565" s="6"/>
      <c r="LZ565" s="6"/>
      <c r="MA565" s="6"/>
      <c r="MB565" s="6"/>
      <c r="MC565" s="6"/>
      <c r="MD565" s="6"/>
      <c r="ME565" s="6"/>
      <c r="MF565" s="6"/>
      <c r="MG565" s="6"/>
      <c r="MH565" s="6"/>
      <c r="MI565" s="6"/>
      <c r="MJ565" s="6"/>
      <c r="MK565" s="6"/>
      <c r="ML565" s="6"/>
      <c r="MM565" s="6"/>
      <c r="MN565" s="6"/>
      <c r="MO565" s="6"/>
      <c r="MP565" s="6"/>
      <c r="MQ565" s="6"/>
      <c r="MR565" s="6"/>
      <c r="MS565" s="6"/>
      <c r="MT565" s="6"/>
      <c r="MU565" s="6"/>
      <c r="MV565" s="6"/>
      <c r="MW565" s="6"/>
      <c r="MX565" s="6"/>
      <c r="MY565" s="6"/>
      <c r="MZ565" s="6"/>
      <c r="NA565" s="6"/>
      <c r="NB565" s="6"/>
      <c r="NC565" s="6"/>
      <c r="ND565" s="6"/>
      <c r="NE565" s="6"/>
      <c r="NF565" s="6"/>
      <c r="NG565" s="6"/>
      <c r="NH565" s="6"/>
      <c r="NI565" s="6"/>
      <c r="NJ565" s="6"/>
      <c r="NK565" s="6"/>
      <c r="NL565" s="6"/>
      <c r="NM565" s="6"/>
      <c r="NN565" s="6"/>
      <c r="NO565" s="6"/>
      <c r="NP565" s="6"/>
      <c r="NQ565" s="6"/>
      <c r="NR565" s="6"/>
      <c r="NS565" s="6"/>
      <c r="NT565" s="6"/>
      <c r="NU565" s="6"/>
      <c r="NV565" s="6"/>
    </row>
    <row r="566" spans="1:386" s="19" customFormat="1" ht="20.100000000000001" customHeight="1" x14ac:dyDescent="0.35">
      <c r="A566" s="1"/>
      <c r="B566" s="2"/>
      <c r="C566" s="3"/>
      <c r="D566" s="2"/>
      <c r="E566" s="2"/>
      <c r="F566" s="4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9"/>
      <c r="FL566" s="9"/>
      <c r="FM566" s="9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135"/>
      <c r="IK566" s="135"/>
      <c r="IL566" s="135"/>
      <c r="IN566" s="6"/>
      <c r="IO566" s="6"/>
      <c r="IP566" s="6"/>
      <c r="IQ566" s="6"/>
      <c r="IR566" s="6"/>
      <c r="IS566" s="6"/>
      <c r="IT566" s="6"/>
      <c r="IU566" s="6"/>
      <c r="IV566" s="6"/>
      <c r="IW566" s="6"/>
      <c r="IX566" s="6"/>
      <c r="IY566" s="6"/>
      <c r="IZ566" s="6"/>
      <c r="JA566" s="6"/>
      <c r="JB566" s="6"/>
      <c r="JC566" s="6"/>
      <c r="JD566" s="6"/>
      <c r="JE566" s="6"/>
      <c r="JF566" s="6"/>
      <c r="JG566" s="6"/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6"/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6"/>
      <c r="KZ566" s="6"/>
      <c r="LA566" s="6"/>
      <c r="LB566" s="6"/>
      <c r="LC566" s="6"/>
      <c r="LD566" s="6"/>
      <c r="LE566" s="6"/>
      <c r="LF566" s="6"/>
      <c r="LG566" s="6"/>
      <c r="LH566" s="6"/>
      <c r="LI566" s="6"/>
      <c r="LJ566" s="6"/>
      <c r="LK566" s="6"/>
      <c r="LL566" s="6"/>
      <c r="LM566" s="6"/>
      <c r="LN566" s="6"/>
      <c r="LO566" s="6"/>
      <c r="LP566" s="6"/>
      <c r="LQ566" s="6"/>
      <c r="LR566" s="6"/>
      <c r="LS566" s="6"/>
      <c r="LT566" s="6"/>
      <c r="LU566" s="6"/>
      <c r="LV566" s="6"/>
      <c r="LW566" s="6"/>
      <c r="LX566" s="6"/>
      <c r="LY566" s="6"/>
      <c r="LZ566" s="6"/>
      <c r="MA566" s="6"/>
      <c r="MB566" s="6"/>
      <c r="MC566" s="6"/>
      <c r="MD566" s="6"/>
      <c r="ME566" s="6"/>
      <c r="MF566" s="6"/>
      <c r="MG566" s="6"/>
      <c r="MH566" s="6"/>
      <c r="MI566" s="6"/>
      <c r="MJ566" s="6"/>
      <c r="MK566" s="6"/>
      <c r="ML566" s="6"/>
      <c r="MM566" s="6"/>
      <c r="MN566" s="6"/>
      <c r="MO566" s="6"/>
      <c r="MP566" s="6"/>
      <c r="MQ566" s="6"/>
      <c r="MR566" s="6"/>
      <c r="MS566" s="6"/>
      <c r="MT566" s="6"/>
      <c r="MU566" s="6"/>
      <c r="MV566" s="6"/>
      <c r="MW566" s="6"/>
      <c r="MX566" s="6"/>
      <c r="MY566" s="6"/>
      <c r="MZ566" s="6"/>
      <c r="NA566" s="6"/>
      <c r="NB566" s="6"/>
      <c r="NC566" s="6"/>
      <c r="ND566" s="6"/>
      <c r="NE566" s="6"/>
      <c r="NF566" s="6"/>
      <c r="NG566" s="6"/>
      <c r="NH566" s="6"/>
      <c r="NI566" s="6"/>
      <c r="NJ566" s="6"/>
      <c r="NK566" s="6"/>
      <c r="NL566" s="6"/>
      <c r="NM566" s="6"/>
      <c r="NN566" s="6"/>
      <c r="NO566" s="6"/>
      <c r="NP566" s="6"/>
      <c r="NQ566" s="6"/>
      <c r="NR566" s="6"/>
      <c r="NS566" s="6"/>
      <c r="NT566" s="6"/>
      <c r="NU566" s="6"/>
      <c r="NV566" s="6"/>
    </row>
    <row r="567" spans="1:386" s="19" customFormat="1" ht="20.100000000000001" customHeight="1" x14ac:dyDescent="0.35">
      <c r="A567" s="1"/>
      <c r="B567" s="2"/>
      <c r="C567" s="3"/>
      <c r="D567" s="2"/>
      <c r="E567" s="2"/>
      <c r="F567" s="4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9"/>
      <c r="FL567" s="9"/>
      <c r="FM567" s="9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135"/>
      <c r="IK567" s="135"/>
      <c r="IL567" s="135"/>
      <c r="IN567" s="6"/>
      <c r="IO567" s="6"/>
      <c r="IP567" s="6"/>
      <c r="IQ567" s="6"/>
      <c r="IR567" s="6"/>
      <c r="IS567" s="6"/>
      <c r="IT567" s="6"/>
      <c r="IU567" s="6"/>
      <c r="IV567" s="6"/>
      <c r="IW567" s="6"/>
      <c r="IX567" s="6"/>
      <c r="IY567" s="6"/>
      <c r="IZ567" s="6"/>
      <c r="JA567" s="6"/>
      <c r="JB567" s="6"/>
      <c r="JC567" s="6"/>
      <c r="JD567" s="6"/>
      <c r="JE567" s="6"/>
      <c r="JF567" s="6"/>
      <c r="JG567" s="6"/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6"/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6"/>
      <c r="KZ567" s="6"/>
      <c r="LA567" s="6"/>
      <c r="LB567" s="6"/>
      <c r="LC567" s="6"/>
      <c r="LD567" s="6"/>
      <c r="LE567" s="6"/>
      <c r="LF567" s="6"/>
      <c r="LG567" s="6"/>
      <c r="LH567" s="6"/>
      <c r="LI567" s="6"/>
      <c r="LJ567" s="6"/>
      <c r="LK567" s="6"/>
      <c r="LL567" s="6"/>
      <c r="LM567" s="6"/>
      <c r="LN567" s="6"/>
      <c r="LO567" s="6"/>
      <c r="LP567" s="6"/>
      <c r="LQ567" s="6"/>
      <c r="LR567" s="6"/>
      <c r="LS567" s="6"/>
      <c r="LT567" s="6"/>
      <c r="LU567" s="6"/>
      <c r="LV567" s="6"/>
      <c r="LW567" s="6"/>
      <c r="LX567" s="6"/>
      <c r="LY567" s="6"/>
      <c r="LZ567" s="6"/>
      <c r="MA567" s="6"/>
      <c r="MB567" s="6"/>
      <c r="MC567" s="6"/>
      <c r="MD567" s="6"/>
      <c r="ME567" s="6"/>
      <c r="MF567" s="6"/>
      <c r="MG567" s="6"/>
      <c r="MH567" s="6"/>
      <c r="MI567" s="6"/>
      <c r="MJ567" s="6"/>
      <c r="MK567" s="6"/>
      <c r="ML567" s="6"/>
      <c r="MM567" s="6"/>
      <c r="MN567" s="6"/>
      <c r="MO567" s="6"/>
      <c r="MP567" s="6"/>
      <c r="MQ567" s="6"/>
      <c r="MR567" s="6"/>
      <c r="MS567" s="6"/>
      <c r="MT567" s="6"/>
      <c r="MU567" s="6"/>
      <c r="MV567" s="6"/>
      <c r="MW567" s="6"/>
      <c r="MX567" s="6"/>
      <c r="MY567" s="6"/>
      <c r="MZ567" s="6"/>
      <c r="NA567" s="6"/>
      <c r="NB567" s="6"/>
      <c r="NC567" s="6"/>
      <c r="ND567" s="6"/>
      <c r="NE567" s="6"/>
      <c r="NF567" s="6"/>
      <c r="NG567" s="6"/>
      <c r="NH567" s="6"/>
      <c r="NI567" s="6"/>
      <c r="NJ567" s="6"/>
      <c r="NK567" s="6"/>
      <c r="NL567" s="6"/>
      <c r="NM567" s="6"/>
      <c r="NN567" s="6"/>
      <c r="NO567" s="6"/>
      <c r="NP567" s="6"/>
      <c r="NQ567" s="6"/>
      <c r="NR567" s="6"/>
      <c r="NS567" s="6"/>
      <c r="NT567" s="6"/>
      <c r="NU567" s="6"/>
      <c r="NV567" s="6"/>
    </row>
    <row r="568" spans="1:386" s="19" customFormat="1" ht="20.100000000000001" customHeight="1" x14ac:dyDescent="0.35">
      <c r="A568" s="1"/>
      <c r="B568" s="2"/>
      <c r="C568" s="3"/>
      <c r="D568" s="2"/>
      <c r="E568" s="2"/>
      <c r="F568" s="4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9"/>
      <c r="FL568" s="9"/>
      <c r="FM568" s="9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135"/>
      <c r="IK568" s="135"/>
      <c r="IL568" s="135"/>
      <c r="IN568" s="6"/>
      <c r="IO568" s="6"/>
      <c r="IP568" s="6"/>
      <c r="IQ568" s="6"/>
      <c r="IR568" s="6"/>
      <c r="IS568" s="6"/>
      <c r="IT568" s="6"/>
      <c r="IU568" s="6"/>
      <c r="IV568" s="6"/>
      <c r="IW568" s="6"/>
      <c r="IX568" s="6"/>
      <c r="IY568" s="6"/>
      <c r="IZ568" s="6"/>
      <c r="JA568" s="6"/>
      <c r="JB568" s="6"/>
      <c r="JC568" s="6"/>
      <c r="JD568" s="6"/>
      <c r="JE568" s="6"/>
      <c r="JF568" s="6"/>
      <c r="JG568" s="6"/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6"/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6"/>
      <c r="KZ568" s="6"/>
      <c r="LA568" s="6"/>
      <c r="LB568" s="6"/>
      <c r="LC568" s="6"/>
      <c r="LD568" s="6"/>
      <c r="LE568" s="6"/>
      <c r="LF568" s="6"/>
      <c r="LG568" s="6"/>
      <c r="LH568" s="6"/>
      <c r="LI568" s="6"/>
      <c r="LJ568" s="6"/>
      <c r="LK568" s="6"/>
      <c r="LL568" s="6"/>
      <c r="LM568" s="6"/>
      <c r="LN568" s="6"/>
      <c r="LO568" s="6"/>
      <c r="LP568" s="6"/>
      <c r="LQ568" s="6"/>
      <c r="LR568" s="6"/>
      <c r="LS568" s="6"/>
      <c r="LT568" s="6"/>
      <c r="LU568" s="6"/>
      <c r="LV568" s="6"/>
      <c r="LW568" s="6"/>
      <c r="LX568" s="6"/>
      <c r="LY568" s="6"/>
      <c r="LZ568" s="6"/>
      <c r="MA568" s="6"/>
      <c r="MB568" s="6"/>
      <c r="MC568" s="6"/>
      <c r="MD568" s="6"/>
      <c r="ME568" s="6"/>
      <c r="MF568" s="6"/>
      <c r="MG568" s="6"/>
      <c r="MH568" s="6"/>
      <c r="MI568" s="6"/>
      <c r="MJ568" s="6"/>
      <c r="MK568" s="6"/>
      <c r="ML568" s="6"/>
      <c r="MM568" s="6"/>
      <c r="MN568" s="6"/>
      <c r="MO568" s="6"/>
      <c r="MP568" s="6"/>
      <c r="MQ568" s="6"/>
      <c r="MR568" s="6"/>
      <c r="MS568" s="6"/>
      <c r="MT568" s="6"/>
      <c r="MU568" s="6"/>
      <c r="MV568" s="6"/>
      <c r="MW568" s="6"/>
      <c r="MX568" s="6"/>
      <c r="MY568" s="6"/>
      <c r="MZ568" s="6"/>
      <c r="NA568" s="6"/>
      <c r="NB568" s="6"/>
      <c r="NC568" s="6"/>
      <c r="ND568" s="6"/>
      <c r="NE568" s="6"/>
      <c r="NF568" s="6"/>
      <c r="NG568" s="6"/>
      <c r="NH568" s="6"/>
      <c r="NI568" s="6"/>
      <c r="NJ568" s="6"/>
      <c r="NK568" s="6"/>
      <c r="NL568" s="6"/>
      <c r="NM568" s="6"/>
      <c r="NN568" s="6"/>
      <c r="NO568" s="6"/>
      <c r="NP568" s="6"/>
      <c r="NQ568" s="6"/>
      <c r="NR568" s="6"/>
      <c r="NS568" s="6"/>
      <c r="NT568" s="6"/>
      <c r="NU568" s="6"/>
      <c r="NV568" s="6"/>
    </row>
    <row r="569" spans="1:386" s="19" customFormat="1" ht="20.100000000000001" customHeight="1" x14ac:dyDescent="0.35">
      <c r="A569" s="1"/>
      <c r="B569" s="2"/>
      <c r="C569" s="3"/>
      <c r="D569" s="2"/>
      <c r="E569" s="2"/>
      <c r="F569" s="4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9"/>
      <c r="FL569" s="9"/>
      <c r="FM569" s="9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135"/>
      <c r="IK569" s="135"/>
      <c r="IL569" s="135"/>
      <c r="IN569" s="6"/>
      <c r="IO569" s="6"/>
      <c r="IP569" s="6"/>
      <c r="IQ569" s="6"/>
      <c r="IR569" s="6"/>
      <c r="IS569" s="6"/>
      <c r="IT569" s="6"/>
      <c r="IU569" s="6"/>
      <c r="IV569" s="6"/>
      <c r="IW569" s="6"/>
      <c r="IX569" s="6"/>
      <c r="IY569" s="6"/>
      <c r="IZ569" s="6"/>
      <c r="JA569" s="6"/>
      <c r="JB569" s="6"/>
      <c r="JC569" s="6"/>
      <c r="JD569" s="6"/>
      <c r="JE569" s="6"/>
      <c r="JF569" s="6"/>
      <c r="JG569" s="6"/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6"/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6"/>
      <c r="KZ569" s="6"/>
      <c r="LA569" s="6"/>
      <c r="LB569" s="6"/>
      <c r="LC569" s="6"/>
      <c r="LD569" s="6"/>
      <c r="LE569" s="6"/>
      <c r="LF569" s="6"/>
      <c r="LG569" s="6"/>
      <c r="LH569" s="6"/>
      <c r="LI569" s="6"/>
      <c r="LJ569" s="6"/>
      <c r="LK569" s="6"/>
      <c r="LL569" s="6"/>
      <c r="LM569" s="6"/>
      <c r="LN569" s="6"/>
      <c r="LO569" s="6"/>
      <c r="LP569" s="6"/>
      <c r="LQ569" s="6"/>
      <c r="LR569" s="6"/>
      <c r="LS569" s="6"/>
      <c r="LT569" s="6"/>
      <c r="LU569" s="6"/>
      <c r="LV569" s="6"/>
      <c r="LW569" s="6"/>
      <c r="LX569" s="6"/>
      <c r="LY569" s="6"/>
      <c r="LZ569" s="6"/>
      <c r="MA569" s="6"/>
      <c r="MB569" s="6"/>
      <c r="MC569" s="6"/>
      <c r="MD569" s="6"/>
      <c r="ME569" s="6"/>
      <c r="MF569" s="6"/>
      <c r="MG569" s="6"/>
      <c r="MH569" s="6"/>
      <c r="MI569" s="6"/>
      <c r="MJ569" s="6"/>
      <c r="MK569" s="6"/>
      <c r="ML569" s="6"/>
      <c r="MM569" s="6"/>
      <c r="MN569" s="6"/>
      <c r="MO569" s="6"/>
      <c r="MP569" s="6"/>
      <c r="MQ569" s="6"/>
      <c r="MR569" s="6"/>
      <c r="MS569" s="6"/>
      <c r="MT569" s="6"/>
      <c r="MU569" s="6"/>
      <c r="MV569" s="6"/>
      <c r="MW569" s="6"/>
      <c r="MX569" s="6"/>
      <c r="MY569" s="6"/>
      <c r="MZ569" s="6"/>
      <c r="NA569" s="6"/>
      <c r="NB569" s="6"/>
      <c r="NC569" s="6"/>
      <c r="ND569" s="6"/>
      <c r="NE569" s="6"/>
      <c r="NF569" s="6"/>
      <c r="NG569" s="6"/>
      <c r="NH569" s="6"/>
      <c r="NI569" s="6"/>
      <c r="NJ569" s="6"/>
      <c r="NK569" s="6"/>
      <c r="NL569" s="6"/>
      <c r="NM569" s="6"/>
      <c r="NN569" s="6"/>
      <c r="NO569" s="6"/>
      <c r="NP569" s="6"/>
      <c r="NQ569" s="6"/>
      <c r="NR569" s="6"/>
      <c r="NS569" s="6"/>
      <c r="NT569" s="6"/>
      <c r="NU569" s="6"/>
      <c r="NV569" s="6"/>
    </row>
    <row r="570" spans="1:386" s="19" customFormat="1" ht="20.100000000000001" customHeight="1" x14ac:dyDescent="0.35">
      <c r="A570" s="1"/>
      <c r="B570" s="2"/>
      <c r="C570" s="3"/>
      <c r="D570" s="2"/>
      <c r="E570" s="2"/>
      <c r="F570" s="4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9"/>
      <c r="FL570" s="9"/>
      <c r="FM570" s="9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135"/>
      <c r="IK570" s="135"/>
      <c r="IL570" s="135"/>
      <c r="IN570" s="6"/>
      <c r="IO570" s="6"/>
      <c r="IP570" s="6"/>
      <c r="IQ570" s="6"/>
      <c r="IR570" s="6"/>
      <c r="IS570" s="6"/>
      <c r="IT570" s="6"/>
      <c r="IU570" s="6"/>
      <c r="IV570" s="6"/>
      <c r="IW570" s="6"/>
      <c r="IX570" s="6"/>
      <c r="IY570" s="6"/>
      <c r="IZ570" s="6"/>
      <c r="JA570" s="6"/>
      <c r="JB570" s="6"/>
      <c r="JC570" s="6"/>
      <c r="JD570" s="6"/>
      <c r="JE570" s="6"/>
      <c r="JF570" s="6"/>
      <c r="JG570" s="6"/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6"/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6"/>
      <c r="KZ570" s="6"/>
      <c r="LA570" s="6"/>
      <c r="LB570" s="6"/>
      <c r="LC570" s="6"/>
      <c r="LD570" s="6"/>
      <c r="LE570" s="6"/>
      <c r="LF570" s="6"/>
      <c r="LG570" s="6"/>
      <c r="LH570" s="6"/>
      <c r="LI570" s="6"/>
      <c r="LJ570" s="6"/>
      <c r="LK570" s="6"/>
      <c r="LL570" s="6"/>
      <c r="LM570" s="6"/>
      <c r="LN570" s="6"/>
      <c r="LO570" s="6"/>
      <c r="LP570" s="6"/>
      <c r="LQ570" s="6"/>
      <c r="LR570" s="6"/>
      <c r="LS570" s="6"/>
      <c r="LT570" s="6"/>
      <c r="LU570" s="6"/>
      <c r="LV570" s="6"/>
      <c r="LW570" s="6"/>
      <c r="LX570" s="6"/>
      <c r="LY570" s="6"/>
      <c r="LZ570" s="6"/>
      <c r="MA570" s="6"/>
      <c r="MB570" s="6"/>
      <c r="MC570" s="6"/>
      <c r="MD570" s="6"/>
      <c r="ME570" s="6"/>
      <c r="MF570" s="6"/>
      <c r="MG570" s="6"/>
      <c r="MH570" s="6"/>
      <c r="MI570" s="6"/>
      <c r="MJ570" s="6"/>
      <c r="MK570" s="6"/>
      <c r="ML570" s="6"/>
      <c r="MM570" s="6"/>
      <c r="MN570" s="6"/>
      <c r="MO570" s="6"/>
      <c r="MP570" s="6"/>
      <c r="MQ570" s="6"/>
      <c r="MR570" s="6"/>
      <c r="MS570" s="6"/>
      <c r="MT570" s="6"/>
      <c r="MU570" s="6"/>
      <c r="MV570" s="6"/>
      <c r="MW570" s="6"/>
      <c r="MX570" s="6"/>
      <c r="MY570" s="6"/>
      <c r="MZ570" s="6"/>
      <c r="NA570" s="6"/>
      <c r="NB570" s="6"/>
      <c r="NC570" s="6"/>
      <c r="ND570" s="6"/>
      <c r="NE570" s="6"/>
      <c r="NF570" s="6"/>
      <c r="NG570" s="6"/>
      <c r="NH570" s="6"/>
      <c r="NI570" s="6"/>
      <c r="NJ570" s="6"/>
      <c r="NK570" s="6"/>
      <c r="NL570" s="6"/>
      <c r="NM570" s="6"/>
      <c r="NN570" s="6"/>
      <c r="NO570" s="6"/>
      <c r="NP570" s="6"/>
      <c r="NQ570" s="6"/>
      <c r="NR570" s="6"/>
      <c r="NS570" s="6"/>
      <c r="NT570" s="6"/>
      <c r="NU570" s="6"/>
      <c r="NV570" s="6"/>
    </row>
    <row r="571" spans="1:386" s="19" customFormat="1" ht="20.100000000000001" customHeight="1" x14ac:dyDescent="0.35">
      <c r="A571" s="1"/>
      <c r="B571" s="2"/>
      <c r="C571" s="3"/>
      <c r="D571" s="2"/>
      <c r="E571" s="2"/>
      <c r="F571" s="4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9"/>
      <c r="FL571" s="9"/>
      <c r="FM571" s="9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135"/>
      <c r="IK571" s="135"/>
      <c r="IL571" s="135"/>
      <c r="IN571" s="6"/>
      <c r="IO571" s="6"/>
      <c r="IP571" s="6"/>
      <c r="IQ571" s="6"/>
      <c r="IR571" s="6"/>
      <c r="IS571" s="6"/>
      <c r="IT571" s="6"/>
      <c r="IU571" s="6"/>
      <c r="IV571" s="6"/>
      <c r="IW571" s="6"/>
      <c r="IX571" s="6"/>
      <c r="IY571" s="6"/>
      <c r="IZ571" s="6"/>
      <c r="JA571" s="6"/>
      <c r="JB571" s="6"/>
      <c r="JC571" s="6"/>
      <c r="JD571" s="6"/>
      <c r="JE571" s="6"/>
      <c r="JF571" s="6"/>
      <c r="JG571" s="6"/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6"/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6"/>
      <c r="KZ571" s="6"/>
      <c r="LA571" s="6"/>
      <c r="LB571" s="6"/>
      <c r="LC571" s="6"/>
      <c r="LD571" s="6"/>
      <c r="LE571" s="6"/>
      <c r="LF571" s="6"/>
      <c r="LG571" s="6"/>
      <c r="LH571" s="6"/>
      <c r="LI571" s="6"/>
      <c r="LJ571" s="6"/>
      <c r="LK571" s="6"/>
      <c r="LL571" s="6"/>
      <c r="LM571" s="6"/>
      <c r="LN571" s="6"/>
      <c r="LO571" s="6"/>
      <c r="LP571" s="6"/>
      <c r="LQ571" s="6"/>
      <c r="LR571" s="6"/>
      <c r="LS571" s="6"/>
      <c r="LT571" s="6"/>
      <c r="LU571" s="6"/>
      <c r="LV571" s="6"/>
      <c r="LW571" s="6"/>
      <c r="LX571" s="6"/>
      <c r="LY571" s="6"/>
      <c r="LZ571" s="6"/>
      <c r="MA571" s="6"/>
      <c r="MB571" s="6"/>
      <c r="MC571" s="6"/>
      <c r="MD571" s="6"/>
      <c r="ME571" s="6"/>
      <c r="MF571" s="6"/>
      <c r="MG571" s="6"/>
      <c r="MH571" s="6"/>
      <c r="MI571" s="6"/>
      <c r="MJ571" s="6"/>
      <c r="MK571" s="6"/>
      <c r="ML571" s="6"/>
      <c r="MM571" s="6"/>
      <c r="MN571" s="6"/>
      <c r="MO571" s="6"/>
      <c r="MP571" s="6"/>
      <c r="MQ571" s="6"/>
      <c r="MR571" s="6"/>
      <c r="MS571" s="6"/>
      <c r="MT571" s="6"/>
      <c r="MU571" s="6"/>
      <c r="MV571" s="6"/>
      <c r="MW571" s="6"/>
      <c r="MX571" s="6"/>
      <c r="MY571" s="6"/>
      <c r="MZ571" s="6"/>
      <c r="NA571" s="6"/>
      <c r="NB571" s="6"/>
      <c r="NC571" s="6"/>
      <c r="ND571" s="6"/>
      <c r="NE571" s="6"/>
      <c r="NF571" s="6"/>
      <c r="NG571" s="6"/>
      <c r="NH571" s="6"/>
      <c r="NI571" s="6"/>
      <c r="NJ571" s="6"/>
      <c r="NK571" s="6"/>
      <c r="NL571" s="6"/>
      <c r="NM571" s="6"/>
      <c r="NN571" s="6"/>
      <c r="NO571" s="6"/>
      <c r="NP571" s="6"/>
      <c r="NQ571" s="6"/>
      <c r="NR571" s="6"/>
      <c r="NS571" s="6"/>
      <c r="NT571" s="6"/>
      <c r="NU571" s="6"/>
      <c r="NV571" s="6"/>
    </row>
    <row r="572" spans="1:386" s="19" customFormat="1" ht="20.100000000000001" customHeight="1" x14ac:dyDescent="0.35">
      <c r="A572" s="1"/>
      <c r="B572" s="2"/>
      <c r="C572" s="3"/>
      <c r="D572" s="2"/>
      <c r="E572" s="2"/>
      <c r="F572" s="4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9"/>
      <c r="FL572" s="9"/>
      <c r="FM572" s="9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135"/>
      <c r="IK572" s="135"/>
      <c r="IL572" s="135"/>
      <c r="IN572" s="6"/>
      <c r="IO572" s="6"/>
      <c r="IP572" s="6"/>
      <c r="IQ572" s="6"/>
      <c r="IR572" s="6"/>
      <c r="IS572" s="6"/>
      <c r="IT572" s="6"/>
      <c r="IU572" s="6"/>
      <c r="IV572" s="6"/>
      <c r="IW572" s="6"/>
      <c r="IX572" s="6"/>
      <c r="IY572" s="6"/>
      <c r="IZ572" s="6"/>
      <c r="JA572" s="6"/>
      <c r="JB572" s="6"/>
      <c r="JC572" s="6"/>
      <c r="JD572" s="6"/>
      <c r="JE572" s="6"/>
      <c r="JF572" s="6"/>
      <c r="JG572" s="6"/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6"/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6"/>
      <c r="KZ572" s="6"/>
      <c r="LA572" s="6"/>
      <c r="LB572" s="6"/>
      <c r="LC572" s="6"/>
      <c r="LD572" s="6"/>
      <c r="LE572" s="6"/>
      <c r="LF572" s="6"/>
      <c r="LG572" s="6"/>
      <c r="LH572" s="6"/>
      <c r="LI572" s="6"/>
      <c r="LJ572" s="6"/>
      <c r="LK572" s="6"/>
      <c r="LL572" s="6"/>
      <c r="LM572" s="6"/>
      <c r="LN572" s="6"/>
      <c r="LO572" s="6"/>
      <c r="LP572" s="6"/>
      <c r="LQ572" s="6"/>
      <c r="LR572" s="6"/>
      <c r="LS572" s="6"/>
      <c r="LT572" s="6"/>
      <c r="LU572" s="6"/>
      <c r="LV572" s="6"/>
      <c r="LW572" s="6"/>
      <c r="LX572" s="6"/>
      <c r="LY572" s="6"/>
      <c r="LZ572" s="6"/>
      <c r="MA572" s="6"/>
      <c r="MB572" s="6"/>
      <c r="MC572" s="6"/>
      <c r="MD572" s="6"/>
      <c r="ME572" s="6"/>
      <c r="MF572" s="6"/>
      <c r="MG572" s="6"/>
      <c r="MH572" s="6"/>
      <c r="MI572" s="6"/>
      <c r="MJ572" s="6"/>
      <c r="MK572" s="6"/>
      <c r="ML572" s="6"/>
      <c r="MM572" s="6"/>
      <c r="MN572" s="6"/>
      <c r="MO572" s="6"/>
      <c r="MP572" s="6"/>
      <c r="MQ572" s="6"/>
      <c r="MR572" s="6"/>
      <c r="MS572" s="6"/>
      <c r="MT572" s="6"/>
      <c r="MU572" s="6"/>
      <c r="MV572" s="6"/>
      <c r="MW572" s="6"/>
      <c r="MX572" s="6"/>
      <c r="MY572" s="6"/>
      <c r="MZ572" s="6"/>
      <c r="NA572" s="6"/>
      <c r="NB572" s="6"/>
      <c r="NC572" s="6"/>
      <c r="ND572" s="6"/>
      <c r="NE572" s="6"/>
      <c r="NF572" s="6"/>
      <c r="NG572" s="6"/>
      <c r="NH572" s="6"/>
      <c r="NI572" s="6"/>
      <c r="NJ572" s="6"/>
      <c r="NK572" s="6"/>
      <c r="NL572" s="6"/>
      <c r="NM572" s="6"/>
      <c r="NN572" s="6"/>
      <c r="NO572" s="6"/>
      <c r="NP572" s="6"/>
      <c r="NQ572" s="6"/>
      <c r="NR572" s="6"/>
      <c r="NS572" s="6"/>
      <c r="NT572" s="6"/>
      <c r="NU572" s="6"/>
      <c r="NV572" s="6"/>
    </row>
    <row r="573" spans="1:386" s="19" customFormat="1" ht="20.100000000000001" customHeight="1" x14ac:dyDescent="0.35">
      <c r="A573" s="1"/>
      <c r="B573" s="2"/>
      <c r="C573" s="3"/>
      <c r="D573" s="2"/>
      <c r="E573" s="2"/>
      <c r="F573" s="4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9"/>
      <c r="FL573" s="9"/>
      <c r="FM573" s="9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135"/>
      <c r="IK573" s="135"/>
      <c r="IL573" s="135"/>
      <c r="IN573" s="6"/>
      <c r="IO573" s="6"/>
      <c r="IP573" s="6"/>
      <c r="IQ573" s="6"/>
      <c r="IR573" s="6"/>
      <c r="IS573" s="6"/>
      <c r="IT573" s="6"/>
      <c r="IU573" s="6"/>
      <c r="IV573" s="6"/>
      <c r="IW573" s="6"/>
      <c r="IX573" s="6"/>
      <c r="IY573" s="6"/>
      <c r="IZ573" s="6"/>
      <c r="JA573" s="6"/>
      <c r="JB573" s="6"/>
      <c r="JC573" s="6"/>
      <c r="JD573" s="6"/>
      <c r="JE573" s="6"/>
      <c r="JF573" s="6"/>
      <c r="JG573" s="6"/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6"/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6"/>
      <c r="KZ573" s="6"/>
      <c r="LA573" s="6"/>
      <c r="LB573" s="6"/>
      <c r="LC573" s="6"/>
      <c r="LD573" s="6"/>
      <c r="LE573" s="6"/>
      <c r="LF573" s="6"/>
      <c r="LG573" s="6"/>
      <c r="LH573" s="6"/>
      <c r="LI573" s="6"/>
      <c r="LJ573" s="6"/>
      <c r="LK573" s="6"/>
      <c r="LL573" s="6"/>
      <c r="LM573" s="6"/>
      <c r="LN573" s="6"/>
      <c r="LO573" s="6"/>
      <c r="LP573" s="6"/>
      <c r="LQ573" s="6"/>
      <c r="LR573" s="6"/>
      <c r="LS573" s="6"/>
      <c r="LT573" s="6"/>
      <c r="LU573" s="6"/>
      <c r="LV573" s="6"/>
      <c r="LW573" s="6"/>
      <c r="LX573" s="6"/>
      <c r="LY573" s="6"/>
      <c r="LZ573" s="6"/>
      <c r="MA573" s="6"/>
      <c r="MB573" s="6"/>
      <c r="MC573" s="6"/>
      <c r="MD573" s="6"/>
      <c r="ME573" s="6"/>
      <c r="MF573" s="6"/>
      <c r="MG573" s="6"/>
      <c r="MH573" s="6"/>
      <c r="MI573" s="6"/>
      <c r="MJ573" s="6"/>
      <c r="MK573" s="6"/>
      <c r="ML573" s="6"/>
      <c r="MM573" s="6"/>
      <c r="MN573" s="6"/>
      <c r="MO573" s="6"/>
      <c r="MP573" s="6"/>
      <c r="MQ573" s="6"/>
      <c r="MR573" s="6"/>
      <c r="MS573" s="6"/>
      <c r="MT573" s="6"/>
      <c r="MU573" s="6"/>
      <c r="MV573" s="6"/>
      <c r="MW573" s="6"/>
      <c r="MX573" s="6"/>
      <c r="MY573" s="6"/>
      <c r="MZ573" s="6"/>
      <c r="NA573" s="6"/>
      <c r="NB573" s="6"/>
      <c r="NC573" s="6"/>
      <c r="ND573" s="6"/>
      <c r="NE573" s="6"/>
      <c r="NF573" s="6"/>
      <c r="NG573" s="6"/>
      <c r="NH573" s="6"/>
      <c r="NI573" s="6"/>
      <c r="NJ573" s="6"/>
      <c r="NK573" s="6"/>
      <c r="NL573" s="6"/>
      <c r="NM573" s="6"/>
      <c r="NN573" s="6"/>
      <c r="NO573" s="6"/>
      <c r="NP573" s="6"/>
      <c r="NQ573" s="6"/>
      <c r="NR573" s="6"/>
      <c r="NS573" s="6"/>
      <c r="NT573" s="6"/>
      <c r="NU573" s="6"/>
      <c r="NV573" s="6"/>
    </row>
    <row r="574" spans="1:386" s="19" customFormat="1" ht="20.100000000000001" customHeight="1" x14ac:dyDescent="0.35">
      <c r="A574" s="1"/>
      <c r="B574" s="2"/>
      <c r="C574" s="3"/>
      <c r="D574" s="2"/>
      <c r="E574" s="2"/>
      <c r="F574" s="4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9"/>
      <c r="FL574" s="9"/>
      <c r="FM574" s="9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135"/>
      <c r="IK574" s="135"/>
      <c r="IL574" s="135"/>
      <c r="IN574" s="6"/>
      <c r="IO574" s="6"/>
      <c r="IP574" s="6"/>
      <c r="IQ574" s="6"/>
      <c r="IR574" s="6"/>
      <c r="IS574" s="6"/>
      <c r="IT574" s="6"/>
      <c r="IU574" s="6"/>
      <c r="IV574" s="6"/>
      <c r="IW574" s="6"/>
      <c r="IX574" s="6"/>
      <c r="IY574" s="6"/>
      <c r="IZ574" s="6"/>
      <c r="JA574" s="6"/>
      <c r="JB574" s="6"/>
      <c r="JC574" s="6"/>
      <c r="JD574" s="6"/>
      <c r="JE574" s="6"/>
      <c r="JF574" s="6"/>
      <c r="JG574" s="6"/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6"/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6"/>
      <c r="KZ574" s="6"/>
      <c r="LA574" s="6"/>
      <c r="LB574" s="6"/>
      <c r="LC574" s="6"/>
      <c r="LD574" s="6"/>
      <c r="LE574" s="6"/>
      <c r="LF574" s="6"/>
      <c r="LG574" s="6"/>
      <c r="LH574" s="6"/>
      <c r="LI574" s="6"/>
      <c r="LJ574" s="6"/>
      <c r="LK574" s="6"/>
      <c r="LL574" s="6"/>
      <c r="LM574" s="6"/>
      <c r="LN574" s="6"/>
      <c r="LO574" s="6"/>
      <c r="LP574" s="6"/>
      <c r="LQ574" s="6"/>
      <c r="LR574" s="6"/>
      <c r="LS574" s="6"/>
      <c r="LT574" s="6"/>
      <c r="LU574" s="6"/>
      <c r="LV574" s="6"/>
      <c r="LW574" s="6"/>
      <c r="LX574" s="6"/>
      <c r="LY574" s="6"/>
      <c r="LZ574" s="6"/>
      <c r="MA574" s="6"/>
      <c r="MB574" s="6"/>
      <c r="MC574" s="6"/>
      <c r="MD574" s="6"/>
      <c r="ME574" s="6"/>
      <c r="MF574" s="6"/>
      <c r="MG574" s="6"/>
      <c r="MH574" s="6"/>
      <c r="MI574" s="6"/>
      <c r="MJ574" s="6"/>
      <c r="MK574" s="6"/>
      <c r="ML574" s="6"/>
      <c r="MM574" s="6"/>
      <c r="MN574" s="6"/>
      <c r="MO574" s="6"/>
      <c r="MP574" s="6"/>
      <c r="MQ574" s="6"/>
      <c r="MR574" s="6"/>
      <c r="MS574" s="6"/>
      <c r="MT574" s="6"/>
      <c r="MU574" s="6"/>
      <c r="MV574" s="6"/>
      <c r="MW574" s="6"/>
      <c r="MX574" s="6"/>
      <c r="MY574" s="6"/>
      <c r="MZ574" s="6"/>
      <c r="NA574" s="6"/>
      <c r="NB574" s="6"/>
      <c r="NC574" s="6"/>
      <c r="ND574" s="6"/>
      <c r="NE574" s="6"/>
      <c r="NF574" s="6"/>
      <c r="NG574" s="6"/>
      <c r="NH574" s="6"/>
      <c r="NI574" s="6"/>
      <c r="NJ574" s="6"/>
      <c r="NK574" s="6"/>
      <c r="NL574" s="6"/>
      <c r="NM574" s="6"/>
      <c r="NN574" s="6"/>
      <c r="NO574" s="6"/>
      <c r="NP574" s="6"/>
      <c r="NQ574" s="6"/>
      <c r="NR574" s="6"/>
      <c r="NS574" s="6"/>
      <c r="NT574" s="6"/>
      <c r="NU574" s="6"/>
      <c r="NV574" s="6"/>
    </row>
    <row r="575" spans="1:386" s="19" customFormat="1" ht="20.100000000000001" customHeight="1" x14ac:dyDescent="0.35">
      <c r="A575" s="1"/>
      <c r="B575" s="2"/>
      <c r="C575" s="3"/>
      <c r="D575" s="2"/>
      <c r="E575" s="2"/>
      <c r="F575" s="4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9"/>
      <c r="FL575" s="9"/>
      <c r="FM575" s="9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135"/>
      <c r="IK575" s="135"/>
      <c r="IL575" s="135"/>
      <c r="IN575" s="6"/>
      <c r="IO575" s="6"/>
      <c r="IP575" s="6"/>
      <c r="IQ575" s="6"/>
      <c r="IR575" s="6"/>
      <c r="IS575" s="6"/>
      <c r="IT575" s="6"/>
      <c r="IU575" s="6"/>
      <c r="IV575" s="6"/>
      <c r="IW575" s="6"/>
      <c r="IX575" s="6"/>
      <c r="IY575" s="6"/>
      <c r="IZ575" s="6"/>
      <c r="JA575" s="6"/>
      <c r="JB575" s="6"/>
      <c r="JC575" s="6"/>
      <c r="JD575" s="6"/>
      <c r="JE575" s="6"/>
      <c r="JF575" s="6"/>
      <c r="JG575" s="6"/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6"/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6"/>
      <c r="KZ575" s="6"/>
      <c r="LA575" s="6"/>
      <c r="LB575" s="6"/>
      <c r="LC575" s="6"/>
      <c r="LD575" s="6"/>
      <c r="LE575" s="6"/>
      <c r="LF575" s="6"/>
      <c r="LG575" s="6"/>
      <c r="LH575" s="6"/>
      <c r="LI575" s="6"/>
      <c r="LJ575" s="6"/>
      <c r="LK575" s="6"/>
      <c r="LL575" s="6"/>
      <c r="LM575" s="6"/>
      <c r="LN575" s="6"/>
      <c r="LO575" s="6"/>
      <c r="LP575" s="6"/>
      <c r="LQ575" s="6"/>
      <c r="LR575" s="6"/>
      <c r="LS575" s="6"/>
      <c r="LT575" s="6"/>
      <c r="LU575" s="6"/>
      <c r="LV575" s="6"/>
      <c r="LW575" s="6"/>
      <c r="LX575" s="6"/>
      <c r="LY575" s="6"/>
      <c r="LZ575" s="6"/>
      <c r="MA575" s="6"/>
      <c r="MB575" s="6"/>
      <c r="MC575" s="6"/>
      <c r="MD575" s="6"/>
      <c r="ME575" s="6"/>
      <c r="MF575" s="6"/>
      <c r="MG575" s="6"/>
      <c r="MH575" s="6"/>
      <c r="MI575" s="6"/>
      <c r="MJ575" s="6"/>
      <c r="MK575" s="6"/>
      <c r="ML575" s="6"/>
      <c r="MM575" s="6"/>
      <c r="MN575" s="6"/>
      <c r="MO575" s="6"/>
      <c r="MP575" s="6"/>
      <c r="MQ575" s="6"/>
      <c r="MR575" s="6"/>
      <c r="MS575" s="6"/>
      <c r="MT575" s="6"/>
      <c r="MU575" s="6"/>
      <c r="MV575" s="6"/>
      <c r="MW575" s="6"/>
      <c r="MX575" s="6"/>
      <c r="MY575" s="6"/>
      <c r="MZ575" s="6"/>
      <c r="NA575" s="6"/>
      <c r="NB575" s="6"/>
      <c r="NC575" s="6"/>
      <c r="ND575" s="6"/>
      <c r="NE575" s="6"/>
      <c r="NF575" s="6"/>
      <c r="NG575" s="6"/>
      <c r="NH575" s="6"/>
      <c r="NI575" s="6"/>
      <c r="NJ575" s="6"/>
      <c r="NK575" s="6"/>
      <c r="NL575" s="6"/>
      <c r="NM575" s="6"/>
      <c r="NN575" s="6"/>
      <c r="NO575" s="6"/>
      <c r="NP575" s="6"/>
      <c r="NQ575" s="6"/>
      <c r="NR575" s="6"/>
      <c r="NS575" s="6"/>
      <c r="NT575" s="6"/>
      <c r="NU575" s="6"/>
      <c r="NV575" s="6"/>
    </row>
    <row r="576" spans="1:386" s="19" customFormat="1" ht="20.100000000000001" customHeight="1" x14ac:dyDescent="0.35">
      <c r="A576" s="1"/>
      <c r="B576" s="2"/>
      <c r="C576" s="3"/>
      <c r="D576" s="2"/>
      <c r="E576" s="2"/>
      <c r="F576" s="4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9"/>
      <c r="FL576" s="9"/>
      <c r="FM576" s="9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135"/>
      <c r="IK576" s="135"/>
      <c r="IL576" s="135"/>
      <c r="IN576" s="6"/>
      <c r="IO576" s="6"/>
      <c r="IP576" s="6"/>
      <c r="IQ576" s="6"/>
      <c r="IR576" s="6"/>
      <c r="IS576" s="6"/>
      <c r="IT576" s="6"/>
      <c r="IU576" s="6"/>
      <c r="IV576" s="6"/>
      <c r="IW576" s="6"/>
      <c r="IX576" s="6"/>
      <c r="IY576" s="6"/>
      <c r="IZ576" s="6"/>
      <c r="JA576" s="6"/>
      <c r="JB576" s="6"/>
      <c r="JC576" s="6"/>
      <c r="JD576" s="6"/>
      <c r="JE576" s="6"/>
      <c r="JF576" s="6"/>
      <c r="JG576" s="6"/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6"/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6"/>
      <c r="KZ576" s="6"/>
      <c r="LA576" s="6"/>
      <c r="LB576" s="6"/>
      <c r="LC576" s="6"/>
      <c r="LD576" s="6"/>
      <c r="LE576" s="6"/>
      <c r="LF576" s="6"/>
      <c r="LG576" s="6"/>
      <c r="LH576" s="6"/>
      <c r="LI576" s="6"/>
      <c r="LJ576" s="6"/>
      <c r="LK576" s="6"/>
      <c r="LL576" s="6"/>
      <c r="LM576" s="6"/>
      <c r="LN576" s="6"/>
      <c r="LO576" s="6"/>
      <c r="LP576" s="6"/>
      <c r="LQ576" s="6"/>
      <c r="LR576" s="6"/>
      <c r="LS576" s="6"/>
      <c r="LT576" s="6"/>
      <c r="LU576" s="6"/>
      <c r="LV576" s="6"/>
      <c r="LW576" s="6"/>
      <c r="LX576" s="6"/>
      <c r="LY576" s="6"/>
      <c r="LZ576" s="6"/>
      <c r="MA576" s="6"/>
      <c r="MB576" s="6"/>
      <c r="MC576" s="6"/>
      <c r="MD576" s="6"/>
      <c r="ME576" s="6"/>
      <c r="MF576" s="6"/>
      <c r="MG576" s="6"/>
      <c r="MH576" s="6"/>
      <c r="MI576" s="6"/>
      <c r="MJ576" s="6"/>
      <c r="MK576" s="6"/>
      <c r="ML576" s="6"/>
      <c r="MM576" s="6"/>
      <c r="MN576" s="6"/>
      <c r="MO576" s="6"/>
      <c r="MP576" s="6"/>
      <c r="MQ576" s="6"/>
      <c r="MR576" s="6"/>
      <c r="MS576" s="6"/>
      <c r="MT576" s="6"/>
      <c r="MU576" s="6"/>
      <c r="MV576" s="6"/>
      <c r="MW576" s="6"/>
      <c r="MX576" s="6"/>
      <c r="MY576" s="6"/>
      <c r="MZ576" s="6"/>
      <c r="NA576" s="6"/>
      <c r="NB576" s="6"/>
      <c r="NC576" s="6"/>
      <c r="ND576" s="6"/>
      <c r="NE576" s="6"/>
      <c r="NF576" s="6"/>
      <c r="NG576" s="6"/>
      <c r="NH576" s="6"/>
      <c r="NI576" s="6"/>
      <c r="NJ576" s="6"/>
      <c r="NK576" s="6"/>
      <c r="NL576" s="6"/>
      <c r="NM576" s="6"/>
      <c r="NN576" s="6"/>
      <c r="NO576" s="6"/>
      <c r="NP576" s="6"/>
      <c r="NQ576" s="6"/>
      <c r="NR576" s="6"/>
      <c r="NS576" s="6"/>
      <c r="NT576" s="6"/>
      <c r="NU576" s="6"/>
      <c r="NV576" s="6"/>
    </row>
    <row r="577" spans="1:386" s="19" customFormat="1" ht="20.100000000000001" customHeight="1" x14ac:dyDescent="0.35">
      <c r="A577" s="1"/>
      <c r="B577" s="2"/>
      <c r="C577" s="3"/>
      <c r="D577" s="2"/>
      <c r="E577" s="2"/>
      <c r="F577" s="4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9"/>
      <c r="FL577" s="9"/>
      <c r="FM577" s="9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135"/>
      <c r="IK577" s="135"/>
      <c r="IL577" s="135"/>
      <c r="IN577" s="6"/>
      <c r="IO577" s="6"/>
      <c r="IP577" s="6"/>
      <c r="IQ577" s="6"/>
      <c r="IR577" s="6"/>
      <c r="IS577" s="6"/>
      <c r="IT577" s="6"/>
      <c r="IU577" s="6"/>
      <c r="IV577" s="6"/>
      <c r="IW577" s="6"/>
      <c r="IX577" s="6"/>
      <c r="IY577" s="6"/>
      <c r="IZ577" s="6"/>
      <c r="JA577" s="6"/>
      <c r="JB577" s="6"/>
      <c r="JC577" s="6"/>
      <c r="JD577" s="6"/>
      <c r="JE577" s="6"/>
      <c r="JF577" s="6"/>
      <c r="JG577" s="6"/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6"/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6"/>
      <c r="KZ577" s="6"/>
      <c r="LA577" s="6"/>
      <c r="LB577" s="6"/>
      <c r="LC577" s="6"/>
      <c r="LD577" s="6"/>
      <c r="LE577" s="6"/>
      <c r="LF577" s="6"/>
      <c r="LG577" s="6"/>
      <c r="LH577" s="6"/>
      <c r="LI577" s="6"/>
      <c r="LJ577" s="6"/>
      <c r="LK577" s="6"/>
      <c r="LL577" s="6"/>
      <c r="LM577" s="6"/>
      <c r="LN577" s="6"/>
      <c r="LO577" s="6"/>
      <c r="LP577" s="6"/>
      <c r="LQ577" s="6"/>
      <c r="LR577" s="6"/>
      <c r="LS577" s="6"/>
      <c r="LT577" s="6"/>
      <c r="LU577" s="6"/>
      <c r="LV577" s="6"/>
      <c r="LW577" s="6"/>
      <c r="LX577" s="6"/>
      <c r="LY577" s="6"/>
      <c r="LZ577" s="6"/>
      <c r="MA577" s="6"/>
      <c r="MB577" s="6"/>
      <c r="MC577" s="6"/>
      <c r="MD577" s="6"/>
      <c r="ME577" s="6"/>
      <c r="MF577" s="6"/>
      <c r="MG577" s="6"/>
      <c r="MH577" s="6"/>
      <c r="MI577" s="6"/>
      <c r="MJ577" s="6"/>
      <c r="MK577" s="6"/>
      <c r="ML577" s="6"/>
      <c r="MM577" s="6"/>
      <c r="MN577" s="6"/>
      <c r="MO577" s="6"/>
      <c r="MP577" s="6"/>
      <c r="MQ577" s="6"/>
      <c r="MR577" s="6"/>
      <c r="MS577" s="6"/>
      <c r="MT577" s="6"/>
      <c r="MU577" s="6"/>
      <c r="MV577" s="6"/>
      <c r="MW577" s="6"/>
      <c r="MX577" s="6"/>
      <c r="MY577" s="6"/>
      <c r="MZ577" s="6"/>
      <c r="NA577" s="6"/>
      <c r="NB577" s="6"/>
      <c r="NC577" s="6"/>
      <c r="ND577" s="6"/>
      <c r="NE577" s="6"/>
      <c r="NF577" s="6"/>
      <c r="NG577" s="6"/>
      <c r="NH577" s="6"/>
      <c r="NI577" s="6"/>
      <c r="NJ577" s="6"/>
      <c r="NK577" s="6"/>
      <c r="NL577" s="6"/>
      <c r="NM577" s="6"/>
      <c r="NN577" s="6"/>
      <c r="NO577" s="6"/>
      <c r="NP577" s="6"/>
      <c r="NQ577" s="6"/>
      <c r="NR577" s="6"/>
      <c r="NS577" s="6"/>
      <c r="NT577" s="6"/>
      <c r="NU577" s="6"/>
      <c r="NV577" s="6"/>
    </row>
    <row r="578" spans="1:386" s="19" customFormat="1" ht="20.100000000000001" customHeight="1" x14ac:dyDescent="0.35">
      <c r="A578" s="1"/>
      <c r="B578" s="2"/>
      <c r="C578" s="3"/>
      <c r="D578" s="2"/>
      <c r="E578" s="2"/>
      <c r="F578" s="4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9"/>
      <c r="FL578" s="9"/>
      <c r="FM578" s="9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135"/>
      <c r="IK578" s="135"/>
      <c r="IL578" s="135"/>
      <c r="IN578" s="6"/>
      <c r="IO578" s="6"/>
      <c r="IP578" s="6"/>
      <c r="IQ578" s="6"/>
      <c r="IR578" s="6"/>
      <c r="IS578" s="6"/>
      <c r="IT578" s="6"/>
      <c r="IU578" s="6"/>
      <c r="IV578" s="6"/>
      <c r="IW578" s="6"/>
      <c r="IX578" s="6"/>
      <c r="IY578" s="6"/>
      <c r="IZ578" s="6"/>
      <c r="JA578" s="6"/>
      <c r="JB578" s="6"/>
      <c r="JC578" s="6"/>
      <c r="JD578" s="6"/>
      <c r="JE578" s="6"/>
      <c r="JF578" s="6"/>
      <c r="JG578" s="6"/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6"/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6"/>
      <c r="KZ578" s="6"/>
      <c r="LA578" s="6"/>
      <c r="LB578" s="6"/>
      <c r="LC578" s="6"/>
      <c r="LD578" s="6"/>
      <c r="LE578" s="6"/>
      <c r="LF578" s="6"/>
      <c r="LG578" s="6"/>
      <c r="LH578" s="6"/>
      <c r="LI578" s="6"/>
      <c r="LJ578" s="6"/>
      <c r="LK578" s="6"/>
      <c r="LL578" s="6"/>
      <c r="LM578" s="6"/>
      <c r="LN578" s="6"/>
      <c r="LO578" s="6"/>
      <c r="LP578" s="6"/>
      <c r="LQ578" s="6"/>
      <c r="LR578" s="6"/>
      <c r="LS578" s="6"/>
      <c r="LT578" s="6"/>
      <c r="LU578" s="6"/>
      <c r="LV578" s="6"/>
      <c r="LW578" s="6"/>
      <c r="LX578" s="6"/>
      <c r="LY578" s="6"/>
      <c r="LZ578" s="6"/>
      <c r="MA578" s="6"/>
      <c r="MB578" s="6"/>
      <c r="MC578" s="6"/>
      <c r="MD578" s="6"/>
      <c r="ME578" s="6"/>
      <c r="MF578" s="6"/>
      <c r="MG578" s="6"/>
      <c r="MH578" s="6"/>
      <c r="MI578" s="6"/>
      <c r="MJ578" s="6"/>
      <c r="MK578" s="6"/>
      <c r="ML578" s="6"/>
      <c r="MM578" s="6"/>
      <c r="MN578" s="6"/>
      <c r="MO578" s="6"/>
      <c r="MP578" s="6"/>
      <c r="MQ578" s="6"/>
      <c r="MR578" s="6"/>
      <c r="MS578" s="6"/>
      <c r="MT578" s="6"/>
      <c r="MU578" s="6"/>
      <c r="MV578" s="6"/>
      <c r="MW578" s="6"/>
      <c r="MX578" s="6"/>
      <c r="MY578" s="6"/>
      <c r="MZ578" s="6"/>
      <c r="NA578" s="6"/>
      <c r="NB578" s="6"/>
      <c r="NC578" s="6"/>
      <c r="ND578" s="6"/>
      <c r="NE578" s="6"/>
      <c r="NF578" s="6"/>
      <c r="NG578" s="6"/>
      <c r="NH578" s="6"/>
      <c r="NI578" s="6"/>
      <c r="NJ578" s="6"/>
      <c r="NK578" s="6"/>
      <c r="NL578" s="6"/>
      <c r="NM578" s="6"/>
      <c r="NN578" s="6"/>
      <c r="NO578" s="6"/>
      <c r="NP578" s="6"/>
      <c r="NQ578" s="6"/>
      <c r="NR578" s="6"/>
      <c r="NS578" s="6"/>
      <c r="NT578" s="6"/>
      <c r="NU578" s="6"/>
      <c r="NV578" s="6"/>
    </row>
    <row r="579" spans="1:386" s="19" customFormat="1" ht="20.100000000000001" customHeight="1" x14ac:dyDescent="0.35">
      <c r="A579" s="1"/>
      <c r="B579" s="2"/>
      <c r="C579" s="3"/>
      <c r="D579" s="2"/>
      <c r="E579" s="2"/>
      <c r="F579" s="4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9"/>
      <c r="FL579" s="9"/>
      <c r="FM579" s="9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135"/>
      <c r="IK579" s="135"/>
      <c r="IL579" s="135"/>
      <c r="IN579" s="6"/>
      <c r="IO579" s="6"/>
      <c r="IP579" s="6"/>
      <c r="IQ579" s="6"/>
      <c r="IR579" s="6"/>
      <c r="IS579" s="6"/>
      <c r="IT579" s="6"/>
      <c r="IU579" s="6"/>
      <c r="IV579" s="6"/>
      <c r="IW579" s="6"/>
      <c r="IX579" s="6"/>
      <c r="IY579" s="6"/>
      <c r="IZ579" s="6"/>
      <c r="JA579" s="6"/>
      <c r="JB579" s="6"/>
      <c r="JC579" s="6"/>
      <c r="JD579" s="6"/>
      <c r="JE579" s="6"/>
      <c r="JF579" s="6"/>
      <c r="JG579" s="6"/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6"/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6"/>
      <c r="KZ579" s="6"/>
      <c r="LA579" s="6"/>
      <c r="LB579" s="6"/>
      <c r="LC579" s="6"/>
      <c r="LD579" s="6"/>
      <c r="LE579" s="6"/>
      <c r="LF579" s="6"/>
      <c r="LG579" s="6"/>
      <c r="LH579" s="6"/>
      <c r="LI579" s="6"/>
      <c r="LJ579" s="6"/>
      <c r="LK579" s="6"/>
      <c r="LL579" s="6"/>
      <c r="LM579" s="6"/>
      <c r="LN579" s="6"/>
      <c r="LO579" s="6"/>
      <c r="LP579" s="6"/>
      <c r="LQ579" s="6"/>
      <c r="LR579" s="6"/>
      <c r="LS579" s="6"/>
      <c r="LT579" s="6"/>
      <c r="LU579" s="6"/>
      <c r="LV579" s="6"/>
      <c r="LW579" s="6"/>
      <c r="LX579" s="6"/>
      <c r="LY579" s="6"/>
      <c r="LZ579" s="6"/>
      <c r="MA579" s="6"/>
      <c r="MB579" s="6"/>
      <c r="MC579" s="6"/>
      <c r="MD579" s="6"/>
      <c r="ME579" s="6"/>
      <c r="MF579" s="6"/>
      <c r="MG579" s="6"/>
      <c r="MH579" s="6"/>
      <c r="MI579" s="6"/>
      <c r="MJ579" s="6"/>
      <c r="MK579" s="6"/>
      <c r="ML579" s="6"/>
      <c r="MM579" s="6"/>
      <c r="MN579" s="6"/>
      <c r="MO579" s="6"/>
      <c r="MP579" s="6"/>
      <c r="MQ579" s="6"/>
      <c r="MR579" s="6"/>
      <c r="MS579" s="6"/>
      <c r="MT579" s="6"/>
      <c r="MU579" s="6"/>
      <c r="MV579" s="6"/>
      <c r="MW579" s="6"/>
      <c r="MX579" s="6"/>
      <c r="MY579" s="6"/>
      <c r="MZ579" s="6"/>
      <c r="NA579" s="6"/>
      <c r="NB579" s="6"/>
      <c r="NC579" s="6"/>
      <c r="ND579" s="6"/>
      <c r="NE579" s="6"/>
      <c r="NF579" s="6"/>
      <c r="NG579" s="6"/>
      <c r="NH579" s="6"/>
      <c r="NI579" s="6"/>
      <c r="NJ579" s="6"/>
      <c r="NK579" s="6"/>
      <c r="NL579" s="6"/>
      <c r="NM579" s="6"/>
      <c r="NN579" s="6"/>
      <c r="NO579" s="6"/>
      <c r="NP579" s="6"/>
      <c r="NQ579" s="6"/>
      <c r="NR579" s="6"/>
      <c r="NS579" s="6"/>
      <c r="NT579" s="6"/>
      <c r="NU579" s="6"/>
      <c r="NV579" s="6"/>
    </row>
    <row r="580" spans="1:386" s="19" customFormat="1" ht="20.100000000000001" customHeight="1" x14ac:dyDescent="0.35">
      <c r="A580" s="1"/>
      <c r="B580" s="2"/>
      <c r="C580" s="3"/>
      <c r="D580" s="2"/>
      <c r="E580" s="2"/>
      <c r="F580" s="4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9"/>
      <c r="FL580" s="9"/>
      <c r="FM580" s="9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135"/>
      <c r="IK580" s="135"/>
      <c r="IL580" s="135"/>
      <c r="IN580" s="6"/>
      <c r="IO580" s="6"/>
      <c r="IP580" s="6"/>
      <c r="IQ580" s="6"/>
      <c r="IR580" s="6"/>
      <c r="IS580" s="6"/>
      <c r="IT580" s="6"/>
      <c r="IU580" s="6"/>
      <c r="IV580" s="6"/>
      <c r="IW580" s="6"/>
      <c r="IX580" s="6"/>
      <c r="IY580" s="6"/>
      <c r="IZ580" s="6"/>
      <c r="JA580" s="6"/>
      <c r="JB580" s="6"/>
      <c r="JC580" s="6"/>
      <c r="JD580" s="6"/>
      <c r="JE580" s="6"/>
      <c r="JF580" s="6"/>
      <c r="JG580" s="6"/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6"/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6"/>
      <c r="KZ580" s="6"/>
      <c r="LA580" s="6"/>
      <c r="LB580" s="6"/>
      <c r="LC580" s="6"/>
      <c r="LD580" s="6"/>
      <c r="LE580" s="6"/>
      <c r="LF580" s="6"/>
      <c r="LG580" s="6"/>
      <c r="LH580" s="6"/>
      <c r="LI580" s="6"/>
      <c r="LJ580" s="6"/>
      <c r="LK580" s="6"/>
      <c r="LL580" s="6"/>
      <c r="LM580" s="6"/>
      <c r="LN580" s="6"/>
      <c r="LO580" s="6"/>
      <c r="LP580" s="6"/>
      <c r="LQ580" s="6"/>
      <c r="LR580" s="6"/>
      <c r="LS580" s="6"/>
      <c r="LT580" s="6"/>
      <c r="LU580" s="6"/>
      <c r="LV580" s="6"/>
      <c r="LW580" s="6"/>
      <c r="LX580" s="6"/>
      <c r="LY580" s="6"/>
      <c r="LZ580" s="6"/>
      <c r="MA580" s="6"/>
      <c r="MB580" s="6"/>
      <c r="MC580" s="6"/>
      <c r="MD580" s="6"/>
      <c r="ME580" s="6"/>
      <c r="MF580" s="6"/>
      <c r="MG580" s="6"/>
      <c r="MH580" s="6"/>
      <c r="MI580" s="6"/>
      <c r="MJ580" s="6"/>
      <c r="MK580" s="6"/>
      <c r="ML580" s="6"/>
      <c r="MM580" s="6"/>
      <c r="MN580" s="6"/>
      <c r="MO580" s="6"/>
      <c r="MP580" s="6"/>
      <c r="MQ580" s="6"/>
      <c r="MR580" s="6"/>
      <c r="MS580" s="6"/>
      <c r="MT580" s="6"/>
      <c r="MU580" s="6"/>
      <c r="MV580" s="6"/>
      <c r="MW580" s="6"/>
      <c r="MX580" s="6"/>
      <c r="MY580" s="6"/>
      <c r="MZ580" s="6"/>
      <c r="NA580" s="6"/>
      <c r="NB580" s="6"/>
      <c r="NC580" s="6"/>
      <c r="ND580" s="6"/>
      <c r="NE580" s="6"/>
      <c r="NF580" s="6"/>
      <c r="NG580" s="6"/>
      <c r="NH580" s="6"/>
      <c r="NI580" s="6"/>
      <c r="NJ580" s="6"/>
      <c r="NK580" s="6"/>
      <c r="NL580" s="6"/>
      <c r="NM580" s="6"/>
      <c r="NN580" s="6"/>
      <c r="NO580" s="6"/>
      <c r="NP580" s="6"/>
      <c r="NQ580" s="6"/>
      <c r="NR580" s="6"/>
      <c r="NS580" s="6"/>
      <c r="NT580" s="6"/>
      <c r="NU580" s="6"/>
      <c r="NV580" s="6"/>
    </row>
    <row r="581" spans="1:386" s="19" customFormat="1" ht="20.100000000000001" customHeight="1" x14ac:dyDescent="0.35">
      <c r="A581" s="1"/>
      <c r="B581" s="2"/>
      <c r="C581" s="3"/>
      <c r="D581" s="2"/>
      <c r="E581" s="2"/>
      <c r="F581" s="4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9"/>
      <c r="FL581" s="9"/>
      <c r="FM581" s="9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135"/>
      <c r="IK581" s="135"/>
      <c r="IL581" s="135"/>
      <c r="IN581" s="6"/>
      <c r="IO581" s="6"/>
      <c r="IP581" s="6"/>
      <c r="IQ581" s="6"/>
      <c r="IR581" s="6"/>
      <c r="IS581" s="6"/>
      <c r="IT581" s="6"/>
      <c r="IU581" s="6"/>
      <c r="IV581" s="6"/>
      <c r="IW581" s="6"/>
      <c r="IX581" s="6"/>
      <c r="IY581" s="6"/>
      <c r="IZ581" s="6"/>
      <c r="JA581" s="6"/>
      <c r="JB581" s="6"/>
      <c r="JC581" s="6"/>
      <c r="JD581" s="6"/>
      <c r="JE581" s="6"/>
      <c r="JF581" s="6"/>
      <c r="JG581" s="6"/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6"/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6"/>
      <c r="KZ581" s="6"/>
      <c r="LA581" s="6"/>
      <c r="LB581" s="6"/>
      <c r="LC581" s="6"/>
      <c r="LD581" s="6"/>
      <c r="LE581" s="6"/>
      <c r="LF581" s="6"/>
      <c r="LG581" s="6"/>
      <c r="LH581" s="6"/>
      <c r="LI581" s="6"/>
      <c r="LJ581" s="6"/>
      <c r="LK581" s="6"/>
      <c r="LL581" s="6"/>
      <c r="LM581" s="6"/>
      <c r="LN581" s="6"/>
      <c r="LO581" s="6"/>
      <c r="LP581" s="6"/>
      <c r="LQ581" s="6"/>
      <c r="LR581" s="6"/>
      <c r="LS581" s="6"/>
      <c r="LT581" s="6"/>
      <c r="LU581" s="6"/>
      <c r="LV581" s="6"/>
      <c r="LW581" s="6"/>
      <c r="LX581" s="6"/>
      <c r="LY581" s="6"/>
      <c r="LZ581" s="6"/>
      <c r="MA581" s="6"/>
      <c r="MB581" s="6"/>
      <c r="MC581" s="6"/>
      <c r="MD581" s="6"/>
      <c r="ME581" s="6"/>
      <c r="MF581" s="6"/>
      <c r="MG581" s="6"/>
      <c r="MH581" s="6"/>
      <c r="MI581" s="6"/>
      <c r="MJ581" s="6"/>
      <c r="MK581" s="6"/>
      <c r="ML581" s="6"/>
      <c r="MM581" s="6"/>
      <c r="MN581" s="6"/>
      <c r="MO581" s="6"/>
      <c r="MP581" s="6"/>
      <c r="MQ581" s="6"/>
      <c r="MR581" s="6"/>
      <c r="MS581" s="6"/>
      <c r="MT581" s="6"/>
      <c r="MU581" s="6"/>
      <c r="MV581" s="6"/>
      <c r="MW581" s="6"/>
      <c r="MX581" s="6"/>
      <c r="MY581" s="6"/>
      <c r="MZ581" s="6"/>
      <c r="NA581" s="6"/>
      <c r="NB581" s="6"/>
      <c r="NC581" s="6"/>
      <c r="ND581" s="6"/>
      <c r="NE581" s="6"/>
      <c r="NF581" s="6"/>
      <c r="NG581" s="6"/>
      <c r="NH581" s="6"/>
      <c r="NI581" s="6"/>
      <c r="NJ581" s="6"/>
      <c r="NK581" s="6"/>
      <c r="NL581" s="6"/>
      <c r="NM581" s="6"/>
      <c r="NN581" s="6"/>
      <c r="NO581" s="6"/>
      <c r="NP581" s="6"/>
      <c r="NQ581" s="6"/>
      <c r="NR581" s="6"/>
      <c r="NS581" s="6"/>
      <c r="NT581" s="6"/>
      <c r="NU581" s="6"/>
      <c r="NV581" s="6"/>
    </row>
    <row r="582" spans="1:386" s="19" customFormat="1" ht="20.100000000000001" customHeight="1" x14ac:dyDescent="0.35">
      <c r="A582" s="1"/>
      <c r="B582" s="2"/>
      <c r="C582" s="3"/>
      <c r="D582" s="2"/>
      <c r="E582" s="2"/>
      <c r="F582" s="4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9"/>
      <c r="FL582" s="9"/>
      <c r="FM582" s="9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135"/>
      <c r="IK582" s="135"/>
      <c r="IL582" s="135"/>
      <c r="IN582" s="6"/>
      <c r="IO582" s="6"/>
      <c r="IP582" s="6"/>
      <c r="IQ582" s="6"/>
      <c r="IR582" s="6"/>
      <c r="IS582" s="6"/>
      <c r="IT582" s="6"/>
      <c r="IU582" s="6"/>
      <c r="IV582" s="6"/>
      <c r="IW582" s="6"/>
      <c r="IX582" s="6"/>
      <c r="IY582" s="6"/>
      <c r="IZ582" s="6"/>
      <c r="JA582" s="6"/>
      <c r="JB582" s="6"/>
      <c r="JC582" s="6"/>
      <c r="JD582" s="6"/>
      <c r="JE582" s="6"/>
      <c r="JF582" s="6"/>
      <c r="JG582" s="6"/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6"/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6"/>
      <c r="KZ582" s="6"/>
      <c r="LA582" s="6"/>
      <c r="LB582" s="6"/>
      <c r="LC582" s="6"/>
      <c r="LD582" s="6"/>
      <c r="LE582" s="6"/>
      <c r="LF582" s="6"/>
      <c r="LG582" s="6"/>
      <c r="LH582" s="6"/>
      <c r="LI582" s="6"/>
      <c r="LJ582" s="6"/>
      <c r="LK582" s="6"/>
      <c r="LL582" s="6"/>
      <c r="LM582" s="6"/>
      <c r="LN582" s="6"/>
      <c r="LO582" s="6"/>
      <c r="LP582" s="6"/>
      <c r="LQ582" s="6"/>
      <c r="LR582" s="6"/>
      <c r="LS582" s="6"/>
      <c r="LT582" s="6"/>
      <c r="LU582" s="6"/>
      <c r="LV582" s="6"/>
      <c r="LW582" s="6"/>
      <c r="LX582" s="6"/>
      <c r="LY582" s="6"/>
      <c r="LZ582" s="6"/>
      <c r="MA582" s="6"/>
      <c r="MB582" s="6"/>
      <c r="MC582" s="6"/>
      <c r="MD582" s="6"/>
      <c r="ME582" s="6"/>
      <c r="MF582" s="6"/>
      <c r="MG582" s="6"/>
      <c r="MH582" s="6"/>
      <c r="MI582" s="6"/>
      <c r="MJ582" s="6"/>
      <c r="MK582" s="6"/>
      <c r="ML582" s="6"/>
      <c r="MM582" s="6"/>
      <c r="MN582" s="6"/>
      <c r="MO582" s="6"/>
      <c r="MP582" s="6"/>
      <c r="MQ582" s="6"/>
      <c r="MR582" s="6"/>
      <c r="MS582" s="6"/>
      <c r="MT582" s="6"/>
      <c r="MU582" s="6"/>
      <c r="MV582" s="6"/>
      <c r="MW582" s="6"/>
      <c r="MX582" s="6"/>
      <c r="MY582" s="6"/>
      <c r="MZ582" s="6"/>
      <c r="NA582" s="6"/>
      <c r="NB582" s="6"/>
      <c r="NC582" s="6"/>
      <c r="ND582" s="6"/>
      <c r="NE582" s="6"/>
      <c r="NF582" s="6"/>
      <c r="NG582" s="6"/>
      <c r="NH582" s="6"/>
      <c r="NI582" s="6"/>
      <c r="NJ582" s="6"/>
      <c r="NK582" s="6"/>
      <c r="NL582" s="6"/>
      <c r="NM582" s="6"/>
      <c r="NN582" s="6"/>
      <c r="NO582" s="6"/>
      <c r="NP582" s="6"/>
      <c r="NQ582" s="6"/>
      <c r="NR582" s="6"/>
      <c r="NS582" s="6"/>
      <c r="NT582" s="6"/>
      <c r="NU582" s="6"/>
      <c r="NV582" s="6"/>
    </row>
    <row r="583" spans="1:386" s="19" customFormat="1" ht="20.100000000000001" customHeight="1" x14ac:dyDescent="0.35">
      <c r="A583" s="1"/>
      <c r="B583" s="2"/>
      <c r="C583" s="3"/>
      <c r="D583" s="2"/>
      <c r="E583" s="2"/>
      <c r="F583" s="4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9"/>
      <c r="FL583" s="9"/>
      <c r="FM583" s="9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135"/>
      <c r="IK583" s="135"/>
      <c r="IL583" s="135"/>
      <c r="IN583" s="6"/>
      <c r="IO583" s="6"/>
      <c r="IP583" s="6"/>
      <c r="IQ583" s="6"/>
      <c r="IR583" s="6"/>
      <c r="IS583" s="6"/>
      <c r="IT583" s="6"/>
      <c r="IU583" s="6"/>
      <c r="IV583" s="6"/>
      <c r="IW583" s="6"/>
      <c r="IX583" s="6"/>
      <c r="IY583" s="6"/>
      <c r="IZ583" s="6"/>
      <c r="JA583" s="6"/>
      <c r="JB583" s="6"/>
      <c r="JC583" s="6"/>
      <c r="JD583" s="6"/>
      <c r="JE583" s="6"/>
      <c r="JF583" s="6"/>
      <c r="JG583" s="6"/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6"/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6"/>
      <c r="KZ583" s="6"/>
      <c r="LA583" s="6"/>
      <c r="LB583" s="6"/>
      <c r="LC583" s="6"/>
      <c r="LD583" s="6"/>
      <c r="LE583" s="6"/>
      <c r="LF583" s="6"/>
      <c r="LG583" s="6"/>
      <c r="LH583" s="6"/>
      <c r="LI583" s="6"/>
      <c r="LJ583" s="6"/>
      <c r="LK583" s="6"/>
      <c r="LL583" s="6"/>
      <c r="LM583" s="6"/>
      <c r="LN583" s="6"/>
      <c r="LO583" s="6"/>
      <c r="LP583" s="6"/>
      <c r="LQ583" s="6"/>
      <c r="LR583" s="6"/>
      <c r="LS583" s="6"/>
      <c r="LT583" s="6"/>
      <c r="LU583" s="6"/>
      <c r="LV583" s="6"/>
      <c r="LW583" s="6"/>
      <c r="LX583" s="6"/>
      <c r="LY583" s="6"/>
      <c r="LZ583" s="6"/>
      <c r="MA583" s="6"/>
      <c r="MB583" s="6"/>
      <c r="MC583" s="6"/>
      <c r="MD583" s="6"/>
      <c r="ME583" s="6"/>
      <c r="MF583" s="6"/>
      <c r="MG583" s="6"/>
      <c r="MH583" s="6"/>
      <c r="MI583" s="6"/>
      <c r="MJ583" s="6"/>
      <c r="MK583" s="6"/>
      <c r="ML583" s="6"/>
      <c r="MM583" s="6"/>
      <c r="MN583" s="6"/>
      <c r="MO583" s="6"/>
      <c r="MP583" s="6"/>
      <c r="MQ583" s="6"/>
      <c r="MR583" s="6"/>
      <c r="MS583" s="6"/>
      <c r="MT583" s="6"/>
      <c r="MU583" s="6"/>
      <c r="MV583" s="6"/>
      <c r="MW583" s="6"/>
      <c r="MX583" s="6"/>
      <c r="MY583" s="6"/>
      <c r="MZ583" s="6"/>
      <c r="NA583" s="6"/>
      <c r="NB583" s="6"/>
      <c r="NC583" s="6"/>
      <c r="ND583" s="6"/>
      <c r="NE583" s="6"/>
      <c r="NF583" s="6"/>
      <c r="NG583" s="6"/>
      <c r="NH583" s="6"/>
      <c r="NI583" s="6"/>
      <c r="NJ583" s="6"/>
      <c r="NK583" s="6"/>
      <c r="NL583" s="6"/>
      <c r="NM583" s="6"/>
      <c r="NN583" s="6"/>
      <c r="NO583" s="6"/>
      <c r="NP583" s="6"/>
      <c r="NQ583" s="6"/>
      <c r="NR583" s="6"/>
      <c r="NS583" s="6"/>
      <c r="NT583" s="6"/>
      <c r="NU583" s="6"/>
      <c r="NV583" s="6"/>
    </row>
    <row r="584" spans="1:386" s="19" customFormat="1" ht="20.100000000000001" customHeight="1" x14ac:dyDescent="0.35">
      <c r="A584" s="1"/>
      <c r="B584" s="2"/>
      <c r="C584" s="3"/>
      <c r="D584" s="2"/>
      <c r="E584" s="2"/>
      <c r="F584" s="4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9"/>
      <c r="FL584" s="9"/>
      <c r="FM584" s="9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135"/>
      <c r="IK584" s="135"/>
      <c r="IL584" s="135"/>
      <c r="IN584" s="6"/>
      <c r="IO584" s="6"/>
      <c r="IP584" s="6"/>
      <c r="IQ584" s="6"/>
      <c r="IR584" s="6"/>
      <c r="IS584" s="6"/>
      <c r="IT584" s="6"/>
      <c r="IU584" s="6"/>
      <c r="IV584" s="6"/>
      <c r="IW584" s="6"/>
      <c r="IX584" s="6"/>
      <c r="IY584" s="6"/>
      <c r="IZ584" s="6"/>
      <c r="JA584" s="6"/>
      <c r="JB584" s="6"/>
      <c r="JC584" s="6"/>
      <c r="JD584" s="6"/>
      <c r="JE584" s="6"/>
      <c r="JF584" s="6"/>
      <c r="JG584" s="6"/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6"/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6"/>
      <c r="KZ584" s="6"/>
      <c r="LA584" s="6"/>
      <c r="LB584" s="6"/>
      <c r="LC584" s="6"/>
      <c r="LD584" s="6"/>
      <c r="LE584" s="6"/>
      <c r="LF584" s="6"/>
      <c r="LG584" s="6"/>
      <c r="LH584" s="6"/>
      <c r="LI584" s="6"/>
      <c r="LJ584" s="6"/>
      <c r="LK584" s="6"/>
      <c r="LL584" s="6"/>
      <c r="LM584" s="6"/>
      <c r="LN584" s="6"/>
      <c r="LO584" s="6"/>
      <c r="LP584" s="6"/>
      <c r="LQ584" s="6"/>
      <c r="LR584" s="6"/>
      <c r="LS584" s="6"/>
      <c r="LT584" s="6"/>
      <c r="LU584" s="6"/>
      <c r="LV584" s="6"/>
      <c r="LW584" s="6"/>
      <c r="LX584" s="6"/>
      <c r="LY584" s="6"/>
      <c r="LZ584" s="6"/>
      <c r="MA584" s="6"/>
      <c r="MB584" s="6"/>
      <c r="MC584" s="6"/>
      <c r="MD584" s="6"/>
      <c r="ME584" s="6"/>
      <c r="MF584" s="6"/>
      <c r="MG584" s="6"/>
      <c r="MH584" s="6"/>
      <c r="MI584" s="6"/>
      <c r="MJ584" s="6"/>
      <c r="MK584" s="6"/>
      <c r="ML584" s="6"/>
      <c r="MM584" s="6"/>
      <c r="MN584" s="6"/>
      <c r="MO584" s="6"/>
      <c r="MP584" s="6"/>
      <c r="MQ584" s="6"/>
      <c r="MR584" s="6"/>
      <c r="MS584" s="6"/>
      <c r="MT584" s="6"/>
      <c r="MU584" s="6"/>
      <c r="MV584" s="6"/>
      <c r="MW584" s="6"/>
      <c r="MX584" s="6"/>
      <c r="MY584" s="6"/>
      <c r="MZ584" s="6"/>
      <c r="NA584" s="6"/>
      <c r="NB584" s="6"/>
      <c r="NC584" s="6"/>
      <c r="ND584" s="6"/>
      <c r="NE584" s="6"/>
      <c r="NF584" s="6"/>
      <c r="NG584" s="6"/>
      <c r="NH584" s="6"/>
      <c r="NI584" s="6"/>
      <c r="NJ584" s="6"/>
      <c r="NK584" s="6"/>
      <c r="NL584" s="6"/>
      <c r="NM584" s="6"/>
      <c r="NN584" s="6"/>
      <c r="NO584" s="6"/>
      <c r="NP584" s="6"/>
      <c r="NQ584" s="6"/>
      <c r="NR584" s="6"/>
      <c r="NS584" s="6"/>
      <c r="NT584" s="6"/>
      <c r="NU584" s="6"/>
      <c r="NV584" s="6"/>
    </row>
    <row r="585" spans="1:386" s="19" customFormat="1" ht="20.100000000000001" customHeight="1" x14ac:dyDescent="0.35">
      <c r="A585" s="1"/>
      <c r="B585" s="2"/>
      <c r="C585" s="3"/>
      <c r="D585" s="2"/>
      <c r="E585" s="2"/>
      <c r="F585" s="4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9"/>
      <c r="FL585" s="9"/>
      <c r="FM585" s="9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135"/>
      <c r="IK585" s="135"/>
      <c r="IL585" s="135"/>
      <c r="IN585" s="6"/>
      <c r="IO585" s="6"/>
      <c r="IP585" s="6"/>
      <c r="IQ585" s="6"/>
      <c r="IR585" s="6"/>
      <c r="IS585" s="6"/>
      <c r="IT585" s="6"/>
      <c r="IU585" s="6"/>
      <c r="IV585" s="6"/>
      <c r="IW585" s="6"/>
      <c r="IX585" s="6"/>
      <c r="IY585" s="6"/>
      <c r="IZ585" s="6"/>
      <c r="JA585" s="6"/>
      <c r="JB585" s="6"/>
      <c r="JC585" s="6"/>
      <c r="JD585" s="6"/>
      <c r="JE585" s="6"/>
      <c r="JF585" s="6"/>
      <c r="JG585" s="6"/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6"/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6"/>
      <c r="KZ585" s="6"/>
      <c r="LA585" s="6"/>
      <c r="LB585" s="6"/>
      <c r="LC585" s="6"/>
      <c r="LD585" s="6"/>
      <c r="LE585" s="6"/>
      <c r="LF585" s="6"/>
      <c r="LG585" s="6"/>
      <c r="LH585" s="6"/>
      <c r="LI585" s="6"/>
      <c r="LJ585" s="6"/>
      <c r="LK585" s="6"/>
      <c r="LL585" s="6"/>
      <c r="LM585" s="6"/>
      <c r="LN585" s="6"/>
      <c r="LO585" s="6"/>
      <c r="LP585" s="6"/>
      <c r="LQ585" s="6"/>
      <c r="LR585" s="6"/>
      <c r="LS585" s="6"/>
      <c r="LT585" s="6"/>
      <c r="LU585" s="6"/>
      <c r="LV585" s="6"/>
      <c r="LW585" s="6"/>
      <c r="LX585" s="6"/>
      <c r="LY585" s="6"/>
      <c r="LZ585" s="6"/>
      <c r="MA585" s="6"/>
      <c r="MB585" s="6"/>
      <c r="MC585" s="6"/>
      <c r="MD585" s="6"/>
      <c r="ME585" s="6"/>
      <c r="MF585" s="6"/>
      <c r="MG585" s="6"/>
      <c r="MH585" s="6"/>
      <c r="MI585" s="6"/>
      <c r="MJ585" s="6"/>
      <c r="MK585" s="6"/>
      <c r="ML585" s="6"/>
      <c r="MM585" s="6"/>
      <c r="MN585" s="6"/>
      <c r="MO585" s="6"/>
      <c r="MP585" s="6"/>
      <c r="MQ585" s="6"/>
      <c r="MR585" s="6"/>
      <c r="MS585" s="6"/>
      <c r="MT585" s="6"/>
      <c r="MU585" s="6"/>
      <c r="MV585" s="6"/>
      <c r="MW585" s="6"/>
      <c r="MX585" s="6"/>
      <c r="MY585" s="6"/>
      <c r="MZ585" s="6"/>
      <c r="NA585" s="6"/>
      <c r="NB585" s="6"/>
      <c r="NC585" s="6"/>
      <c r="ND585" s="6"/>
      <c r="NE585" s="6"/>
      <c r="NF585" s="6"/>
      <c r="NG585" s="6"/>
      <c r="NH585" s="6"/>
      <c r="NI585" s="6"/>
      <c r="NJ585" s="6"/>
      <c r="NK585" s="6"/>
      <c r="NL585" s="6"/>
      <c r="NM585" s="6"/>
      <c r="NN585" s="6"/>
      <c r="NO585" s="6"/>
      <c r="NP585" s="6"/>
      <c r="NQ585" s="6"/>
      <c r="NR585" s="6"/>
      <c r="NS585" s="6"/>
      <c r="NT585" s="6"/>
      <c r="NU585" s="6"/>
      <c r="NV585" s="6"/>
    </row>
    <row r="586" spans="1:386" s="19" customFormat="1" ht="20.100000000000001" customHeight="1" x14ac:dyDescent="0.35">
      <c r="A586" s="1"/>
      <c r="B586" s="2"/>
      <c r="C586" s="3"/>
      <c r="D586" s="2"/>
      <c r="E586" s="2"/>
      <c r="F586" s="4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9"/>
      <c r="FL586" s="9"/>
      <c r="FM586" s="9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135"/>
      <c r="IK586" s="135"/>
      <c r="IL586" s="135"/>
      <c r="IN586" s="6"/>
      <c r="IO586" s="6"/>
      <c r="IP586" s="6"/>
      <c r="IQ586" s="6"/>
      <c r="IR586" s="6"/>
      <c r="IS586" s="6"/>
      <c r="IT586" s="6"/>
      <c r="IU586" s="6"/>
      <c r="IV586" s="6"/>
      <c r="IW586" s="6"/>
      <c r="IX586" s="6"/>
      <c r="IY586" s="6"/>
      <c r="IZ586" s="6"/>
      <c r="JA586" s="6"/>
      <c r="JB586" s="6"/>
      <c r="JC586" s="6"/>
      <c r="JD586" s="6"/>
      <c r="JE586" s="6"/>
      <c r="JF586" s="6"/>
      <c r="JG586" s="6"/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6"/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6"/>
      <c r="KZ586" s="6"/>
      <c r="LA586" s="6"/>
      <c r="LB586" s="6"/>
      <c r="LC586" s="6"/>
      <c r="LD586" s="6"/>
      <c r="LE586" s="6"/>
      <c r="LF586" s="6"/>
      <c r="LG586" s="6"/>
      <c r="LH586" s="6"/>
      <c r="LI586" s="6"/>
      <c r="LJ586" s="6"/>
      <c r="LK586" s="6"/>
      <c r="LL586" s="6"/>
      <c r="LM586" s="6"/>
      <c r="LN586" s="6"/>
      <c r="LO586" s="6"/>
      <c r="LP586" s="6"/>
      <c r="LQ586" s="6"/>
      <c r="LR586" s="6"/>
      <c r="LS586" s="6"/>
      <c r="LT586" s="6"/>
      <c r="LU586" s="6"/>
      <c r="LV586" s="6"/>
      <c r="LW586" s="6"/>
      <c r="LX586" s="6"/>
      <c r="LY586" s="6"/>
      <c r="LZ586" s="6"/>
      <c r="MA586" s="6"/>
      <c r="MB586" s="6"/>
      <c r="MC586" s="6"/>
      <c r="MD586" s="6"/>
      <c r="ME586" s="6"/>
      <c r="MF586" s="6"/>
      <c r="MG586" s="6"/>
      <c r="MH586" s="6"/>
      <c r="MI586" s="6"/>
      <c r="MJ586" s="6"/>
      <c r="MK586" s="6"/>
      <c r="ML586" s="6"/>
      <c r="MM586" s="6"/>
      <c r="MN586" s="6"/>
      <c r="MO586" s="6"/>
      <c r="MP586" s="6"/>
      <c r="MQ586" s="6"/>
      <c r="MR586" s="6"/>
      <c r="MS586" s="6"/>
      <c r="MT586" s="6"/>
      <c r="MU586" s="6"/>
      <c r="MV586" s="6"/>
      <c r="MW586" s="6"/>
      <c r="MX586" s="6"/>
      <c r="MY586" s="6"/>
      <c r="MZ586" s="6"/>
      <c r="NA586" s="6"/>
      <c r="NB586" s="6"/>
      <c r="NC586" s="6"/>
      <c r="ND586" s="6"/>
      <c r="NE586" s="6"/>
      <c r="NF586" s="6"/>
      <c r="NG586" s="6"/>
      <c r="NH586" s="6"/>
      <c r="NI586" s="6"/>
      <c r="NJ586" s="6"/>
      <c r="NK586" s="6"/>
      <c r="NL586" s="6"/>
      <c r="NM586" s="6"/>
      <c r="NN586" s="6"/>
      <c r="NO586" s="6"/>
      <c r="NP586" s="6"/>
      <c r="NQ586" s="6"/>
      <c r="NR586" s="6"/>
      <c r="NS586" s="6"/>
      <c r="NT586" s="6"/>
      <c r="NU586" s="6"/>
      <c r="NV586" s="6"/>
    </row>
    <row r="587" spans="1:386" s="19" customFormat="1" ht="20.100000000000001" customHeight="1" x14ac:dyDescent="0.35">
      <c r="A587" s="1"/>
      <c r="B587" s="2"/>
      <c r="C587" s="3"/>
      <c r="D587" s="2"/>
      <c r="E587" s="2"/>
      <c r="F587" s="4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9"/>
      <c r="FL587" s="9"/>
      <c r="FM587" s="9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135"/>
      <c r="IK587" s="135"/>
      <c r="IL587" s="135"/>
      <c r="IN587" s="6"/>
      <c r="IO587" s="6"/>
      <c r="IP587" s="6"/>
      <c r="IQ587" s="6"/>
      <c r="IR587" s="6"/>
      <c r="IS587" s="6"/>
      <c r="IT587" s="6"/>
      <c r="IU587" s="6"/>
      <c r="IV587" s="6"/>
      <c r="IW587" s="6"/>
      <c r="IX587" s="6"/>
      <c r="IY587" s="6"/>
      <c r="IZ587" s="6"/>
      <c r="JA587" s="6"/>
      <c r="JB587" s="6"/>
      <c r="JC587" s="6"/>
      <c r="JD587" s="6"/>
      <c r="JE587" s="6"/>
      <c r="JF587" s="6"/>
      <c r="JG587" s="6"/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6"/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6"/>
      <c r="KZ587" s="6"/>
      <c r="LA587" s="6"/>
      <c r="LB587" s="6"/>
      <c r="LC587" s="6"/>
      <c r="LD587" s="6"/>
      <c r="LE587" s="6"/>
      <c r="LF587" s="6"/>
      <c r="LG587" s="6"/>
      <c r="LH587" s="6"/>
      <c r="LI587" s="6"/>
      <c r="LJ587" s="6"/>
      <c r="LK587" s="6"/>
      <c r="LL587" s="6"/>
      <c r="LM587" s="6"/>
      <c r="LN587" s="6"/>
      <c r="LO587" s="6"/>
      <c r="LP587" s="6"/>
      <c r="LQ587" s="6"/>
      <c r="LR587" s="6"/>
      <c r="LS587" s="6"/>
      <c r="LT587" s="6"/>
      <c r="LU587" s="6"/>
      <c r="LV587" s="6"/>
      <c r="LW587" s="6"/>
      <c r="LX587" s="6"/>
      <c r="LY587" s="6"/>
      <c r="LZ587" s="6"/>
      <c r="MA587" s="6"/>
      <c r="MB587" s="6"/>
      <c r="MC587" s="6"/>
      <c r="MD587" s="6"/>
      <c r="ME587" s="6"/>
      <c r="MF587" s="6"/>
      <c r="MG587" s="6"/>
      <c r="MH587" s="6"/>
      <c r="MI587" s="6"/>
      <c r="MJ587" s="6"/>
      <c r="MK587" s="6"/>
      <c r="ML587" s="6"/>
      <c r="MM587" s="6"/>
      <c r="MN587" s="6"/>
      <c r="MO587" s="6"/>
      <c r="MP587" s="6"/>
      <c r="MQ587" s="6"/>
      <c r="MR587" s="6"/>
      <c r="MS587" s="6"/>
      <c r="MT587" s="6"/>
      <c r="MU587" s="6"/>
      <c r="MV587" s="6"/>
      <c r="MW587" s="6"/>
      <c r="MX587" s="6"/>
      <c r="MY587" s="6"/>
      <c r="MZ587" s="6"/>
      <c r="NA587" s="6"/>
      <c r="NB587" s="6"/>
      <c r="NC587" s="6"/>
      <c r="ND587" s="6"/>
      <c r="NE587" s="6"/>
      <c r="NF587" s="6"/>
      <c r="NG587" s="6"/>
      <c r="NH587" s="6"/>
      <c r="NI587" s="6"/>
      <c r="NJ587" s="6"/>
      <c r="NK587" s="6"/>
      <c r="NL587" s="6"/>
      <c r="NM587" s="6"/>
      <c r="NN587" s="6"/>
      <c r="NO587" s="6"/>
      <c r="NP587" s="6"/>
      <c r="NQ587" s="6"/>
      <c r="NR587" s="6"/>
      <c r="NS587" s="6"/>
      <c r="NT587" s="6"/>
      <c r="NU587" s="6"/>
      <c r="NV587" s="6"/>
    </row>
    <row r="588" spans="1:386" s="19" customFormat="1" ht="20.100000000000001" customHeight="1" x14ac:dyDescent="0.35">
      <c r="A588" s="1"/>
      <c r="B588" s="2"/>
      <c r="C588" s="3"/>
      <c r="D588" s="2"/>
      <c r="E588" s="2"/>
      <c r="F588" s="4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9"/>
      <c r="FL588" s="9"/>
      <c r="FM588" s="9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135"/>
      <c r="IK588" s="135"/>
      <c r="IL588" s="135"/>
      <c r="IN588" s="6"/>
      <c r="IO588" s="6"/>
      <c r="IP588" s="6"/>
      <c r="IQ588" s="6"/>
      <c r="IR588" s="6"/>
      <c r="IS588" s="6"/>
      <c r="IT588" s="6"/>
      <c r="IU588" s="6"/>
      <c r="IV588" s="6"/>
      <c r="IW588" s="6"/>
      <c r="IX588" s="6"/>
      <c r="IY588" s="6"/>
      <c r="IZ588" s="6"/>
      <c r="JA588" s="6"/>
      <c r="JB588" s="6"/>
      <c r="JC588" s="6"/>
      <c r="JD588" s="6"/>
      <c r="JE588" s="6"/>
      <c r="JF588" s="6"/>
      <c r="JG588" s="6"/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6"/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6"/>
      <c r="KZ588" s="6"/>
      <c r="LA588" s="6"/>
      <c r="LB588" s="6"/>
      <c r="LC588" s="6"/>
      <c r="LD588" s="6"/>
      <c r="LE588" s="6"/>
      <c r="LF588" s="6"/>
      <c r="LG588" s="6"/>
      <c r="LH588" s="6"/>
      <c r="LI588" s="6"/>
      <c r="LJ588" s="6"/>
      <c r="LK588" s="6"/>
      <c r="LL588" s="6"/>
      <c r="LM588" s="6"/>
      <c r="LN588" s="6"/>
      <c r="LO588" s="6"/>
      <c r="LP588" s="6"/>
      <c r="LQ588" s="6"/>
      <c r="LR588" s="6"/>
      <c r="LS588" s="6"/>
      <c r="LT588" s="6"/>
      <c r="LU588" s="6"/>
      <c r="LV588" s="6"/>
      <c r="LW588" s="6"/>
      <c r="LX588" s="6"/>
      <c r="LY588" s="6"/>
      <c r="LZ588" s="6"/>
      <c r="MA588" s="6"/>
      <c r="MB588" s="6"/>
      <c r="MC588" s="6"/>
      <c r="MD588" s="6"/>
      <c r="ME588" s="6"/>
      <c r="MF588" s="6"/>
      <c r="MG588" s="6"/>
      <c r="MH588" s="6"/>
      <c r="MI588" s="6"/>
      <c r="MJ588" s="6"/>
      <c r="MK588" s="6"/>
      <c r="ML588" s="6"/>
      <c r="MM588" s="6"/>
      <c r="MN588" s="6"/>
      <c r="MO588" s="6"/>
      <c r="MP588" s="6"/>
      <c r="MQ588" s="6"/>
      <c r="MR588" s="6"/>
      <c r="MS588" s="6"/>
      <c r="MT588" s="6"/>
      <c r="MU588" s="6"/>
      <c r="MV588" s="6"/>
      <c r="MW588" s="6"/>
      <c r="MX588" s="6"/>
      <c r="MY588" s="6"/>
      <c r="MZ588" s="6"/>
      <c r="NA588" s="6"/>
      <c r="NB588" s="6"/>
      <c r="NC588" s="6"/>
      <c r="ND588" s="6"/>
      <c r="NE588" s="6"/>
      <c r="NF588" s="6"/>
      <c r="NG588" s="6"/>
      <c r="NH588" s="6"/>
      <c r="NI588" s="6"/>
      <c r="NJ588" s="6"/>
      <c r="NK588" s="6"/>
      <c r="NL588" s="6"/>
      <c r="NM588" s="6"/>
      <c r="NN588" s="6"/>
      <c r="NO588" s="6"/>
      <c r="NP588" s="6"/>
      <c r="NQ588" s="6"/>
      <c r="NR588" s="6"/>
      <c r="NS588" s="6"/>
      <c r="NT588" s="6"/>
      <c r="NU588" s="6"/>
      <c r="NV588" s="6"/>
    </row>
    <row r="589" spans="1:386" s="19" customFormat="1" ht="20.100000000000001" customHeight="1" x14ac:dyDescent="0.35">
      <c r="A589" s="1"/>
      <c r="B589" s="2"/>
      <c r="C589" s="3"/>
      <c r="D589" s="2"/>
      <c r="E589" s="2"/>
      <c r="F589" s="4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9"/>
      <c r="FL589" s="9"/>
      <c r="FM589" s="9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135"/>
      <c r="IK589" s="135"/>
      <c r="IL589" s="135"/>
      <c r="IN589" s="6"/>
      <c r="IO589" s="6"/>
      <c r="IP589" s="6"/>
      <c r="IQ589" s="6"/>
      <c r="IR589" s="6"/>
      <c r="IS589" s="6"/>
      <c r="IT589" s="6"/>
      <c r="IU589" s="6"/>
      <c r="IV589" s="6"/>
      <c r="IW589" s="6"/>
      <c r="IX589" s="6"/>
      <c r="IY589" s="6"/>
      <c r="IZ589" s="6"/>
      <c r="JA589" s="6"/>
      <c r="JB589" s="6"/>
      <c r="JC589" s="6"/>
      <c r="JD589" s="6"/>
      <c r="JE589" s="6"/>
      <c r="JF589" s="6"/>
      <c r="JG589" s="6"/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6"/>
      <c r="KZ589" s="6"/>
      <c r="LA589" s="6"/>
      <c r="LB589" s="6"/>
      <c r="LC589" s="6"/>
      <c r="LD589" s="6"/>
      <c r="LE589" s="6"/>
      <c r="LF589" s="6"/>
      <c r="LG589" s="6"/>
      <c r="LH589" s="6"/>
      <c r="LI589" s="6"/>
      <c r="LJ589" s="6"/>
      <c r="LK589" s="6"/>
      <c r="LL589" s="6"/>
      <c r="LM589" s="6"/>
      <c r="LN589" s="6"/>
      <c r="LO589" s="6"/>
      <c r="LP589" s="6"/>
      <c r="LQ589" s="6"/>
      <c r="LR589" s="6"/>
      <c r="LS589" s="6"/>
      <c r="LT589" s="6"/>
      <c r="LU589" s="6"/>
      <c r="LV589" s="6"/>
      <c r="LW589" s="6"/>
      <c r="LX589" s="6"/>
      <c r="LY589" s="6"/>
      <c r="LZ589" s="6"/>
      <c r="MA589" s="6"/>
      <c r="MB589" s="6"/>
      <c r="MC589" s="6"/>
      <c r="MD589" s="6"/>
      <c r="ME589" s="6"/>
      <c r="MF589" s="6"/>
      <c r="MG589" s="6"/>
      <c r="MH589" s="6"/>
      <c r="MI589" s="6"/>
      <c r="MJ589" s="6"/>
      <c r="MK589" s="6"/>
      <c r="ML589" s="6"/>
      <c r="MM589" s="6"/>
      <c r="MN589" s="6"/>
      <c r="MO589" s="6"/>
      <c r="MP589" s="6"/>
      <c r="MQ589" s="6"/>
      <c r="MR589" s="6"/>
      <c r="MS589" s="6"/>
      <c r="MT589" s="6"/>
      <c r="MU589" s="6"/>
      <c r="MV589" s="6"/>
      <c r="MW589" s="6"/>
      <c r="MX589" s="6"/>
      <c r="MY589" s="6"/>
      <c r="MZ589" s="6"/>
      <c r="NA589" s="6"/>
      <c r="NB589" s="6"/>
      <c r="NC589" s="6"/>
      <c r="ND589" s="6"/>
      <c r="NE589" s="6"/>
      <c r="NF589" s="6"/>
      <c r="NG589" s="6"/>
      <c r="NH589" s="6"/>
      <c r="NI589" s="6"/>
      <c r="NJ589" s="6"/>
      <c r="NK589" s="6"/>
      <c r="NL589" s="6"/>
      <c r="NM589" s="6"/>
      <c r="NN589" s="6"/>
      <c r="NO589" s="6"/>
      <c r="NP589" s="6"/>
      <c r="NQ589" s="6"/>
      <c r="NR589" s="6"/>
      <c r="NS589" s="6"/>
      <c r="NT589" s="6"/>
      <c r="NU589" s="6"/>
      <c r="NV589" s="6"/>
    </row>
    <row r="590" spans="1:386" s="19" customFormat="1" ht="20.100000000000001" customHeight="1" x14ac:dyDescent="0.35">
      <c r="A590" s="1"/>
      <c r="B590" s="2"/>
      <c r="C590" s="3"/>
      <c r="D590" s="2"/>
      <c r="E590" s="2"/>
      <c r="F590" s="4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9"/>
      <c r="FL590" s="9"/>
      <c r="FM590" s="9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135"/>
      <c r="IK590" s="135"/>
      <c r="IL590" s="135"/>
      <c r="IN590" s="6"/>
      <c r="IO590" s="6"/>
      <c r="IP590" s="6"/>
      <c r="IQ590" s="6"/>
      <c r="IR590" s="6"/>
      <c r="IS590" s="6"/>
      <c r="IT590" s="6"/>
      <c r="IU590" s="6"/>
      <c r="IV590" s="6"/>
      <c r="IW590" s="6"/>
      <c r="IX590" s="6"/>
      <c r="IY590" s="6"/>
      <c r="IZ590" s="6"/>
      <c r="JA590" s="6"/>
      <c r="JB590" s="6"/>
      <c r="JC590" s="6"/>
      <c r="JD590" s="6"/>
      <c r="JE590" s="6"/>
      <c r="JF590" s="6"/>
      <c r="JG590" s="6"/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6"/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6"/>
      <c r="KZ590" s="6"/>
      <c r="LA590" s="6"/>
      <c r="LB590" s="6"/>
      <c r="LC590" s="6"/>
      <c r="LD590" s="6"/>
      <c r="LE590" s="6"/>
      <c r="LF590" s="6"/>
      <c r="LG590" s="6"/>
      <c r="LH590" s="6"/>
      <c r="LI590" s="6"/>
      <c r="LJ590" s="6"/>
      <c r="LK590" s="6"/>
      <c r="LL590" s="6"/>
      <c r="LM590" s="6"/>
      <c r="LN590" s="6"/>
      <c r="LO590" s="6"/>
      <c r="LP590" s="6"/>
      <c r="LQ590" s="6"/>
      <c r="LR590" s="6"/>
      <c r="LS590" s="6"/>
      <c r="LT590" s="6"/>
      <c r="LU590" s="6"/>
      <c r="LV590" s="6"/>
      <c r="LW590" s="6"/>
      <c r="LX590" s="6"/>
      <c r="LY590" s="6"/>
      <c r="LZ590" s="6"/>
      <c r="MA590" s="6"/>
      <c r="MB590" s="6"/>
      <c r="MC590" s="6"/>
      <c r="MD590" s="6"/>
      <c r="ME590" s="6"/>
      <c r="MF590" s="6"/>
      <c r="MG590" s="6"/>
      <c r="MH590" s="6"/>
      <c r="MI590" s="6"/>
      <c r="MJ590" s="6"/>
      <c r="MK590" s="6"/>
      <c r="ML590" s="6"/>
      <c r="MM590" s="6"/>
      <c r="MN590" s="6"/>
      <c r="MO590" s="6"/>
      <c r="MP590" s="6"/>
      <c r="MQ590" s="6"/>
      <c r="MR590" s="6"/>
      <c r="MS590" s="6"/>
      <c r="MT590" s="6"/>
      <c r="MU590" s="6"/>
      <c r="MV590" s="6"/>
      <c r="MW590" s="6"/>
      <c r="MX590" s="6"/>
      <c r="MY590" s="6"/>
      <c r="MZ590" s="6"/>
      <c r="NA590" s="6"/>
      <c r="NB590" s="6"/>
      <c r="NC590" s="6"/>
      <c r="ND590" s="6"/>
      <c r="NE590" s="6"/>
      <c r="NF590" s="6"/>
      <c r="NG590" s="6"/>
      <c r="NH590" s="6"/>
      <c r="NI590" s="6"/>
      <c r="NJ590" s="6"/>
      <c r="NK590" s="6"/>
      <c r="NL590" s="6"/>
      <c r="NM590" s="6"/>
      <c r="NN590" s="6"/>
      <c r="NO590" s="6"/>
      <c r="NP590" s="6"/>
      <c r="NQ590" s="6"/>
      <c r="NR590" s="6"/>
      <c r="NS590" s="6"/>
      <c r="NT590" s="6"/>
      <c r="NU590" s="6"/>
      <c r="NV590" s="6"/>
    </row>
    <row r="591" spans="1:386" s="19" customFormat="1" ht="20.100000000000001" customHeight="1" x14ac:dyDescent="0.35">
      <c r="A591" s="1"/>
      <c r="B591" s="2"/>
      <c r="C591" s="3"/>
      <c r="D591" s="2"/>
      <c r="E591" s="2"/>
      <c r="F591" s="4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9"/>
      <c r="FL591" s="9"/>
      <c r="FM591" s="9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135"/>
      <c r="IK591" s="135"/>
      <c r="IL591" s="135"/>
      <c r="IN591" s="6"/>
      <c r="IO591" s="6"/>
      <c r="IP591" s="6"/>
      <c r="IQ591" s="6"/>
      <c r="IR591" s="6"/>
      <c r="IS591" s="6"/>
      <c r="IT591" s="6"/>
      <c r="IU591" s="6"/>
      <c r="IV591" s="6"/>
      <c r="IW591" s="6"/>
      <c r="IX591" s="6"/>
      <c r="IY591" s="6"/>
      <c r="IZ591" s="6"/>
      <c r="JA591" s="6"/>
      <c r="JB591" s="6"/>
      <c r="JC591" s="6"/>
      <c r="JD591" s="6"/>
      <c r="JE591" s="6"/>
      <c r="JF591" s="6"/>
      <c r="JG591" s="6"/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6"/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6"/>
      <c r="KZ591" s="6"/>
      <c r="LA591" s="6"/>
      <c r="LB591" s="6"/>
      <c r="LC591" s="6"/>
      <c r="LD591" s="6"/>
      <c r="LE591" s="6"/>
      <c r="LF591" s="6"/>
      <c r="LG591" s="6"/>
      <c r="LH591" s="6"/>
      <c r="LI591" s="6"/>
      <c r="LJ591" s="6"/>
      <c r="LK591" s="6"/>
      <c r="LL591" s="6"/>
      <c r="LM591" s="6"/>
      <c r="LN591" s="6"/>
      <c r="LO591" s="6"/>
      <c r="LP591" s="6"/>
      <c r="LQ591" s="6"/>
      <c r="LR591" s="6"/>
      <c r="LS591" s="6"/>
      <c r="LT591" s="6"/>
      <c r="LU591" s="6"/>
      <c r="LV591" s="6"/>
      <c r="LW591" s="6"/>
      <c r="LX591" s="6"/>
      <c r="LY591" s="6"/>
      <c r="LZ591" s="6"/>
      <c r="MA591" s="6"/>
      <c r="MB591" s="6"/>
      <c r="MC591" s="6"/>
      <c r="MD591" s="6"/>
      <c r="ME591" s="6"/>
      <c r="MF591" s="6"/>
      <c r="MG591" s="6"/>
      <c r="MH591" s="6"/>
      <c r="MI591" s="6"/>
      <c r="MJ591" s="6"/>
      <c r="MK591" s="6"/>
      <c r="ML591" s="6"/>
      <c r="MM591" s="6"/>
      <c r="MN591" s="6"/>
      <c r="MO591" s="6"/>
      <c r="MP591" s="6"/>
      <c r="MQ591" s="6"/>
      <c r="MR591" s="6"/>
      <c r="MS591" s="6"/>
      <c r="MT591" s="6"/>
      <c r="MU591" s="6"/>
      <c r="MV591" s="6"/>
      <c r="MW591" s="6"/>
      <c r="MX591" s="6"/>
      <c r="MY591" s="6"/>
      <c r="MZ591" s="6"/>
      <c r="NA591" s="6"/>
      <c r="NB591" s="6"/>
      <c r="NC591" s="6"/>
      <c r="ND591" s="6"/>
      <c r="NE591" s="6"/>
      <c r="NF591" s="6"/>
      <c r="NG591" s="6"/>
      <c r="NH591" s="6"/>
      <c r="NI591" s="6"/>
      <c r="NJ591" s="6"/>
      <c r="NK591" s="6"/>
      <c r="NL591" s="6"/>
      <c r="NM591" s="6"/>
      <c r="NN591" s="6"/>
      <c r="NO591" s="6"/>
      <c r="NP591" s="6"/>
      <c r="NQ591" s="6"/>
      <c r="NR591" s="6"/>
      <c r="NS591" s="6"/>
      <c r="NT591" s="6"/>
      <c r="NU591" s="6"/>
      <c r="NV591" s="6"/>
    </row>
    <row r="592" spans="1:386" s="19" customFormat="1" ht="20.100000000000001" customHeight="1" x14ac:dyDescent="0.35">
      <c r="A592" s="1"/>
      <c r="B592" s="2"/>
      <c r="C592" s="3"/>
      <c r="D592" s="2"/>
      <c r="E592" s="2"/>
      <c r="F592" s="4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9"/>
      <c r="FL592" s="9"/>
      <c r="FM592" s="9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135"/>
      <c r="IK592" s="135"/>
      <c r="IL592" s="135"/>
      <c r="IN592" s="6"/>
      <c r="IO592" s="6"/>
      <c r="IP592" s="6"/>
      <c r="IQ592" s="6"/>
      <c r="IR592" s="6"/>
      <c r="IS592" s="6"/>
      <c r="IT592" s="6"/>
      <c r="IU592" s="6"/>
      <c r="IV592" s="6"/>
      <c r="IW592" s="6"/>
      <c r="IX592" s="6"/>
      <c r="IY592" s="6"/>
      <c r="IZ592" s="6"/>
      <c r="JA592" s="6"/>
      <c r="JB592" s="6"/>
      <c r="JC592" s="6"/>
      <c r="JD592" s="6"/>
      <c r="JE592" s="6"/>
      <c r="JF592" s="6"/>
      <c r="JG592" s="6"/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6"/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6"/>
      <c r="KZ592" s="6"/>
      <c r="LA592" s="6"/>
      <c r="LB592" s="6"/>
      <c r="LC592" s="6"/>
      <c r="LD592" s="6"/>
      <c r="LE592" s="6"/>
      <c r="LF592" s="6"/>
      <c r="LG592" s="6"/>
      <c r="LH592" s="6"/>
      <c r="LI592" s="6"/>
      <c r="LJ592" s="6"/>
      <c r="LK592" s="6"/>
      <c r="LL592" s="6"/>
      <c r="LM592" s="6"/>
      <c r="LN592" s="6"/>
      <c r="LO592" s="6"/>
      <c r="LP592" s="6"/>
      <c r="LQ592" s="6"/>
      <c r="LR592" s="6"/>
      <c r="LS592" s="6"/>
      <c r="LT592" s="6"/>
      <c r="LU592" s="6"/>
      <c r="LV592" s="6"/>
      <c r="LW592" s="6"/>
      <c r="LX592" s="6"/>
      <c r="LY592" s="6"/>
      <c r="LZ592" s="6"/>
      <c r="MA592" s="6"/>
      <c r="MB592" s="6"/>
      <c r="MC592" s="6"/>
      <c r="MD592" s="6"/>
      <c r="ME592" s="6"/>
      <c r="MF592" s="6"/>
      <c r="MG592" s="6"/>
      <c r="MH592" s="6"/>
      <c r="MI592" s="6"/>
      <c r="MJ592" s="6"/>
      <c r="MK592" s="6"/>
      <c r="ML592" s="6"/>
      <c r="MM592" s="6"/>
      <c r="MN592" s="6"/>
      <c r="MO592" s="6"/>
      <c r="MP592" s="6"/>
      <c r="MQ592" s="6"/>
      <c r="MR592" s="6"/>
      <c r="MS592" s="6"/>
      <c r="MT592" s="6"/>
      <c r="MU592" s="6"/>
      <c r="MV592" s="6"/>
      <c r="MW592" s="6"/>
      <c r="MX592" s="6"/>
      <c r="MY592" s="6"/>
      <c r="MZ592" s="6"/>
      <c r="NA592" s="6"/>
      <c r="NB592" s="6"/>
      <c r="NC592" s="6"/>
      <c r="ND592" s="6"/>
      <c r="NE592" s="6"/>
      <c r="NF592" s="6"/>
      <c r="NG592" s="6"/>
      <c r="NH592" s="6"/>
      <c r="NI592" s="6"/>
      <c r="NJ592" s="6"/>
      <c r="NK592" s="6"/>
      <c r="NL592" s="6"/>
      <c r="NM592" s="6"/>
      <c r="NN592" s="6"/>
      <c r="NO592" s="6"/>
      <c r="NP592" s="6"/>
      <c r="NQ592" s="6"/>
      <c r="NR592" s="6"/>
      <c r="NS592" s="6"/>
      <c r="NT592" s="6"/>
      <c r="NU592" s="6"/>
      <c r="NV592" s="6"/>
    </row>
    <row r="593" spans="1:386" s="19" customFormat="1" ht="20.100000000000001" customHeight="1" x14ac:dyDescent="0.35">
      <c r="A593" s="1"/>
      <c r="B593" s="2"/>
      <c r="C593" s="3"/>
      <c r="D593" s="2"/>
      <c r="E593" s="2"/>
      <c r="F593" s="4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9"/>
      <c r="FL593" s="9"/>
      <c r="FM593" s="9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135"/>
      <c r="IK593" s="135"/>
      <c r="IL593" s="135"/>
      <c r="IN593" s="6"/>
      <c r="IO593" s="6"/>
      <c r="IP593" s="6"/>
      <c r="IQ593" s="6"/>
      <c r="IR593" s="6"/>
      <c r="IS593" s="6"/>
      <c r="IT593" s="6"/>
      <c r="IU593" s="6"/>
      <c r="IV593" s="6"/>
      <c r="IW593" s="6"/>
      <c r="IX593" s="6"/>
      <c r="IY593" s="6"/>
      <c r="IZ593" s="6"/>
      <c r="JA593" s="6"/>
      <c r="JB593" s="6"/>
      <c r="JC593" s="6"/>
      <c r="JD593" s="6"/>
      <c r="JE593" s="6"/>
      <c r="JF593" s="6"/>
      <c r="JG593" s="6"/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6"/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6"/>
      <c r="KZ593" s="6"/>
      <c r="LA593" s="6"/>
      <c r="LB593" s="6"/>
      <c r="LC593" s="6"/>
      <c r="LD593" s="6"/>
      <c r="LE593" s="6"/>
      <c r="LF593" s="6"/>
      <c r="LG593" s="6"/>
      <c r="LH593" s="6"/>
      <c r="LI593" s="6"/>
      <c r="LJ593" s="6"/>
      <c r="LK593" s="6"/>
      <c r="LL593" s="6"/>
      <c r="LM593" s="6"/>
      <c r="LN593" s="6"/>
      <c r="LO593" s="6"/>
      <c r="LP593" s="6"/>
      <c r="LQ593" s="6"/>
      <c r="LR593" s="6"/>
      <c r="LS593" s="6"/>
      <c r="LT593" s="6"/>
      <c r="LU593" s="6"/>
      <c r="LV593" s="6"/>
      <c r="LW593" s="6"/>
      <c r="LX593" s="6"/>
      <c r="LY593" s="6"/>
      <c r="LZ593" s="6"/>
      <c r="MA593" s="6"/>
      <c r="MB593" s="6"/>
      <c r="MC593" s="6"/>
      <c r="MD593" s="6"/>
      <c r="ME593" s="6"/>
      <c r="MF593" s="6"/>
      <c r="MG593" s="6"/>
      <c r="MH593" s="6"/>
      <c r="MI593" s="6"/>
      <c r="MJ593" s="6"/>
      <c r="MK593" s="6"/>
      <c r="ML593" s="6"/>
      <c r="MM593" s="6"/>
      <c r="MN593" s="6"/>
      <c r="MO593" s="6"/>
      <c r="MP593" s="6"/>
      <c r="MQ593" s="6"/>
      <c r="MR593" s="6"/>
      <c r="MS593" s="6"/>
      <c r="MT593" s="6"/>
      <c r="MU593" s="6"/>
      <c r="MV593" s="6"/>
      <c r="MW593" s="6"/>
      <c r="MX593" s="6"/>
      <c r="MY593" s="6"/>
      <c r="MZ593" s="6"/>
      <c r="NA593" s="6"/>
      <c r="NB593" s="6"/>
      <c r="NC593" s="6"/>
      <c r="ND593" s="6"/>
      <c r="NE593" s="6"/>
      <c r="NF593" s="6"/>
      <c r="NG593" s="6"/>
      <c r="NH593" s="6"/>
      <c r="NI593" s="6"/>
      <c r="NJ593" s="6"/>
      <c r="NK593" s="6"/>
      <c r="NL593" s="6"/>
      <c r="NM593" s="6"/>
      <c r="NN593" s="6"/>
      <c r="NO593" s="6"/>
      <c r="NP593" s="6"/>
      <c r="NQ593" s="6"/>
      <c r="NR593" s="6"/>
      <c r="NS593" s="6"/>
      <c r="NT593" s="6"/>
      <c r="NU593" s="6"/>
      <c r="NV593" s="6"/>
    </row>
    <row r="594" spans="1:386" s="19" customFormat="1" ht="20.100000000000001" customHeight="1" x14ac:dyDescent="0.35">
      <c r="A594" s="1"/>
      <c r="B594" s="2"/>
      <c r="C594" s="3"/>
      <c r="D594" s="2"/>
      <c r="E594" s="2"/>
      <c r="F594" s="4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9"/>
      <c r="FL594" s="9"/>
      <c r="FM594" s="9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135"/>
      <c r="IK594" s="135"/>
      <c r="IL594" s="135"/>
      <c r="IN594" s="6"/>
      <c r="IO594" s="6"/>
      <c r="IP594" s="6"/>
      <c r="IQ594" s="6"/>
      <c r="IR594" s="6"/>
      <c r="IS594" s="6"/>
      <c r="IT594" s="6"/>
      <c r="IU594" s="6"/>
      <c r="IV594" s="6"/>
      <c r="IW594" s="6"/>
      <c r="IX594" s="6"/>
      <c r="IY594" s="6"/>
      <c r="IZ594" s="6"/>
      <c r="JA594" s="6"/>
      <c r="JB594" s="6"/>
      <c r="JC594" s="6"/>
      <c r="JD594" s="6"/>
      <c r="JE594" s="6"/>
      <c r="JF594" s="6"/>
      <c r="JG594" s="6"/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6"/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6"/>
      <c r="KZ594" s="6"/>
      <c r="LA594" s="6"/>
      <c r="LB594" s="6"/>
      <c r="LC594" s="6"/>
      <c r="LD594" s="6"/>
      <c r="LE594" s="6"/>
      <c r="LF594" s="6"/>
      <c r="LG594" s="6"/>
      <c r="LH594" s="6"/>
      <c r="LI594" s="6"/>
      <c r="LJ594" s="6"/>
      <c r="LK594" s="6"/>
      <c r="LL594" s="6"/>
      <c r="LM594" s="6"/>
      <c r="LN594" s="6"/>
      <c r="LO594" s="6"/>
      <c r="LP594" s="6"/>
      <c r="LQ594" s="6"/>
      <c r="LR594" s="6"/>
      <c r="LS594" s="6"/>
      <c r="LT594" s="6"/>
      <c r="LU594" s="6"/>
      <c r="LV594" s="6"/>
      <c r="LW594" s="6"/>
      <c r="LX594" s="6"/>
      <c r="LY594" s="6"/>
      <c r="LZ594" s="6"/>
      <c r="MA594" s="6"/>
      <c r="MB594" s="6"/>
      <c r="MC594" s="6"/>
      <c r="MD594" s="6"/>
      <c r="ME594" s="6"/>
      <c r="MF594" s="6"/>
      <c r="MG594" s="6"/>
      <c r="MH594" s="6"/>
      <c r="MI594" s="6"/>
      <c r="MJ594" s="6"/>
      <c r="MK594" s="6"/>
      <c r="ML594" s="6"/>
      <c r="MM594" s="6"/>
      <c r="MN594" s="6"/>
      <c r="MO594" s="6"/>
      <c r="MP594" s="6"/>
      <c r="MQ594" s="6"/>
      <c r="MR594" s="6"/>
      <c r="MS594" s="6"/>
      <c r="MT594" s="6"/>
      <c r="MU594" s="6"/>
      <c r="MV594" s="6"/>
      <c r="MW594" s="6"/>
      <c r="MX594" s="6"/>
      <c r="MY594" s="6"/>
      <c r="MZ594" s="6"/>
      <c r="NA594" s="6"/>
      <c r="NB594" s="6"/>
      <c r="NC594" s="6"/>
      <c r="ND594" s="6"/>
      <c r="NE594" s="6"/>
      <c r="NF594" s="6"/>
      <c r="NG594" s="6"/>
      <c r="NH594" s="6"/>
      <c r="NI594" s="6"/>
      <c r="NJ594" s="6"/>
      <c r="NK594" s="6"/>
      <c r="NL594" s="6"/>
      <c r="NM594" s="6"/>
      <c r="NN594" s="6"/>
      <c r="NO594" s="6"/>
      <c r="NP594" s="6"/>
      <c r="NQ594" s="6"/>
      <c r="NR594" s="6"/>
      <c r="NS594" s="6"/>
      <c r="NT594" s="6"/>
      <c r="NU594" s="6"/>
      <c r="NV594" s="6"/>
    </row>
    <row r="595" spans="1:386" s="19" customFormat="1" ht="20.100000000000001" customHeight="1" x14ac:dyDescent="0.35">
      <c r="A595" s="1"/>
      <c r="B595" s="2"/>
      <c r="C595" s="3"/>
      <c r="D595" s="2"/>
      <c r="E595" s="2"/>
      <c r="F595" s="4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9"/>
      <c r="FL595" s="9"/>
      <c r="FM595" s="9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135"/>
      <c r="IK595" s="135"/>
      <c r="IL595" s="135"/>
      <c r="IN595" s="6"/>
      <c r="IO595" s="6"/>
      <c r="IP595" s="6"/>
      <c r="IQ595" s="6"/>
      <c r="IR595" s="6"/>
      <c r="IS595" s="6"/>
      <c r="IT595" s="6"/>
      <c r="IU595" s="6"/>
      <c r="IV595" s="6"/>
      <c r="IW595" s="6"/>
      <c r="IX595" s="6"/>
      <c r="IY595" s="6"/>
      <c r="IZ595" s="6"/>
      <c r="JA595" s="6"/>
      <c r="JB595" s="6"/>
      <c r="JC595" s="6"/>
      <c r="JD595" s="6"/>
      <c r="JE595" s="6"/>
      <c r="JF595" s="6"/>
      <c r="JG595" s="6"/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6"/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6"/>
      <c r="KZ595" s="6"/>
      <c r="LA595" s="6"/>
      <c r="LB595" s="6"/>
      <c r="LC595" s="6"/>
      <c r="LD595" s="6"/>
      <c r="LE595" s="6"/>
      <c r="LF595" s="6"/>
      <c r="LG595" s="6"/>
      <c r="LH595" s="6"/>
      <c r="LI595" s="6"/>
      <c r="LJ595" s="6"/>
      <c r="LK595" s="6"/>
      <c r="LL595" s="6"/>
      <c r="LM595" s="6"/>
      <c r="LN595" s="6"/>
      <c r="LO595" s="6"/>
      <c r="LP595" s="6"/>
      <c r="LQ595" s="6"/>
      <c r="LR595" s="6"/>
      <c r="LS595" s="6"/>
      <c r="LT595" s="6"/>
      <c r="LU595" s="6"/>
      <c r="LV595" s="6"/>
      <c r="LW595" s="6"/>
      <c r="LX595" s="6"/>
      <c r="LY595" s="6"/>
      <c r="LZ595" s="6"/>
      <c r="MA595" s="6"/>
      <c r="MB595" s="6"/>
      <c r="MC595" s="6"/>
      <c r="MD595" s="6"/>
      <c r="ME595" s="6"/>
      <c r="MF595" s="6"/>
      <c r="MG595" s="6"/>
      <c r="MH595" s="6"/>
      <c r="MI595" s="6"/>
      <c r="MJ595" s="6"/>
      <c r="MK595" s="6"/>
      <c r="ML595" s="6"/>
      <c r="MM595" s="6"/>
      <c r="MN595" s="6"/>
      <c r="MO595" s="6"/>
      <c r="MP595" s="6"/>
      <c r="MQ595" s="6"/>
      <c r="MR595" s="6"/>
      <c r="MS595" s="6"/>
      <c r="MT595" s="6"/>
      <c r="MU595" s="6"/>
      <c r="MV595" s="6"/>
      <c r="MW595" s="6"/>
      <c r="MX595" s="6"/>
      <c r="MY595" s="6"/>
      <c r="MZ595" s="6"/>
      <c r="NA595" s="6"/>
      <c r="NB595" s="6"/>
      <c r="NC595" s="6"/>
      <c r="ND595" s="6"/>
      <c r="NE595" s="6"/>
      <c r="NF595" s="6"/>
      <c r="NG595" s="6"/>
      <c r="NH595" s="6"/>
      <c r="NI595" s="6"/>
      <c r="NJ595" s="6"/>
      <c r="NK595" s="6"/>
      <c r="NL595" s="6"/>
      <c r="NM595" s="6"/>
      <c r="NN595" s="6"/>
      <c r="NO595" s="6"/>
      <c r="NP595" s="6"/>
      <c r="NQ595" s="6"/>
      <c r="NR595" s="6"/>
      <c r="NS595" s="6"/>
      <c r="NT595" s="6"/>
      <c r="NU595" s="6"/>
      <c r="NV595" s="6"/>
    </row>
    <row r="596" spans="1:386" s="19" customFormat="1" ht="20.100000000000001" customHeight="1" x14ac:dyDescent="0.35">
      <c r="A596" s="1"/>
      <c r="B596" s="2"/>
      <c r="C596" s="3"/>
      <c r="D596" s="2"/>
      <c r="E596" s="2"/>
      <c r="F596" s="4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9"/>
      <c r="FL596" s="9"/>
      <c r="FM596" s="9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135"/>
      <c r="IK596" s="135"/>
      <c r="IL596" s="135"/>
      <c r="IN596" s="6"/>
      <c r="IO596" s="6"/>
      <c r="IP596" s="6"/>
      <c r="IQ596" s="6"/>
      <c r="IR596" s="6"/>
      <c r="IS596" s="6"/>
      <c r="IT596" s="6"/>
      <c r="IU596" s="6"/>
      <c r="IV596" s="6"/>
      <c r="IW596" s="6"/>
      <c r="IX596" s="6"/>
      <c r="IY596" s="6"/>
      <c r="IZ596" s="6"/>
      <c r="JA596" s="6"/>
      <c r="JB596" s="6"/>
      <c r="JC596" s="6"/>
      <c r="JD596" s="6"/>
      <c r="JE596" s="6"/>
      <c r="JF596" s="6"/>
      <c r="JG596" s="6"/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6"/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6"/>
      <c r="KZ596" s="6"/>
      <c r="LA596" s="6"/>
      <c r="LB596" s="6"/>
      <c r="LC596" s="6"/>
      <c r="LD596" s="6"/>
      <c r="LE596" s="6"/>
      <c r="LF596" s="6"/>
      <c r="LG596" s="6"/>
      <c r="LH596" s="6"/>
      <c r="LI596" s="6"/>
      <c r="LJ596" s="6"/>
      <c r="LK596" s="6"/>
      <c r="LL596" s="6"/>
      <c r="LM596" s="6"/>
      <c r="LN596" s="6"/>
      <c r="LO596" s="6"/>
      <c r="LP596" s="6"/>
      <c r="LQ596" s="6"/>
      <c r="LR596" s="6"/>
      <c r="LS596" s="6"/>
      <c r="LT596" s="6"/>
      <c r="LU596" s="6"/>
      <c r="LV596" s="6"/>
      <c r="LW596" s="6"/>
      <c r="LX596" s="6"/>
      <c r="LY596" s="6"/>
      <c r="LZ596" s="6"/>
      <c r="MA596" s="6"/>
      <c r="MB596" s="6"/>
      <c r="MC596" s="6"/>
      <c r="MD596" s="6"/>
      <c r="ME596" s="6"/>
      <c r="MF596" s="6"/>
      <c r="MG596" s="6"/>
      <c r="MH596" s="6"/>
      <c r="MI596" s="6"/>
      <c r="MJ596" s="6"/>
      <c r="MK596" s="6"/>
      <c r="ML596" s="6"/>
      <c r="MM596" s="6"/>
      <c r="MN596" s="6"/>
      <c r="MO596" s="6"/>
      <c r="MP596" s="6"/>
      <c r="MQ596" s="6"/>
      <c r="MR596" s="6"/>
      <c r="MS596" s="6"/>
      <c r="MT596" s="6"/>
      <c r="MU596" s="6"/>
      <c r="MV596" s="6"/>
      <c r="MW596" s="6"/>
      <c r="MX596" s="6"/>
      <c r="MY596" s="6"/>
      <c r="MZ596" s="6"/>
      <c r="NA596" s="6"/>
      <c r="NB596" s="6"/>
      <c r="NC596" s="6"/>
      <c r="ND596" s="6"/>
      <c r="NE596" s="6"/>
      <c r="NF596" s="6"/>
      <c r="NG596" s="6"/>
      <c r="NH596" s="6"/>
      <c r="NI596" s="6"/>
      <c r="NJ596" s="6"/>
      <c r="NK596" s="6"/>
      <c r="NL596" s="6"/>
      <c r="NM596" s="6"/>
      <c r="NN596" s="6"/>
      <c r="NO596" s="6"/>
      <c r="NP596" s="6"/>
      <c r="NQ596" s="6"/>
      <c r="NR596" s="6"/>
      <c r="NS596" s="6"/>
      <c r="NT596" s="6"/>
      <c r="NU596" s="6"/>
      <c r="NV596" s="6"/>
    </row>
    <row r="597" spans="1:386" s="19" customFormat="1" ht="20.100000000000001" customHeight="1" x14ac:dyDescent="0.35">
      <c r="A597" s="1"/>
      <c r="B597" s="2"/>
      <c r="C597" s="3"/>
      <c r="D597" s="2"/>
      <c r="E597" s="2"/>
      <c r="F597" s="4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9"/>
      <c r="FL597" s="9"/>
      <c r="FM597" s="9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135"/>
      <c r="IK597" s="135"/>
      <c r="IL597" s="135"/>
      <c r="IN597" s="6"/>
      <c r="IO597" s="6"/>
      <c r="IP597" s="6"/>
      <c r="IQ597" s="6"/>
      <c r="IR597" s="6"/>
      <c r="IS597" s="6"/>
      <c r="IT597" s="6"/>
      <c r="IU597" s="6"/>
      <c r="IV597" s="6"/>
      <c r="IW597" s="6"/>
      <c r="IX597" s="6"/>
      <c r="IY597" s="6"/>
      <c r="IZ597" s="6"/>
      <c r="JA597" s="6"/>
      <c r="JB597" s="6"/>
      <c r="JC597" s="6"/>
      <c r="JD597" s="6"/>
      <c r="JE597" s="6"/>
      <c r="JF597" s="6"/>
      <c r="JG597" s="6"/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6"/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6"/>
      <c r="KZ597" s="6"/>
      <c r="LA597" s="6"/>
      <c r="LB597" s="6"/>
      <c r="LC597" s="6"/>
      <c r="LD597" s="6"/>
      <c r="LE597" s="6"/>
      <c r="LF597" s="6"/>
      <c r="LG597" s="6"/>
      <c r="LH597" s="6"/>
      <c r="LI597" s="6"/>
      <c r="LJ597" s="6"/>
      <c r="LK597" s="6"/>
      <c r="LL597" s="6"/>
      <c r="LM597" s="6"/>
      <c r="LN597" s="6"/>
      <c r="LO597" s="6"/>
      <c r="LP597" s="6"/>
      <c r="LQ597" s="6"/>
      <c r="LR597" s="6"/>
      <c r="LS597" s="6"/>
      <c r="LT597" s="6"/>
      <c r="LU597" s="6"/>
      <c r="LV597" s="6"/>
      <c r="LW597" s="6"/>
      <c r="LX597" s="6"/>
      <c r="LY597" s="6"/>
      <c r="LZ597" s="6"/>
      <c r="MA597" s="6"/>
      <c r="MB597" s="6"/>
      <c r="MC597" s="6"/>
      <c r="MD597" s="6"/>
      <c r="ME597" s="6"/>
      <c r="MF597" s="6"/>
      <c r="MG597" s="6"/>
      <c r="MH597" s="6"/>
      <c r="MI597" s="6"/>
      <c r="MJ597" s="6"/>
      <c r="MK597" s="6"/>
      <c r="ML597" s="6"/>
      <c r="MM597" s="6"/>
      <c r="MN597" s="6"/>
      <c r="MO597" s="6"/>
      <c r="MP597" s="6"/>
      <c r="MQ597" s="6"/>
      <c r="MR597" s="6"/>
      <c r="MS597" s="6"/>
      <c r="MT597" s="6"/>
      <c r="MU597" s="6"/>
      <c r="MV597" s="6"/>
      <c r="MW597" s="6"/>
      <c r="MX597" s="6"/>
      <c r="MY597" s="6"/>
      <c r="MZ597" s="6"/>
      <c r="NA597" s="6"/>
      <c r="NB597" s="6"/>
      <c r="NC597" s="6"/>
      <c r="ND597" s="6"/>
      <c r="NE597" s="6"/>
      <c r="NF597" s="6"/>
      <c r="NG597" s="6"/>
      <c r="NH597" s="6"/>
      <c r="NI597" s="6"/>
      <c r="NJ597" s="6"/>
      <c r="NK597" s="6"/>
      <c r="NL597" s="6"/>
      <c r="NM597" s="6"/>
      <c r="NN597" s="6"/>
      <c r="NO597" s="6"/>
      <c r="NP597" s="6"/>
      <c r="NQ597" s="6"/>
      <c r="NR597" s="6"/>
      <c r="NS597" s="6"/>
      <c r="NT597" s="6"/>
      <c r="NU597" s="6"/>
      <c r="NV597" s="6"/>
    </row>
    <row r="598" spans="1:386" s="19" customFormat="1" ht="20.100000000000001" customHeight="1" x14ac:dyDescent="0.35">
      <c r="A598" s="1"/>
      <c r="B598" s="2"/>
      <c r="C598" s="3"/>
      <c r="D598" s="2"/>
      <c r="E598" s="2"/>
      <c r="F598" s="4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9"/>
      <c r="FL598" s="9"/>
      <c r="FM598" s="9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135"/>
      <c r="IK598" s="135"/>
      <c r="IL598" s="135"/>
      <c r="IN598" s="6"/>
      <c r="IO598" s="6"/>
      <c r="IP598" s="6"/>
      <c r="IQ598" s="6"/>
      <c r="IR598" s="6"/>
      <c r="IS598" s="6"/>
      <c r="IT598" s="6"/>
      <c r="IU598" s="6"/>
      <c r="IV598" s="6"/>
      <c r="IW598" s="6"/>
      <c r="IX598" s="6"/>
      <c r="IY598" s="6"/>
      <c r="IZ598" s="6"/>
      <c r="JA598" s="6"/>
      <c r="JB598" s="6"/>
      <c r="JC598" s="6"/>
      <c r="JD598" s="6"/>
      <c r="JE598" s="6"/>
      <c r="JF598" s="6"/>
      <c r="JG598" s="6"/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6"/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6"/>
      <c r="KZ598" s="6"/>
      <c r="LA598" s="6"/>
      <c r="LB598" s="6"/>
      <c r="LC598" s="6"/>
      <c r="LD598" s="6"/>
      <c r="LE598" s="6"/>
      <c r="LF598" s="6"/>
      <c r="LG598" s="6"/>
      <c r="LH598" s="6"/>
      <c r="LI598" s="6"/>
      <c r="LJ598" s="6"/>
      <c r="LK598" s="6"/>
      <c r="LL598" s="6"/>
      <c r="LM598" s="6"/>
      <c r="LN598" s="6"/>
      <c r="LO598" s="6"/>
      <c r="LP598" s="6"/>
      <c r="LQ598" s="6"/>
      <c r="LR598" s="6"/>
      <c r="LS598" s="6"/>
      <c r="LT598" s="6"/>
      <c r="LU598" s="6"/>
      <c r="LV598" s="6"/>
      <c r="LW598" s="6"/>
      <c r="LX598" s="6"/>
      <c r="LY598" s="6"/>
      <c r="LZ598" s="6"/>
      <c r="MA598" s="6"/>
      <c r="MB598" s="6"/>
      <c r="MC598" s="6"/>
      <c r="MD598" s="6"/>
      <c r="ME598" s="6"/>
      <c r="MF598" s="6"/>
      <c r="MG598" s="6"/>
      <c r="MH598" s="6"/>
      <c r="MI598" s="6"/>
      <c r="MJ598" s="6"/>
      <c r="MK598" s="6"/>
      <c r="ML598" s="6"/>
      <c r="MM598" s="6"/>
      <c r="MN598" s="6"/>
      <c r="MO598" s="6"/>
      <c r="MP598" s="6"/>
      <c r="MQ598" s="6"/>
      <c r="MR598" s="6"/>
      <c r="MS598" s="6"/>
      <c r="MT598" s="6"/>
      <c r="MU598" s="6"/>
      <c r="MV598" s="6"/>
      <c r="MW598" s="6"/>
      <c r="MX598" s="6"/>
      <c r="MY598" s="6"/>
      <c r="MZ598" s="6"/>
      <c r="NA598" s="6"/>
      <c r="NB598" s="6"/>
      <c r="NC598" s="6"/>
      <c r="ND598" s="6"/>
      <c r="NE598" s="6"/>
      <c r="NF598" s="6"/>
      <c r="NG598" s="6"/>
      <c r="NH598" s="6"/>
      <c r="NI598" s="6"/>
      <c r="NJ598" s="6"/>
      <c r="NK598" s="6"/>
      <c r="NL598" s="6"/>
      <c r="NM598" s="6"/>
      <c r="NN598" s="6"/>
      <c r="NO598" s="6"/>
      <c r="NP598" s="6"/>
      <c r="NQ598" s="6"/>
      <c r="NR598" s="6"/>
      <c r="NS598" s="6"/>
      <c r="NT598" s="6"/>
      <c r="NU598" s="6"/>
      <c r="NV598" s="6"/>
    </row>
    <row r="599" spans="1:386" s="19" customFormat="1" ht="20.100000000000001" customHeight="1" x14ac:dyDescent="0.35">
      <c r="A599" s="1"/>
      <c r="B599" s="2"/>
      <c r="C599" s="3"/>
      <c r="D599" s="2"/>
      <c r="E599" s="2"/>
      <c r="F599" s="4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9"/>
      <c r="FL599" s="9"/>
      <c r="FM599" s="9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135"/>
      <c r="IK599" s="135"/>
      <c r="IL599" s="135"/>
      <c r="IN599" s="6"/>
      <c r="IO599" s="6"/>
      <c r="IP599" s="6"/>
      <c r="IQ599" s="6"/>
      <c r="IR599" s="6"/>
      <c r="IS599" s="6"/>
      <c r="IT599" s="6"/>
      <c r="IU599" s="6"/>
      <c r="IV599" s="6"/>
      <c r="IW599" s="6"/>
      <c r="IX599" s="6"/>
      <c r="IY599" s="6"/>
      <c r="IZ599" s="6"/>
      <c r="JA599" s="6"/>
      <c r="JB599" s="6"/>
      <c r="JC599" s="6"/>
      <c r="JD599" s="6"/>
      <c r="JE599" s="6"/>
      <c r="JF599" s="6"/>
      <c r="JG599" s="6"/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6"/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6"/>
      <c r="KZ599" s="6"/>
      <c r="LA599" s="6"/>
      <c r="LB599" s="6"/>
      <c r="LC599" s="6"/>
      <c r="LD599" s="6"/>
      <c r="LE599" s="6"/>
      <c r="LF599" s="6"/>
      <c r="LG599" s="6"/>
      <c r="LH599" s="6"/>
      <c r="LI599" s="6"/>
      <c r="LJ599" s="6"/>
      <c r="LK599" s="6"/>
      <c r="LL599" s="6"/>
      <c r="LM599" s="6"/>
      <c r="LN599" s="6"/>
      <c r="LO599" s="6"/>
      <c r="LP599" s="6"/>
      <c r="LQ599" s="6"/>
      <c r="LR599" s="6"/>
      <c r="LS599" s="6"/>
      <c r="LT599" s="6"/>
      <c r="LU599" s="6"/>
      <c r="LV599" s="6"/>
      <c r="LW599" s="6"/>
      <c r="LX599" s="6"/>
      <c r="LY599" s="6"/>
      <c r="LZ599" s="6"/>
      <c r="MA599" s="6"/>
      <c r="MB599" s="6"/>
      <c r="MC599" s="6"/>
      <c r="MD599" s="6"/>
      <c r="ME599" s="6"/>
      <c r="MF599" s="6"/>
      <c r="MG599" s="6"/>
      <c r="MH599" s="6"/>
      <c r="MI599" s="6"/>
      <c r="MJ599" s="6"/>
      <c r="MK599" s="6"/>
      <c r="ML599" s="6"/>
      <c r="MM599" s="6"/>
      <c r="MN599" s="6"/>
      <c r="MO599" s="6"/>
      <c r="MP599" s="6"/>
      <c r="MQ599" s="6"/>
      <c r="MR599" s="6"/>
      <c r="MS599" s="6"/>
      <c r="MT599" s="6"/>
      <c r="MU599" s="6"/>
      <c r="MV599" s="6"/>
      <c r="MW599" s="6"/>
      <c r="MX599" s="6"/>
      <c r="MY599" s="6"/>
      <c r="MZ599" s="6"/>
      <c r="NA599" s="6"/>
      <c r="NB599" s="6"/>
      <c r="NC599" s="6"/>
      <c r="ND599" s="6"/>
      <c r="NE599" s="6"/>
      <c r="NF599" s="6"/>
      <c r="NG599" s="6"/>
      <c r="NH599" s="6"/>
      <c r="NI599" s="6"/>
      <c r="NJ599" s="6"/>
      <c r="NK599" s="6"/>
      <c r="NL599" s="6"/>
      <c r="NM599" s="6"/>
      <c r="NN599" s="6"/>
      <c r="NO599" s="6"/>
      <c r="NP599" s="6"/>
      <c r="NQ599" s="6"/>
      <c r="NR599" s="6"/>
      <c r="NS599" s="6"/>
      <c r="NT599" s="6"/>
      <c r="NU599" s="6"/>
      <c r="NV599" s="6"/>
    </row>
    <row r="600" spans="1:386" s="19" customFormat="1" ht="20.100000000000001" customHeight="1" x14ac:dyDescent="0.35">
      <c r="A600" s="1"/>
      <c r="B600" s="2"/>
      <c r="C600" s="3"/>
      <c r="D600" s="2"/>
      <c r="E600" s="2"/>
      <c r="F600" s="4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9"/>
      <c r="FL600" s="9"/>
      <c r="FM600" s="9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135"/>
      <c r="IK600" s="135"/>
      <c r="IL600" s="135"/>
      <c r="IN600" s="6"/>
      <c r="IO600" s="6"/>
      <c r="IP600" s="6"/>
      <c r="IQ600" s="6"/>
      <c r="IR600" s="6"/>
      <c r="IS600" s="6"/>
      <c r="IT600" s="6"/>
      <c r="IU600" s="6"/>
      <c r="IV600" s="6"/>
      <c r="IW600" s="6"/>
      <c r="IX600" s="6"/>
      <c r="IY600" s="6"/>
      <c r="IZ600" s="6"/>
      <c r="JA600" s="6"/>
      <c r="JB600" s="6"/>
      <c r="JC600" s="6"/>
      <c r="JD600" s="6"/>
      <c r="JE600" s="6"/>
      <c r="JF600" s="6"/>
      <c r="JG600" s="6"/>
      <c r="JH600" s="6"/>
      <c r="JI600" s="6"/>
      <c r="JJ600" s="6"/>
      <c r="JK600" s="6"/>
      <c r="JL600" s="6"/>
      <c r="JM600" s="6"/>
      <c r="JN600" s="6"/>
      <c r="JO600" s="6"/>
      <c r="JP600" s="6"/>
      <c r="JQ600" s="6"/>
      <c r="JR600" s="6"/>
      <c r="JS600" s="6"/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6"/>
      <c r="KZ600" s="6"/>
      <c r="LA600" s="6"/>
      <c r="LB600" s="6"/>
      <c r="LC600" s="6"/>
      <c r="LD600" s="6"/>
      <c r="LE600" s="6"/>
      <c r="LF600" s="6"/>
      <c r="LG600" s="6"/>
      <c r="LH600" s="6"/>
      <c r="LI600" s="6"/>
      <c r="LJ600" s="6"/>
      <c r="LK600" s="6"/>
      <c r="LL600" s="6"/>
      <c r="LM600" s="6"/>
      <c r="LN600" s="6"/>
      <c r="LO600" s="6"/>
      <c r="LP600" s="6"/>
      <c r="LQ600" s="6"/>
      <c r="LR600" s="6"/>
      <c r="LS600" s="6"/>
      <c r="LT600" s="6"/>
      <c r="LU600" s="6"/>
      <c r="LV600" s="6"/>
      <c r="LW600" s="6"/>
      <c r="LX600" s="6"/>
      <c r="LY600" s="6"/>
      <c r="LZ600" s="6"/>
      <c r="MA600" s="6"/>
      <c r="MB600" s="6"/>
      <c r="MC600" s="6"/>
      <c r="MD600" s="6"/>
      <c r="ME600" s="6"/>
      <c r="MF600" s="6"/>
      <c r="MG600" s="6"/>
      <c r="MH600" s="6"/>
      <c r="MI600" s="6"/>
      <c r="MJ600" s="6"/>
      <c r="MK600" s="6"/>
      <c r="ML600" s="6"/>
      <c r="MM600" s="6"/>
      <c r="MN600" s="6"/>
      <c r="MO600" s="6"/>
      <c r="MP600" s="6"/>
      <c r="MQ600" s="6"/>
      <c r="MR600" s="6"/>
      <c r="MS600" s="6"/>
      <c r="MT600" s="6"/>
      <c r="MU600" s="6"/>
      <c r="MV600" s="6"/>
      <c r="MW600" s="6"/>
      <c r="MX600" s="6"/>
      <c r="MY600" s="6"/>
      <c r="MZ600" s="6"/>
      <c r="NA600" s="6"/>
      <c r="NB600" s="6"/>
      <c r="NC600" s="6"/>
      <c r="ND600" s="6"/>
      <c r="NE600" s="6"/>
      <c r="NF600" s="6"/>
      <c r="NG600" s="6"/>
      <c r="NH600" s="6"/>
      <c r="NI600" s="6"/>
      <c r="NJ600" s="6"/>
      <c r="NK600" s="6"/>
      <c r="NL600" s="6"/>
      <c r="NM600" s="6"/>
      <c r="NN600" s="6"/>
      <c r="NO600" s="6"/>
      <c r="NP600" s="6"/>
      <c r="NQ600" s="6"/>
      <c r="NR600" s="6"/>
      <c r="NS600" s="6"/>
      <c r="NT600" s="6"/>
      <c r="NU600" s="6"/>
      <c r="NV600" s="6"/>
    </row>
    <row r="601" spans="1:386" s="19" customFormat="1" ht="20.100000000000001" customHeight="1" x14ac:dyDescent="0.35">
      <c r="A601" s="1"/>
      <c r="B601" s="2"/>
      <c r="C601" s="3"/>
      <c r="D601" s="2"/>
      <c r="E601" s="2"/>
      <c r="F601" s="4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9"/>
      <c r="FL601" s="9"/>
      <c r="FM601" s="9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135"/>
      <c r="IK601" s="135"/>
      <c r="IL601" s="135"/>
      <c r="IN601" s="6"/>
      <c r="IO601" s="6"/>
      <c r="IP601" s="6"/>
      <c r="IQ601" s="6"/>
      <c r="IR601" s="6"/>
      <c r="IS601" s="6"/>
      <c r="IT601" s="6"/>
      <c r="IU601" s="6"/>
      <c r="IV601" s="6"/>
      <c r="IW601" s="6"/>
      <c r="IX601" s="6"/>
      <c r="IY601" s="6"/>
      <c r="IZ601" s="6"/>
      <c r="JA601" s="6"/>
      <c r="JB601" s="6"/>
      <c r="JC601" s="6"/>
      <c r="JD601" s="6"/>
      <c r="JE601" s="6"/>
      <c r="JF601" s="6"/>
      <c r="JG601" s="6"/>
      <c r="JH601" s="6"/>
      <c r="JI601" s="6"/>
      <c r="JJ601" s="6"/>
      <c r="JK601" s="6"/>
      <c r="JL601" s="6"/>
      <c r="JM601" s="6"/>
      <c r="JN601" s="6"/>
      <c r="JO601" s="6"/>
      <c r="JP601" s="6"/>
      <c r="JQ601" s="6"/>
      <c r="JR601" s="6"/>
      <c r="JS601" s="6"/>
      <c r="JT601" s="6"/>
      <c r="JU601" s="6"/>
      <c r="JV601" s="6"/>
      <c r="JW601" s="6"/>
      <c r="JX601" s="6"/>
      <c r="JY601" s="6"/>
      <c r="JZ601" s="6"/>
      <c r="KA601" s="6"/>
      <c r="KB601" s="6"/>
      <c r="KC601" s="6"/>
      <c r="KD601" s="6"/>
      <c r="KE601" s="6"/>
      <c r="KF601" s="6"/>
      <c r="KG601" s="6"/>
      <c r="KH601" s="6"/>
      <c r="KI601" s="6"/>
      <c r="KJ601" s="6"/>
      <c r="KK601" s="6"/>
      <c r="KL601" s="6"/>
      <c r="KM601" s="6"/>
      <c r="KN601" s="6"/>
      <c r="KO601" s="6"/>
      <c r="KP601" s="6"/>
      <c r="KQ601" s="6"/>
      <c r="KR601" s="6"/>
      <c r="KS601" s="6"/>
      <c r="KT601" s="6"/>
      <c r="KU601" s="6"/>
      <c r="KV601" s="6"/>
      <c r="KW601" s="6"/>
      <c r="KX601" s="6"/>
      <c r="KY601" s="6"/>
      <c r="KZ601" s="6"/>
      <c r="LA601" s="6"/>
      <c r="LB601" s="6"/>
      <c r="LC601" s="6"/>
      <c r="LD601" s="6"/>
      <c r="LE601" s="6"/>
      <c r="LF601" s="6"/>
      <c r="LG601" s="6"/>
      <c r="LH601" s="6"/>
      <c r="LI601" s="6"/>
      <c r="LJ601" s="6"/>
      <c r="LK601" s="6"/>
      <c r="LL601" s="6"/>
      <c r="LM601" s="6"/>
      <c r="LN601" s="6"/>
      <c r="LO601" s="6"/>
      <c r="LP601" s="6"/>
      <c r="LQ601" s="6"/>
      <c r="LR601" s="6"/>
      <c r="LS601" s="6"/>
      <c r="LT601" s="6"/>
      <c r="LU601" s="6"/>
      <c r="LV601" s="6"/>
      <c r="LW601" s="6"/>
      <c r="LX601" s="6"/>
      <c r="LY601" s="6"/>
      <c r="LZ601" s="6"/>
      <c r="MA601" s="6"/>
      <c r="MB601" s="6"/>
      <c r="MC601" s="6"/>
      <c r="MD601" s="6"/>
      <c r="ME601" s="6"/>
      <c r="MF601" s="6"/>
      <c r="MG601" s="6"/>
      <c r="MH601" s="6"/>
      <c r="MI601" s="6"/>
      <c r="MJ601" s="6"/>
      <c r="MK601" s="6"/>
      <c r="ML601" s="6"/>
      <c r="MM601" s="6"/>
      <c r="MN601" s="6"/>
      <c r="MO601" s="6"/>
      <c r="MP601" s="6"/>
      <c r="MQ601" s="6"/>
      <c r="MR601" s="6"/>
      <c r="MS601" s="6"/>
      <c r="MT601" s="6"/>
      <c r="MU601" s="6"/>
      <c r="MV601" s="6"/>
      <c r="MW601" s="6"/>
      <c r="MX601" s="6"/>
      <c r="MY601" s="6"/>
      <c r="MZ601" s="6"/>
      <c r="NA601" s="6"/>
      <c r="NB601" s="6"/>
      <c r="NC601" s="6"/>
      <c r="ND601" s="6"/>
      <c r="NE601" s="6"/>
      <c r="NF601" s="6"/>
      <c r="NG601" s="6"/>
      <c r="NH601" s="6"/>
      <c r="NI601" s="6"/>
      <c r="NJ601" s="6"/>
      <c r="NK601" s="6"/>
      <c r="NL601" s="6"/>
      <c r="NM601" s="6"/>
      <c r="NN601" s="6"/>
      <c r="NO601" s="6"/>
      <c r="NP601" s="6"/>
      <c r="NQ601" s="6"/>
      <c r="NR601" s="6"/>
      <c r="NS601" s="6"/>
      <c r="NT601" s="6"/>
      <c r="NU601" s="6"/>
      <c r="NV601" s="6"/>
    </row>
    <row r="602" spans="1:386" s="19" customFormat="1" ht="20.100000000000001" customHeight="1" x14ac:dyDescent="0.35">
      <c r="A602" s="1"/>
      <c r="B602" s="2"/>
      <c r="C602" s="3"/>
      <c r="D602" s="2"/>
      <c r="E602" s="2"/>
      <c r="F602" s="4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9"/>
      <c r="FL602" s="9"/>
      <c r="FM602" s="9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135"/>
      <c r="IK602" s="135"/>
      <c r="IL602" s="135"/>
      <c r="IN602" s="6"/>
      <c r="IO602" s="6"/>
      <c r="IP602" s="6"/>
      <c r="IQ602" s="6"/>
      <c r="IR602" s="6"/>
      <c r="IS602" s="6"/>
      <c r="IT602" s="6"/>
      <c r="IU602" s="6"/>
      <c r="IV602" s="6"/>
      <c r="IW602" s="6"/>
      <c r="IX602" s="6"/>
      <c r="IY602" s="6"/>
      <c r="IZ602" s="6"/>
      <c r="JA602" s="6"/>
      <c r="JB602" s="6"/>
      <c r="JC602" s="6"/>
      <c r="JD602" s="6"/>
      <c r="JE602" s="6"/>
      <c r="JF602" s="6"/>
      <c r="JG602" s="6"/>
      <c r="JH602" s="6"/>
      <c r="JI602" s="6"/>
      <c r="JJ602" s="6"/>
      <c r="JK602" s="6"/>
      <c r="JL602" s="6"/>
      <c r="JM602" s="6"/>
      <c r="JN602" s="6"/>
      <c r="JO602" s="6"/>
      <c r="JP602" s="6"/>
      <c r="JQ602" s="6"/>
      <c r="JR602" s="6"/>
      <c r="JS602" s="6"/>
      <c r="JT602" s="6"/>
      <c r="JU602" s="6"/>
      <c r="JV602" s="6"/>
      <c r="JW602" s="6"/>
      <c r="JX602" s="6"/>
      <c r="JY602" s="6"/>
      <c r="JZ602" s="6"/>
      <c r="KA602" s="6"/>
      <c r="KB602" s="6"/>
      <c r="KC602" s="6"/>
      <c r="KD602" s="6"/>
      <c r="KE602" s="6"/>
      <c r="KF602" s="6"/>
      <c r="KG602" s="6"/>
      <c r="KH602" s="6"/>
      <c r="KI602" s="6"/>
      <c r="KJ602" s="6"/>
      <c r="KK602" s="6"/>
      <c r="KL602" s="6"/>
      <c r="KM602" s="6"/>
      <c r="KN602" s="6"/>
      <c r="KO602" s="6"/>
      <c r="KP602" s="6"/>
      <c r="KQ602" s="6"/>
      <c r="KR602" s="6"/>
      <c r="KS602" s="6"/>
      <c r="KT602" s="6"/>
      <c r="KU602" s="6"/>
      <c r="KV602" s="6"/>
      <c r="KW602" s="6"/>
      <c r="KX602" s="6"/>
      <c r="KY602" s="6"/>
      <c r="KZ602" s="6"/>
      <c r="LA602" s="6"/>
      <c r="LB602" s="6"/>
      <c r="LC602" s="6"/>
      <c r="LD602" s="6"/>
      <c r="LE602" s="6"/>
      <c r="LF602" s="6"/>
      <c r="LG602" s="6"/>
      <c r="LH602" s="6"/>
      <c r="LI602" s="6"/>
      <c r="LJ602" s="6"/>
      <c r="LK602" s="6"/>
      <c r="LL602" s="6"/>
      <c r="LM602" s="6"/>
      <c r="LN602" s="6"/>
      <c r="LO602" s="6"/>
      <c r="LP602" s="6"/>
      <c r="LQ602" s="6"/>
      <c r="LR602" s="6"/>
      <c r="LS602" s="6"/>
      <c r="LT602" s="6"/>
      <c r="LU602" s="6"/>
      <c r="LV602" s="6"/>
      <c r="LW602" s="6"/>
      <c r="LX602" s="6"/>
      <c r="LY602" s="6"/>
      <c r="LZ602" s="6"/>
      <c r="MA602" s="6"/>
      <c r="MB602" s="6"/>
      <c r="MC602" s="6"/>
      <c r="MD602" s="6"/>
      <c r="ME602" s="6"/>
      <c r="MF602" s="6"/>
      <c r="MG602" s="6"/>
      <c r="MH602" s="6"/>
      <c r="MI602" s="6"/>
      <c r="MJ602" s="6"/>
      <c r="MK602" s="6"/>
      <c r="ML602" s="6"/>
      <c r="MM602" s="6"/>
      <c r="MN602" s="6"/>
      <c r="MO602" s="6"/>
      <c r="MP602" s="6"/>
      <c r="MQ602" s="6"/>
      <c r="MR602" s="6"/>
      <c r="MS602" s="6"/>
      <c r="MT602" s="6"/>
      <c r="MU602" s="6"/>
      <c r="MV602" s="6"/>
      <c r="MW602" s="6"/>
      <c r="MX602" s="6"/>
      <c r="MY602" s="6"/>
      <c r="MZ602" s="6"/>
      <c r="NA602" s="6"/>
      <c r="NB602" s="6"/>
      <c r="NC602" s="6"/>
      <c r="ND602" s="6"/>
      <c r="NE602" s="6"/>
      <c r="NF602" s="6"/>
      <c r="NG602" s="6"/>
      <c r="NH602" s="6"/>
      <c r="NI602" s="6"/>
      <c r="NJ602" s="6"/>
      <c r="NK602" s="6"/>
      <c r="NL602" s="6"/>
      <c r="NM602" s="6"/>
      <c r="NN602" s="6"/>
      <c r="NO602" s="6"/>
      <c r="NP602" s="6"/>
      <c r="NQ602" s="6"/>
      <c r="NR602" s="6"/>
      <c r="NS602" s="6"/>
      <c r="NT602" s="6"/>
      <c r="NU602" s="6"/>
      <c r="NV602" s="6"/>
    </row>
    <row r="603" spans="1:386" s="19" customFormat="1" ht="20.100000000000001" customHeight="1" x14ac:dyDescent="0.35">
      <c r="A603" s="1"/>
      <c r="B603" s="2"/>
      <c r="C603" s="3"/>
      <c r="D603" s="2"/>
      <c r="E603" s="2"/>
      <c r="F603" s="4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9"/>
      <c r="FL603" s="9"/>
      <c r="FM603" s="9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135"/>
      <c r="IK603" s="135"/>
      <c r="IL603" s="135"/>
      <c r="IN603" s="6"/>
      <c r="IO603" s="6"/>
      <c r="IP603" s="6"/>
      <c r="IQ603" s="6"/>
      <c r="IR603" s="6"/>
      <c r="IS603" s="6"/>
      <c r="IT603" s="6"/>
      <c r="IU603" s="6"/>
      <c r="IV603" s="6"/>
      <c r="IW603" s="6"/>
      <c r="IX603" s="6"/>
      <c r="IY603" s="6"/>
      <c r="IZ603" s="6"/>
      <c r="JA603" s="6"/>
      <c r="JB603" s="6"/>
      <c r="JC603" s="6"/>
      <c r="JD603" s="6"/>
      <c r="JE603" s="6"/>
      <c r="JF603" s="6"/>
      <c r="JG603" s="6"/>
      <c r="JH603" s="6"/>
      <c r="JI603" s="6"/>
      <c r="JJ603" s="6"/>
      <c r="JK603" s="6"/>
      <c r="JL603" s="6"/>
      <c r="JM603" s="6"/>
      <c r="JN603" s="6"/>
      <c r="JO603" s="6"/>
      <c r="JP603" s="6"/>
      <c r="JQ603" s="6"/>
      <c r="JR603" s="6"/>
      <c r="JS603" s="6"/>
      <c r="JT603" s="6"/>
      <c r="JU603" s="6"/>
      <c r="JV603" s="6"/>
      <c r="JW603" s="6"/>
      <c r="JX603" s="6"/>
      <c r="JY603" s="6"/>
      <c r="JZ603" s="6"/>
      <c r="KA603" s="6"/>
      <c r="KB603" s="6"/>
      <c r="KC603" s="6"/>
      <c r="KD603" s="6"/>
      <c r="KE603" s="6"/>
      <c r="KF603" s="6"/>
      <c r="KG603" s="6"/>
      <c r="KH603" s="6"/>
      <c r="KI603" s="6"/>
      <c r="KJ603" s="6"/>
      <c r="KK603" s="6"/>
      <c r="KL603" s="6"/>
      <c r="KM603" s="6"/>
      <c r="KN603" s="6"/>
      <c r="KO603" s="6"/>
      <c r="KP603" s="6"/>
      <c r="KQ603" s="6"/>
      <c r="KR603" s="6"/>
      <c r="KS603" s="6"/>
      <c r="KT603" s="6"/>
      <c r="KU603" s="6"/>
      <c r="KV603" s="6"/>
      <c r="KW603" s="6"/>
      <c r="KX603" s="6"/>
      <c r="KY603" s="6"/>
      <c r="KZ603" s="6"/>
      <c r="LA603" s="6"/>
      <c r="LB603" s="6"/>
      <c r="LC603" s="6"/>
      <c r="LD603" s="6"/>
      <c r="LE603" s="6"/>
      <c r="LF603" s="6"/>
      <c r="LG603" s="6"/>
      <c r="LH603" s="6"/>
      <c r="LI603" s="6"/>
      <c r="LJ603" s="6"/>
      <c r="LK603" s="6"/>
      <c r="LL603" s="6"/>
      <c r="LM603" s="6"/>
      <c r="LN603" s="6"/>
      <c r="LO603" s="6"/>
      <c r="LP603" s="6"/>
      <c r="LQ603" s="6"/>
      <c r="LR603" s="6"/>
      <c r="LS603" s="6"/>
      <c r="LT603" s="6"/>
      <c r="LU603" s="6"/>
      <c r="LV603" s="6"/>
      <c r="LW603" s="6"/>
      <c r="LX603" s="6"/>
      <c r="LY603" s="6"/>
      <c r="LZ603" s="6"/>
      <c r="MA603" s="6"/>
      <c r="MB603" s="6"/>
      <c r="MC603" s="6"/>
      <c r="MD603" s="6"/>
      <c r="ME603" s="6"/>
      <c r="MF603" s="6"/>
      <c r="MG603" s="6"/>
      <c r="MH603" s="6"/>
      <c r="MI603" s="6"/>
      <c r="MJ603" s="6"/>
      <c r="MK603" s="6"/>
      <c r="ML603" s="6"/>
      <c r="MM603" s="6"/>
      <c r="MN603" s="6"/>
      <c r="MO603" s="6"/>
      <c r="MP603" s="6"/>
      <c r="MQ603" s="6"/>
      <c r="MR603" s="6"/>
      <c r="MS603" s="6"/>
      <c r="MT603" s="6"/>
      <c r="MU603" s="6"/>
      <c r="MV603" s="6"/>
      <c r="MW603" s="6"/>
      <c r="MX603" s="6"/>
      <c r="MY603" s="6"/>
      <c r="MZ603" s="6"/>
      <c r="NA603" s="6"/>
      <c r="NB603" s="6"/>
      <c r="NC603" s="6"/>
      <c r="ND603" s="6"/>
      <c r="NE603" s="6"/>
      <c r="NF603" s="6"/>
      <c r="NG603" s="6"/>
      <c r="NH603" s="6"/>
      <c r="NI603" s="6"/>
      <c r="NJ603" s="6"/>
      <c r="NK603" s="6"/>
      <c r="NL603" s="6"/>
      <c r="NM603" s="6"/>
      <c r="NN603" s="6"/>
      <c r="NO603" s="6"/>
      <c r="NP603" s="6"/>
      <c r="NQ603" s="6"/>
      <c r="NR603" s="6"/>
      <c r="NS603" s="6"/>
      <c r="NT603" s="6"/>
      <c r="NU603" s="6"/>
      <c r="NV603" s="6"/>
    </row>
    <row r="604" spans="1:386" s="19" customFormat="1" ht="20.100000000000001" customHeight="1" x14ac:dyDescent="0.35">
      <c r="A604" s="1"/>
      <c r="B604" s="2"/>
      <c r="C604" s="3"/>
      <c r="D604" s="2"/>
      <c r="E604" s="2"/>
      <c r="F604" s="4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9"/>
      <c r="FL604" s="9"/>
      <c r="FM604" s="9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135"/>
      <c r="IK604" s="135"/>
      <c r="IL604" s="135"/>
      <c r="IN604" s="6"/>
      <c r="IO604" s="6"/>
      <c r="IP604" s="6"/>
      <c r="IQ604" s="6"/>
      <c r="IR604" s="6"/>
      <c r="IS604" s="6"/>
      <c r="IT604" s="6"/>
      <c r="IU604" s="6"/>
      <c r="IV604" s="6"/>
      <c r="IW604" s="6"/>
      <c r="IX604" s="6"/>
      <c r="IY604" s="6"/>
      <c r="IZ604" s="6"/>
      <c r="JA604" s="6"/>
      <c r="JB604" s="6"/>
      <c r="JC604" s="6"/>
      <c r="JD604" s="6"/>
      <c r="JE604" s="6"/>
      <c r="JF604" s="6"/>
      <c r="JG604" s="6"/>
      <c r="JH604" s="6"/>
      <c r="JI604" s="6"/>
      <c r="JJ604" s="6"/>
      <c r="JK604" s="6"/>
      <c r="JL604" s="6"/>
      <c r="JM604" s="6"/>
      <c r="JN604" s="6"/>
      <c r="JO604" s="6"/>
      <c r="JP604" s="6"/>
      <c r="JQ604" s="6"/>
      <c r="JR604" s="6"/>
      <c r="JS604" s="6"/>
      <c r="JT604" s="6"/>
      <c r="JU604" s="6"/>
      <c r="JV604" s="6"/>
      <c r="JW604" s="6"/>
      <c r="JX604" s="6"/>
      <c r="JY604" s="6"/>
      <c r="JZ604" s="6"/>
      <c r="KA604" s="6"/>
      <c r="KB604" s="6"/>
      <c r="KC604" s="6"/>
      <c r="KD604" s="6"/>
      <c r="KE604" s="6"/>
      <c r="KF604" s="6"/>
      <c r="KG604" s="6"/>
      <c r="KH604" s="6"/>
      <c r="KI604" s="6"/>
      <c r="KJ604" s="6"/>
      <c r="KK604" s="6"/>
      <c r="KL604" s="6"/>
      <c r="KM604" s="6"/>
      <c r="KN604" s="6"/>
      <c r="KO604" s="6"/>
      <c r="KP604" s="6"/>
      <c r="KQ604" s="6"/>
      <c r="KR604" s="6"/>
      <c r="KS604" s="6"/>
      <c r="KT604" s="6"/>
      <c r="KU604" s="6"/>
      <c r="KV604" s="6"/>
      <c r="KW604" s="6"/>
      <c r="KX604" s="6"/>
      <c r="KY604" s="6"/>
      <c r="KZ604" s="6"/>
      <c r="LA604" s="6"/>
      <c r="LB604" s="6"/>
      <c r="LC604" s="6"/>
      <c r="LD604" s="6"/>
      <c r="LE604" s="6"/>
      <c r="LF604" s="6"/>
      <c r="LG604" s="6"/>
      <c r="LH604" s="6"/>
      <c r="LI604" s="6"/>
      <c r="LJ604" s="6"/>
      <c r="LK604" s="6"/>
      <c r="LL604" s="6"/>
      <c r="LM604" s="6"/>
      <c r="LN604" s="6"/>
      <c r="LO604" s="6"/>
      <c r="LP604" s="6"/>
      <c r="LQ604" s="6"/>
      <c r="LR604" s="6"/>
      <c r="LS604" s="6"/>
      <c r="LT604" s="6"/>
      <c r="LU604" s="6"/>
      <c r="LV604" s="6"/>
      <c r="LW604" s="6"/>
      <c r="LX604" s="6"/>
      <c r="LY604" s="6"/>
      <c r="LZ604" s="6"/>
      <c r="MA604" s="6"/>
      <c r="MB604" s="6"/>
      <c r="MC604" s="6"/>
      <c r="MD604" s="6"/>
      <c r="ME604" s="6"/>
      <c r="MF604" s="6"/>
      <c r="MG604" s="6"/>
      <c r="MH604" s="6"/>
      <c r="MI604" s="6"/>
      <c r="MJ604" s="6"/>
      <c r="MK604" s="6"/>
      <c r="ML604" s="6"/>
      <c r="MM604" s="6"/>
      <c r="MN604" s="6"/>
      <c r="MO604" s="6"/>
      <c r="MP604" s="6"/>
      <c r="MQ604" s="6"/>
      <c r="MR604" s="6"/>
      <c r="MS604" s="6"/>
      <c r="MT604" s="6"/>
      <c r="MU604" s="6"/>
      <c r="MV604" s="6"/>
      <c r="MW604" s="6"/>
      <c r="MX604" s="6"/>
      <c r="MY604" s="6"/>
      <c r="MZ604" s="6"/>
      <c r="NA604" s="6"/>
      <c r="NB604" s="6"/>
      <c r="NC604" s="6"/>
      <c r="ND604" s="6"/>
      <c r="NE604" s="6"/>
      <c r="NF604" s="6"/>
      <c r="NG604" s="6"/>
      <c r="NH604" s="6"/>
      <c r="NI604" s="6"/>
      <c r="NJ604" s="6"/>
      <c r="NK604" s="6"/>
      <c r="NL604" s="6"/>
      <c r="NM604" s="6"/>
      <c r="NN604" s="6"/>
      <c r="NO604" s="6"/>
      <c r="NP604" s="6"/>
      <c r="NQ604" s="6"/>
      <c r="NR604" s="6"/>
      <c r="NS604" s="6"/>
      <c r="NT604" s="6"/>
      <c r="NU604" s="6"/>
      <c r="NV604" s="6"/>
    </row>
    <row r="605" spans="1:386" s="19" customFormat="1" ht="20.100000000000001" customHeight="1" x14ac:dyDescent="0.35">
      <c r="A605" s="1"/>
      <c r="B605" s="2"/>
      <c r="C605" s="3"/>
      <c r="D605" s="2"/>
      <c r="E605" s="2"/>
      <c r="F605" s="4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9"/>
      <c r="FL605" s="9"/>
      <c r="FM605" s="9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135"/>
      <c r="IK605" s="135"/>
      <c r="IL605" s="135"/>
      <c r="IN605" s="6"/>
      <c r="IO605" s="6"/>
      <c r="IP605" s="6"/>
      <c r="IQ605" s="6"/>
      <c r="IR605" s="6"/>
      <c r="IS605" s="6"/>
      <c r="IT605" s="6"/>
      <c r="IU605" s="6"/>
      <c r="IV605" s="6"/>
      <c r="IW605" s="6"/>
      <c r="IX605" s="6"/>
      <c r="IY605" s="6"/>
      <c r="IZ605" s="6"/>
      <c r="JA605" s="6"/>
      <c r="JB605" s="6"/>
      <c r="JC605" s="6"/>
      <c r="JD605" s="6"/>
      <c r="JE605" s="6"/>
      <c r="JF605" s="6"/>
      <c r="JG605" s="6"/>
      <c r="JH605" s="6"/>
      <c r="JI605" s="6"/>
      <c r="JJ605" s="6"/>
      <c r="JK605" s="6"/>
      <c r="JL605" s="6"/>
      <c r="JM605" s="6"/>
      <c r="JN605" s="6"/>
      <c r="JO605" s="6"/>
      <c r="JP605" s="6"/>
      <c r="JQ605" s="6"/>
      <c r="JR605" s="6"/>
      <c r="JS605" s="6"/>
      <c r="JT605" s="6"/>
      <c r="JU605" s="6"/>
      <c r="JV605" s="6"/>
      <c r="JW605" s="6"/>
      <c r="JX605" s="6"/>
      <c r="JY605" s="6"/>
      <c r="JZ605" s="6"/>
      <c r="KA605" s="6"/>
      <c r="KB605" s="6"/>
      <c r="KC605" s="6"/>
      <c r="KD605" s="6"/>
      <c r="KE605" s="6"/>
      <c r="KF605" s="6"/>
      <c r="KG605" s="6"/>
      <c r="KH605" s="6"/>
      <c r="KI605" s="6"/>
      <c r="KJ605" s="6"/>
      <c r="KK605" s="6"/>
      <c r="KL605" s="6"/>
      <c r="KM605" s="6"/>
      <c r="KN605" s="6"/>
      <c r="KO605" s="6"/>
      <c r="KP605" s="6"/>
      <c r="KQ605" s="6"/>
      <c r="KR605" s="6"/>
      <c r="KS605" s="6"/>
      <c r="KT605" s="6"/>
      <c r="KU605" s="6"/>
      <c r="KV605" s="6"/>
      <c r="KW605" s="6"/>
      <c r="KX605" s="6"/>
      <c r="KY605" s="6"/>
      <c r="KZ605" s="6"/>
      <c r="LA605" s="6"/>
      <c r="LB605" s="6"/>
      <c r="LC605" s="6"/>
      <c r="LD605" s="6"/>
      <c r="LE605" s="6"/>
      <c r="LF605" s="6"/>
      <c r="LG605" s="6"/>
      <c r="LH605" s="6"/>
      <c r="LI605" s="6"/>
      <c r="LJ605" s="6"/>
      <c r="LK605" s="6"/>
      <c r="LL605" s="6"/>
      <c r="LM605" s="6"/>
      <c r="LN605" s="6"/>
      <c r="LO605" s="6"/>
      <c r="LP605" s="6"/>
      <c r="LQ605" s="6"/>
      <c r="LR605" s="6"/>
      <c r="LS605" s="6"/>
      <c r="LT605" s="6"/>
      <c r="LU605" s="6"/>
      <c r="LV605" s="6"/>
      <c r="LW605" s="6"/>
      <c r="LX605" s="6"/>
      <c r="LY605" s="6"/>
      <c r="LZ605" s="6"/>
      <c r="MA605" s="6"/>
      <c r="MB605" s="6"/>
      <c r="MC605" s="6"/>
      <c r="MD605" s="6"/>
      <c r="ME605" s="6"/>
      <c r="MF605" s="6"/>
      <c r="MG605" s="6"/>
      <c r="MH605" s="6"/>
      <c r="MI605" s="6"/>
      <c r="MJ605" s="6"/>
      <c r="MK605" s="6"/>
      <c r="ML605" s="6"/>
      <c r="MM605" s="6"/>
      <c r="MN605" s="6"/>
      <c r="MO605" s="6"/>
      <c r="MP605" s="6"/>
      <c r="MQ605" s="6"/>
      <c r="MR605" s="6"/>
      <c r="MS605" s="6"/>
      <c r="MT605" s="6"/>
      <c r="MU605" s="6"/>
      <c r="MV605" s="6"/>
      <c r="MW605" s="6"/>
      <c r="MX605" s="6"/>
      <c r="MY605" s="6"/>
      <c r="MZ605" s="6"/>
      <c r="NA605" s="6"/>
      <c r="NB605" s="6"/>
      <c r="NC605" s="6"/>
      <c r="ND605" s="6"/>
      <c r="NE605" s="6"/>
      <c r="NF605" s="6"/>
      <c r="NG605" s="6"/>
      <c r="NH605" s="6"/>
      <c r="NI605" s="6"/>
      <c r="NJ605" s="6"/>
      <c r="NK605" s="6"/>
      <c r="NL605" s="6"/>
      <c r="NM605" s="6"/>
      <c r="NN605" s="6"/>
      <c r="NO605" s="6"/>
      <c r="NP605" s="6"/>
      <c r="NQ605" s="6"/>
      <c r="NR605" s="6"/>
      <c r="NS605" s="6"/>
      <c r="NT605" s="6"/>
      <c r="NU605" s="6"/>
      <c r="NV605" s="6"/>
    </row>
    <row r="606" spans="1:386" s="19" customFormat="1" ht="20.100000000000001" customHeight="1" x14ac:dyDescent="0.35">
      <c r="A606" s="1"/>
      <c r="B606" s="2"/>
      <c r="C606" s="3"/>
      <c r="D606" s="2"/>
      <c r="E606" s="2"/>
      <c r="F606" s="4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9"/>
      <c r="FL606" s="9"/>
      <c r="FM606" s="9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135"/>
      <c r="IK606" s="135"/>
      <c r="IL606" s="135"/>
      <c r="IN606" s="6"/>
      <c r="IO606" s="6"/>
      <c r="IP606" s="6"/>
      <c r="IQ606" s="6"/>
      <c r="IR606" s="6"/>
      <c r="IS606" s="6"/>
      <c r="IT606" s="6"/>
      <c r="IU606" s="6"/>
      <c r="IV606" s="6"/>
      <c r="IW606" s="6"/>
      <c r="IX606" s="6"/>
      <c r="IY606" s="6"/>
      <c r="IZ606" s="6"/>
      <c r="JA606" s="6"/>
      <c r="JB606" s="6"/>
      <c r="JC606" s="6"/>
      <c r="JD606" s="6"/>
      <c r="JE606" s="6"/>
      <c r="JF606" s="6"/>
      <c r="JG606" s="6"/>
      <c r="JH606" s="6"/>
      <c r="JI606" s="6"/>
      <c r="JJ606" s="6"/>
      <c r="JK606" s="6"/>
      <c r="JL606" s="6"/>
      <c r="JM606" s="6"/>
      <c r="JN606" s="6"/>
      <c r="JO606" s="6"/>
      <c r="JP606" s="6"/>
      <c r="JQ606" s="6"/>
      <c r="JR606" s="6"/>
      <c r="JS606" s="6"/>
      <c r="JT606" s="6"/>
      <c r="JU606" s="6"/>
      <c r="JV606" s="6"/>
      <c r="JW606" s="6"/>
      <c r="JX606" s="6"/>
      <c r="JY606" s="6"/>
      <c r="JZ606" s="6"/>
      <c r="KA606" s="6"/>
      <c r="KB606" s="6"/>
      <c r="KC606" s="6"/>
      <c r="KD606" s="6"/>
      <c r="KE606" s="6"/>
      <c r="KF606" s="6"/>
      <c r="KG606" s="6"/>
      <c r="KH606" s="6"/>
      <c r="KI606" s="6"/>
      <c r="KJ606" s="6"/>
      <c r="KK606" s="6"/>
      <c r="KL606" s="6"/>
      <c r="KM606" s="6"/>
      <c r="KN606" s="6"/>
      <c r="KO606" s="6"/>
      <c r="KP606" s="6"/>
      <c r="KQ606" s="6"/>
      <c r="KR606" s="6"/>
      <c r="KS606" s="6"/>
      <c r="KT606" s="6"/>
      <c r="KU606" s="6"/>
      <c r="KV606" s="6"/>
      <c r="KW606" s="6"/>
      <c r="KX606" s="6"/>
      <c r="KY606" s="6"/>
      <c r="KZ606" s="6"/>
      <c r="LA606" s="6"/>
      <c r="LB606" s="6"/>
      <c r="LC606" s="6"/>
      <c r="LD606" s="6"/>
      <c r="LE606" s="6"/>
      <c r="LF606" s="6"/>
      <c r="LG606" s="6"/>
      <c r="LH606" s="6"/>
      <c r="LI606" s="6"/>
      <c r="LJ606" s="6"/>
      <c r="LK606" s="6"/>
      <c r="LL606" s="6"/>
      <c r="LM606" s="6"/>
      <c r="LN606" s="6"/>
      <c r="LO606" s="6"/>
      <c r="LP606" s="6"/>
      <c r="LQ606" s="6"/>
      <c r="LR606" s="6"/>
      <c r="LS606" s="6"/>
      <c r="LT606" s="6"/>
      <c r="LU606" s="6"/>
      <c r="LV606" s="6"/>
      <c r="LW606" s="6"/>
      <c r="LX606" s="6"/>
      <c r="LY606" s="6"/>
      <c r="LZ606" s="6"/>
      <c r="MA606" s="6"/>
      <c r="MB606" s="6"/>
      <c r="MC606" s="6"/>
      <c r="MD606" s="6"/>
      <c r="ME606" s="6"/>
      <c r="MF606" s="6"/>
      <c r="MG606" s="6"/>
      <c r="MH606" s="6"/>
      <c r="MI606" s="6"/>
      <c r="MJ606" s="6"/>
      <c r="MK606" s="6"/>
      <c r="ML606" s="6"/>
      <c r="MM606" s="6"/>
      <c r="MN606" s="6"/>
      <c r="MO606" s="6"/>
      <c r="MP606" s="6"/>
      <c r="MQ606" s="6"/>
      <c r="MR606" s="6"/>
      <c r="MS606" s="6"/>
      <c r="MT606" s="6"/>
      <c r="MU606" s="6"/>
      <c r="MV606" s="6"/>
      <c r="MW606" s="6"/>
      <c r="MX606" s="6"/>
      <c r="MY606" s="6"/>
      <c r="MZ606" s="6"/>
      <c r="NA606" s="6"/>
      <c r="NB606" s="6"/>
      <c r="NC606" s="6"/>
      <c r="ND606" s="6"/>
      <c r="NE606" s="6"/>
      <c r="NF606" s="6"/>
      <c r="NG606" s="6"/>
      <c r="NH606" s="6"/>
      <c r="NI606" s="6"/>
      <c r="NJ606" s="6"/>
      <c r="NK606" s="6"/>
      <c r="NL606" s="6"/>
      <c r="NM606" s="6"/>
      <c r="NN606" s="6"/>
      <c r="NO606" s="6"/>
      <c r="NP606" s="6"/>
      <c r="NQ606" s="6"/>
      <c r="NR606" s="6"/>
      <c r="NS606" s="6"/>
      <c r="NT606" s="6"/>
      <c r="NU606" s="6"/>
      <c r="NV606" s="6"/>
    </row>
    <row r="607" spans="1:386" s="19" customFormat="1" ht="20.100000000000001" customHeight="1" x14ac:dyDescent="0.35">
      <c r="A607" s="1"/>
      <c r="B607" s="2"/>
      <c r="C607" s="3"/>
      <c r="D607" s="2"/>
      <c r="E607" s="2"/>
      <c r="F607" s="4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9"/>
      <c r="FL607" s="9"/>
      <c r="FM607" s="9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135"/>
      <c r="IK607" s="135"/>
      <c r="IL607" s="135"/>
      <c r="IN607" s="6"/>
      <c r="IO607" s="6"/>
      <c r="IP607" s="6"/>
      <c r="IQ607" s="6"/>
      <c r="IR607" s="6"/>
      <c r="IS607" s="6"/>
      <c r="IT607" s="6"/>
      <c r="IU607" s="6"/>
      <c r="IV607" s="6"/>
      <c r="IW607" s="6"/>
      <c r="IX607" s="6"/>
      <c r="IY607" s="6"/>
      <c r="IZ607" s="6"/>
      <c r="JA607" s="6"/>
      <c r="JB607" s="6"/>
      <c r="JC607" s="6"/>
      <c r="JD607" s="6"/>
      <c r="JE607" s="6"/>
      <c r="JF607" s="6"/>
      <c r="JG607" s="6"/>
      <c r="JH607" s="6"/>
      <c r="JI607" s="6"/>
      <c r="JJ607" s="6"/>
      <c r="JK607" s="6"/>
      <c r="JL607" s="6"/>
      <c r="JM607" s="6"/>
      <c r="JN607" s="6"/>
      <c r="JO607" s="6"/>
      <c r="JP607" s="6"/>
      <c r="JQ607" s="6"/>
      <c r="JR607" s="6"/>
      <c r="JS607" s="6"/>
      <c r="JT607" s="6"/>
      <c r="JU607" s="6"/>
      <c r="JV607" s="6"/>
      <c r="JW607" s="6"/>
      <c r="JX607" s="6"/>
      <c r="JY607" s="6"/>
      <c r="JZ607" s="6"/>
      <c r="KA607" s="6"/>
      <c r="KB607" s="6"/>
      <c r="KC607" s="6"/>
      <c r="KD607" s="6"/>
      <c r="KE607" s="6"/>
      <c r="KF607" s="6"/>
      <c r="KG607" s="6"/>
      <c r="KH607" s="6"/>
      <c r="KI607" s="6"/>
      <c r="KJ607" s="6"/>
      <c r="KK607" s="6"/>
      <c r="KL607" s="6"/>
      <c r="KM607" s="6"/>
      <c r="KN607" s="6"/>
      <c r="KO607" s="6"/>
      <c r="KP607" s="6"/>
      <c r="KQ607" s="6"/>
      <c r="KR607" s="6"/>
      <c r="KS607" s="6"/>
      <c r="KT607" s="6"/>
      <c r="KU607" s="6"/>
      <c r="KV607" s="6"/>
      <c r="KW607" s="6"/>
      <c r="KX607" s="6"/>
      <c r="KY607" s="6"/>
      <c r="KZ607" s="6"/>
      <c r="LA607" s="6"/>
      <c r="LB607" s="6"/>
      <c r="LC607" s="6"/>
      <c r="LD607" s="6"/>
      <c r="LE607" s="6"/>
      <c r="LF607" s="6"/>
      <c r="LG607" s="6"/>
      <c r="LH607" s="6"/>
      <c r="LI607" s="6"/>
      <c r="LJ607" s="6"/>
      <c r="LK607" s="6"/>
      <c r="LL607" s="6"/>
      <c r="LM607" s="6"/>
      <c r="LN607" s="6"/>
      <c r="LO607" s="6"/>
      <c r="LP607" s="6"/>
      <c r="LQ607" s="6"/>
      <c r="LR607" s="6"/>
      <c r="LS607" s="6"/>
      <c r="LT607" s="6"/>
      <c r="LU607" s="6"/>
      <c r="LV607" s="6"/>
      <c r="LW607" s="6"/>
      <c r="LX607" s="6"/>
      <c r="LY607" s="6"/>
      <c r="LZ607" s="6"/>
      <c r="MA607" s="6"/>
      <c r="MB607" s="6"/>
      <c r="MC607" s="6"/>
      <c r="MD607" s="6"/>
      <c r="ME607" s="6"/>
      <c r="MF607" s="6"/>
      <c r="MG607" s="6"/>
      <c r="MH607" s="6"/>
      <c r="MI607" s="6"/>
      <c r="MJ607" s="6"/>
      <c r="MK607" s="6"/>
      <c r="ML607" s="6"/>
      <c r="MM607" s="6"/>
      <c r="MN607" s="6"/>
      <c r="MO607" s="6"/>
      <c r="MP607" s="6"/>
      <c r="MQ607" s="6"/>
      <c r="MR607" s="6"/>
      <c r="MS607" s="6"/>
      <c r="MT607" s="6"/>
      <c r="MU607" s="6"/>
      <c r="MV607" s="6"/>
      <c r="MW607" s="6"/>
      <c r="MX607" s="6"/>
      <c r="MY607" s="6"/>
      <c r="MZ607" s="6"/>
      <c r="NA607" s="6"/>
      <c r="NB607" s="6"/>
      <c r="NC607" s="6"/>
      <c r="ND607" s="6"/>
      <c r="NE607" s="6"/>
      <c r="NF607" s="6"/>
      <c r="NG607" s="6"/>
      <c r="NH607" s="6"/>
      <c r="NI607" s="6"/>
      <c r="NJ607" s="6"/>
      <c r="NK607" s="6"/>
      <c r="NL607" s="6"/>
      <c r="NM607" s="6"/>
      <c r="NN607" s="6"/>
      <c r="NO607" s="6"/>
      <c r="NP607" s="6"/>
      <c r="NQ607" s="6"/>
      <c r="NR607" s="6"/>
      <c r="NS607" s="6"/>
      <c r="NT607" s="6"/>
      <c r="NU607" s="6"/>
      <c r="NV607" s="6"/>
    </row>
    <row r="608" spans="1:386" s="19" customFormat="1" ht="20.100000000000001" customHeight="1" x14ac:dyDescent="0.35">
      <c r="A608" s="1"/>
      <c r="B608" s="2"/>
      <c r="C608" s="3"/>
      <c r="D608" s="2"/>
      <c r="E608" s="2"/>
      <c r="F608" s="4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9"/>
      <c r="FL608" s="9"/>
      <c r="FM608" s="9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135"/>
      <c r="IK608" s="135"/>
      <c r="IL608" s="135"/>
      <c r="IN608" s="6"/>
      <c r="IO608" s="6"/>
      <c r="IP608" s="6"/>
      <c r="IQ608" s="6"/>
      <c r="IR608" s="6"/>
      <c r="IS608" s="6"/>
      <c r="IT608" s="6"/>
      <c r="IU608" s="6"/>
      <c r="IV608" s="6"/>
      <c r="IW608" s="6"/>
      <c r="IX608" s="6"/>
      <c r="IY608" s="6"/>
      <c r="IZ608" s="6"/>
      <c r="JA608" s="6"/>
      <c r="JB608" s="6"/>
      <c r="JC608" s="6"/>
      <c r="JD608" s="6"/>
      <c r="JE608" s="6"/>
      <c r="JF608" s="6"/>
      <c r="JG608" s="6"/>
      <c r="JH608" s="6"/>
      <c r="JI608" s="6"/>
      <c r="JJ608" s="6"/>
      <c r="JK608" s="6"/>
      <c r="JL608" s="6"/>
      <c r="JM608" s="6"/>
      <c r="JN608" s="6"/>
      <c r="JO608" s="6"/>
      <c r="JP608" s="6"/>
      <c r="JQ608" s="6"/>
      <c r="JR608" s="6"/>
      <c r="JS608" s="6"/>
      <c r="JT608" s="6"/>
      <c r="JU608" s="6"/>
      <c r="JV608" s="6"/>
      <c r="JW608" s="6"/>
      <c r="JX608" s="6"/>
      <c r="JY608" s="6"/>
      <c r="JZ608" s="6"/>
      <c r="KA608" s="6"/>
      <c r="KB608" s="6"/>
      <c r="KC608" s="6"/>
      <c r="KD608" s="6"/>
      <c r="KE608" s="6"/>
      <c r="KF608" s="6"/>
      <c r="KG608" s="6"/>
      <c r="KH608" s="6"/>
      <c r="KI608" s="6"/>
      <c r="KJ608" s="6"/>
      <c r="KK608" s="6"/>
      <c r="KL608" s="6"/>
      <c r="KM608" s="6"/>
      <c r="KN608" s="6"/>
      <c r="KO608" s="6"/>
      <c r="KP608" s="6"/>
      <c r="KQ608" s="6"/>
      <c r="KR608" s="6"/>
      <c r="KS608" s="6"/>
      <c r="KT608" s="6"/>
      <c r="KU608" s="6"/>
      <c r="KV608" s="6"/>
      <c r="KW608" s="6"/>
      <c r="KX608" s="6"/>
      <c r="KY608" s="6"/>
      <c r="KZ608" s="6"/>
      <c r="LA608" s="6"/>
      <c r="LB608" s="6"/>
      <c r="LC608" s="6"/>
      <c r="LD608" s="6"/>
      <c r="LE608" s="6"/>
      <c r="LF608" s="6"/>
      <c r="LG608" s="6"/>
      <c r="LH608" s="6"/>
      <c r="LI608" s="6"/>
      <c r="LJ608" s="6"/>
      <c r="LK608" s="6"/>
      <c r="LL608" s="6"/>
      <c r="LM608" s="6"/>
      <c r="LN608" s="6"/>
      <c r="LO608" s="6"/>
      <c r="LP608" s="6"/>
      <c r="LQ608" s="6"/>
      <c r="LR608" s="6"/>
      <c r="LS608" s="6"/>
      <c r="LT608" s="6"/>
      <c r="LU608" s="6"/>
      <c r="LV608" s="6"/>
      <c r="LW608" s="6"/>
      <c r="LX608" s="6"/>
      <c r="LY608" s="6"/>
      <c r="LZ608" s="6"/>
      <c r="MA608" s="6"/>
      <c r="MB608" s="6"/>
      <c r="MC608" s="6"/>
      <c r="MD608" s="6"/>
      <c r="ME608" s="6"/>
      <c r="MF608" s="6"/>
      <c r="MG608" s="6"/>
      <c r="MH608" s="6"/>
      <c r="MI608" s="6"/>
      <c r="MJ608" s="6"/>
      <c r="MK608" s="6"/>
      <c r="ML608" s="6"/>
      <c r="MM608" s="6"/>
      <c r="MN608" s="6"/>
      <c r="MO608" s="6"/>
      <c r="MP608" s="6"/>
      <c r="MQ608" s="6"/>
      <c r="MR608" s="6"/>
      <c r="MS608" s="6"/>
      <c r="MT608" s="6"/>
      <c r="MU608" s="6"/>
      <c r="MV608" s="6"/>
      <c r="MW608" s="6"/>
      <c r="MX608" s="6"/>
      <c r="MY608" s="6"/>
      <c r="MZ608" s="6"/>
      <c r="NA608" s="6"/>
      <c r="NB608" s="6"/>
      <c r="NC608" s="6"/>
      <c r="ND608" s="6"/>
      <c r="NE608" s="6"/>
      <c r="NF608" s="6"/>
      <c r="NG608" s="6"/>
      <c r="NH608" s="6"/>
      <c r="NI608" s="6"/>
      <c r="NJ608" s="6"/>
      <c r="NK608" s="6"/>
      <c r="NL608" s="6"/>
      <c r="NM608" s="6"/>
      <c r="NN608" s="6"/>
      <c r="NO608" s="6"/>
      <c r="NP608" s="6"/>
      <c r="NQ608" s="6"/>
      <c r="NR608" s="6"/>
      <c r="NS608" s="6"/>
      <c r="NT608" s="6"/>
      <c r="NU608" s="6"/>
      <c r="NV608" s="6"/>
    </row>
    <row r="609" spans="1:386" s="19" customFormat="1" ht="20.100000000000001" customHeight="1" x14ac:dyDescent="0.35">
      <c r="A609" s="1"/>
      <c r="B609" s="2"/>
      <c r="C609" s="3"/>
      <c r="D609" s="2"/>
      <c r="E609" s="2"/>
      <c r="F609" s="4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9"/>
      <c r="FL609" s="9"/>
      <c r="FM609" s="9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135"/>
      <c r="IK609" s="135"/>
      <c r="IL609" s="135"/>
      <c r="IN609" s="6"/>
      <c r="IO609" s="6"/>
      <c r="IP609" s="6"/>
      <c r="IQ609" s="6"/>
      <c r="IR609" s="6"/>
      <c r="IS609" s="6"/>
      <c r="IT609" s="6"/>
      <c r="IU609" s="6"/>
      <c r="IV609" s="6"/>
      <c r="IW609" s="6"/>
      <c r="IX609" s="6"/>
      <c r="IY609" s="6"/>
      <c r="IZ609" s="6"/>
      <c r="JA609" s="6"/>
      <c r="JB609" s="6"/>
      <c r="JC609" s="6"/>
      <c r="JD609" s="6"/>
      <c r="JE609" s="6"/>
      <c r="JF609" s="6"/>
      <c r="JG609" s="6"/>
      <c r="JH609" s="6"/>
      <c r="JI609" s="6"/>
      <c r="JJ609" s="6"/>
      <c r="JK609" s="6"/>
      <c r="JL609" s="6"/>
      <c r="JM609" s="6"/>
      <c r="JN609" s="6"/>
      <c r="JO609" s="6"/>
      <c r="JP609" s="6"/>
      <c r="JQ609" s="6"/>
      <c r="JR609" s="6"/>
      <c r="JS609" s="6"/>
      <c r="JT609" s="6"/>
      <c r="JU609" s="6"/>
      <c r="JV609" s="6"/>
      <c r="JW609" s="6"/>
      <c r="JX609" s="6"/>
      <c r="JY609" s="6"/>
      <c r="JZ609" s="6"/>
      <c r="KA609" s="6"/>
      <c r="KB609" s="6"/>
      <c r="KC609" s="6"/>
      <c r="KD609" s="6"/>
      <c r="KE609" s="6"/>
      <c r="KF609" s="6"/>
      <c r="KG609" s="6"/>
      <c r="KH609" s="6"/>
      <c r="KI609" s="6"/>
      <c r="KJ609" s="6"/>
      <c r="KK609" s="6"/>
      <c r="KL609" s="6"/>
      <c r="KM609" s="6"/>
      <c r="KN609" s="6"/>
      <c r="KO609" s="6"/>
      <c r="KP609" s="6"/>
      <c r="KQ609" s="6"/>
      <c r="KR609" s="6"/>
      <c r="KS609" s="6"/>
      <c r="KT609" s="6"/>
      <c r="KU609" s="6"/>
      <c r="KV609" s="6"/>
      <c r="KW609" s="6"/>
      <c r="KX609" s="6"/>
      <c r="KY609" s="6"/>
      <c r="KZ609" s="6"/>
      <c r="LA609" s="6"/>
      <c r="LB609" s="6"/>
      <c r="LC609" s="6"/>
      <c r="LD609" s="6"/>
      <c r="LE609" s="6"/>
      <c r="LF609" s="6"/>
      <c r="LG609" s="6"/>
      <c r="LH609" s="6"/>
      <c r="LI609" s="6"/>
      <c r="LJ609" s="6"/>
      <c r="LK609" s="6"/>
      <c r="LL609" s="6"/>
      <c r="LM609" s="6"/>
      <c r="LN609" s="6"/>
      <c r="LO609" s="6"/>
      <c r="LP609" s="6"/>
      <c r="LQ609" s="6"/>
      <c r="LR609" s="6"/>
      <c r="LS609" s="6"/>
      <c r="LT609" s="6"/>
      <c r="LU609" s="6"/>
      <c r="LV609" s="6"/>
      <c r="LW609" s="6"/>
      <c r="LX609" s="6"/>
      <c r="LY609" s="6"/>
      <c r="LZ609" s="6"/>
      <c r="MA609" s="6"/>
      <c r="MB609" s="6"/>
      <c r="MC609" s="6"/>
      <c r="MD609" s="6"/>
      <c r="ME609" s="6"/>
      <c r="MF609" s="6"/>
      <c r="MG609" s="6"/>
      <c r="MH609" s="6"/>
      <c r="MI609" s="6"/>
      <c r="MJ609" s="6"/>
      <c r="MK609" s="6"/>
      <c r="ML609" s="6"/>
      <c r="MM609" s="6"/>
      <c r="MN609" s="6"/>
      <c r="MO609" s="6"/>
      <c r="MP609" s="6"/>
      <c r="MQ609" s="6"/>
      <c r="MR609" s="6"/>
      <c r="MS609" s="6"/>
      <c r="MT609" s="6"/>
      <c r="MU609" s="6"/>
      <c r="MV609" s="6"/>
      <c r="MW609" s="6"/>
      <c r="MX609" s="6"/>
      <c r="MY609" s="6"/>
      <c r="MZ609" s="6"/>
      <c r="NA609" s="6"/>
      <c r="NB609" s="6"/>
      <c r="NC609" s="6"/>
      <c r="ND609" s="6"/>
      <c r="NE609" s="6"/>
      <c r="NF609" s="6"/>
      <c r="NG609" s="6"/>
      <c r="NH609" s="6"/>
      <c r="NI609" s="6"/>
      <c r="NJ609" s="6"/>
      <c r="NK609" s="6"/>
      <c r="NL609" s="6"/>
      <c r="NM609" s="6"/>
      <c r="NN609" s="6"/>
      <c r="NO609" s="6"/>
      <c r="NP609" s="6"/>
      <c r="NQ609" s="6"/>
      <c r="NR609" s="6"/>
      <c r="NS609" s="6"/>
      <c r="NT609" s="6"/>
      <c r="NU609" s="6"/>
      <c r="NV609" s="6"/>
    </row>
    <row r="610" spans="1:386" s="19" customFormat="1" ht="20.100000000000001" customHeight="1" x14ac:dyDescent="0.35">
      <c r="A610" s="1"/>
      <c r="B610" s="2"/>
      <c r="C610" s="3"/>
      <c r="D610" s="2"/>
      <c r="E610" s="2"/>
      <c r="F610" s="4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9"/>
      <c r="FL610" s="9"/>
      <c r="FM610" s="9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135"/>
      <c r="IK610" s="135"/>
      <c r="IL610" s="135"/>
      <c r="IN610" s="6"/>
      <c r="IO610" s="6"/>
      <c r="IP610" s="6"/>
      <c r="IQ610" s="6"/>
      <c r="IR610" s="6"/>
      <c r="IS610" s="6"/>
      <c r="IT610" s="6"/>
      <c r="IU610" s="6"/>
      <c r="IV610" s="6"/>
      <c r="IW610" s="6"/>
      <c r="IX610" s="6"/>
      <c r="IY610" s="6"/>
      <c r="IZ610" s="6"/>
      <c r="JA610" s="6"/>
      <c r="JB610" s="6"/>
      <c r="JC610" s="6"/>
      <c r="JD610" s="6"/>
      <c r="JE610" s="6"/>
      <c r="JF610" s="6"/>
      <c r="JG610" s="6"/>
      <c r="JH610" s="6"/>
      <c r="JI610" s="6"/>
      <c r="JJ610" s="6"/>
      <c r="JK610" s="6"/>
      <c r="JL610" s="6"/>
      <c r="JM610" s="6"/>
      <c r="JN610" s="6"/>
      <c r="JO610" s="6"/>
      <c r="JP610" s="6"/>
      <c r="JQ610" s="6"/>
      <c r="JR610" s="6"/>
      <c r="JS610" s="6"/>
      <c r="JT610" s="6"/>
      <c r="JU610" s="6"/>
      <c r="JV610" s="6"/>
      <c r="JW610" s="6"/>
      <c r="JX610" s="6"/>
      <c r="JY610" s="6"/>
      <c r="JZ610" s="6"/>
      <c r="KA610" s="6"/>
      <c r="KB610" s="6"/>
      <c r="KC610" s="6"/>
      <c r="KD610" s="6"/>
      <c r="KE610" s="6"/>
      <c r="KF610" s="6"/>
      <c r="KG610" s="6"/>
      <c r="KH610" s="6"/>
      <c r="KI610" s="6"/>
      <c r="KJ610" s="6"/>
      <c r="KK610" s="6"/>
      <c r="KL610" s="6"/>
      <c r="KM610" s="6"/>
      <c r="KN610" s="6"/>
      <c r="KO610" s="6"/>
      <c r="KP610" s="6"/>
      <c r="KQ610" s="6"/>
      <c r="KR610" s="6"/>
      <c r="KS610" s="6"/>
      <c r="KT610" s="6"/>
      <c r="KU610" s="6"/>
      <c r="KV610" s="6"/>
      <c r="KW610" s="6"/>
      <c r="KX610" s="6"/>
      <c r="KY610" s="6"/>
      <c r="KZ610" s="6"/>
      <c r="LA610" s="6"/>
      <c r="LB610" s="6"/>
      <c r="LC610" s="6"/>
      <c r="LD610" s="6"/>
      <c r="LE610" s="6"/>
      <c r="LF610" s="6"/>
      <c r="LG610" s="6"/>
      <c r="LH610" s="6"/>
      <c r="LI610" s="6"/>
      <c r="LJ610" s="6"/>
      <c r="LK610" s="6"/>
      <c r="LL610" s="6"/>
      <c r="LM610" s="6"/>
      <c r="LN610" s="6"/>
      <c r="LO610" s="6"/>
      <c r="LP610" s="6"/>
      <c r="LQ610" s="6"/>
      <c r="LR610" s="6"/>
      <c r="LS610" s="6"/>
      <c r="LT610" s="6"/>
      <c r="LU610" s="6"/>
      <c r="LV610" s="6"/>
      <c r="LW610" s="6"/>
      <c r="LX610" s="6"/>
      <c r="LY610" s="6"/>
      <c r="LZ610" s="6"/>
      <c r="MA610" s="6"/>
      <c r="MB610" s="6"/>
      <c r="MC610" s="6"/>
      <c r="MD610" s="6"/>
      <c r="ME610" s="6"/>
      <c r="MF610" s="6"/>
      <c r="MG610" s="6"/>
      <c r="MH610" s="6"/>
      <c r="MI610" s="6"/>
      <c r="MJ610" s="6"/>
      <c r="MK610" s="6"/>
      <c r="ML610" s="6"/>
      <c r="MM610" s="6"/>
      <c r="MN610" s="6"/>
      <c r="MO610" s="6"/>
      <c r="MP610" s="6"/>
      <c r="MQ610" s="6"/>
      <c r="MR610" s="6"/>
      <c r="MS610" s="6"/>
      <c r="MT610" s="6"/>
      <c r="MU610" s="6"/>
      <c r="MV610" s="6"/>
      <c r="MW610" s="6"/>
      <c r="MX610" s="6"/>
      <c r="MY610" s="6"/>
      <c r="MZ610" s="6"/>
      <c r="NA610" s="6"/>
      <c r="NB610" s="6"/>
      <c r="NC610" s="6"/>
      <c r="ND610" s="6"/>
      <c r="NE610" s="6"/>
      <c r="NF610" s="6"/>
      <c r="NG610" s="6"/>
      <c r="NH610" s="6"/>
      <c r="NI610" s="6"/>
      <c r="NJ610" s="6"/>
      <c r="NK610" s="6"/>
      <c r="NL610" s="6"/>
      <c r="NM610" s="6"/>
      <c r="NN610" s="6"/>
      <c r="NO610" s="6"/>
      <c r="NP610" s="6"/>
      <c r="NQ610" s="6"/>
      <c r="NR610" s="6"/>
      <c r="NS610" s="6"/>
      <c r="NT610" s="6"/>
      <c r="NU610" s="6"/>
      <c r="NV610" s="6"/>
    </row>
    <row r="611" spans="1:386" s="19" customFormat="1" ht="20.100000000000001" customHeight="1" x14ac:dyDescent="0.35">
      <c r="A611" s="1"/>
      <c r="B611" s="2"/>
      <c r="C611" s="3"/>
      <c r="D611" s="2"/>
      <c r="E611" s="2"/>
      <c r="F611" s="4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9"/>
      <c r="FL611" s="9"/>
      <c r="FM611" s="9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135"/>
      <c r="IK611" s="135"/>
      <c r="IL611" s="135"/>
      <c r="IN611" s="6"/>
      <c r="IO611" s="6"/>
      <c r="IP611" s="6"/>
      <c r="IQ611" s="6"/>
      <c r="IR611" s="6"/>
      <c r="IS611" s="6"/>
      <c r="IT611" s="6"/>
      <c r="IU611" s="6"/>
      <c r="IV611" s="6"/>
      <c r="IW611" s="6"/>
      <c r="IX611" s="6"/>
      <c r="IY611" s="6"/>
      <c r="IZ611" s="6"/>
      <c r="JA611" s="6"/>
      <c r="JB611" s="6"/>
      <c r="JC611" s="6"/>
      <c r="JD611" s="6"/>
      <c r="JE611" s="6"/>
      <c r="JF611" s="6"/>
      <c r="JG611" s="6"/>
      <c r="JH611" s="6"/>
      <c r="JI611" s="6"/>
      <c r="JJ611" s="6"/>
      <c r="JK611" s="6"/>
      <c r="JL611" s="6"/>
      <c r="JM611" s="6"/>
      <c r="JN611" s="6"/>
      <c r="JO611" s="6"/>
      <c r="JP611" s="6"/>
      <c r="JQ611" s="6"/>
      <c r="JR611" s="6"/>
      <c r="JS611" s="6"/>
      <c r="JT611" s="6"/>
      <c r="JU611" s="6"/>
      <c r="JV611" s="6"/>
      <c r="JW611" s="6"/>
      <c r="JX611" s="6"/>
      <c r="JY611" s="6"/>
      <c r="JZ611" s="6"/>
      <c r="KA611" s="6"/>
      <c r="KB611" s="6"/>
      <c r="KC611" s="6"/>
      <c r="KD611" s="6"/>
      <c r="KE611" s="6"/>
      <c r="KF611" s="6"/>
      <c r="KG611" s="6"/>
      <c r="KH611" s="6"/>
      <c r="KI611" s="6"/>
      <c r="KJ611" s="6"/>
      <c r="KK611" s="6"/>
      <c r="KL611" s="6"/>
      <c r="KM611" s="6"/>
      <c r="KN611" s="6"/>
      <c r="KO611" s="6"/>
      <c r="KP611" s="6"/>
      <c r="KQ611" s="6"/>
      <c r="KR611" s="6"/>
      <c r="KS611" s="6"/>
      <c r="KT611" s="6"/>
      <c r="KU611" s="6"/>
      <c r="KV611" s="6"/>
      <c r="KW611" s="6"/>
      <c r="KX611" s="6"/>
      <c r="KY611" s="6"/>
      <c r="KZ611" s="6"/>
      <c r="LA611" s="6"/>
      <c r="LB611" s="6"/>
      <c r="LC611" s="6"/>
      <c r="LD611" s="6"/>
      <c r="LE611" s="6"/>
      <c r="LF611" s="6"/>
      <c r="LG611" s="6"/>
      <c r="LH611" s="6"/>
      <c r="LI611" s="6"/>
      <c r="LJ611" s="6"/>
      <c r="LK611" s="6"/>
      <c r="LL611" s="6"/>
      <c r="LM611" s="6"/>
      <c r="LN611" s="6"/>
      <c r="LO611" s="6"/>
      <c r="LP611" s="6"/>
      <c r="LQ611" s="6"/>
      <c r="LR611" s="6"/>
      <c r="LS611" s="6"/>
      <c r="LT611" s="6"/>
      <c r="LU611" s="6"/>
      <c r="LV611" s="6"/>
      <c r="LW611" s="6"/>
      <c r="LX611" s="6"/>
      <c r="LY611" s="6"/>
      <c r="LZ611" s="6"/>
      <c r="MA611" s="6"/>
      <c r="MB611" s="6"/>
      <c r="MC611" s="6"/>
      <c r="MD611" s="6"/>
      <c r="ME611" s="6"/>
      <c r="MF611" s="6"/>
      <c r="MG611" s="6"/>
      <c r="MH611" s="6"/>
      <c r="MI611" s="6"/>
      <c r="MJ611" s="6"/>
      <c r="MK611" s="6"/>
      <c r="ML611" s="6"/>
      <c r="MM611" s="6"/>
      <c r="MN611" s="6"/>
      <c r="MO611" s="6"/>
      <c r="MP611" s="6"/>
      <c r="MQ611" s="6"/>
      <c r="MR611" s="6"/>
      <c r="MS611" s="6"/>
      <c r="MT611" s="6"/>
      <c r="MU611" s="6"/>
      <c r="MV611" s="6"/>
      <c r="MW611" s="6"/>
      <c r="MX611" s="6"/>
      <c r="MY611" s="6"/>
      <c r="MZ611" s="6"/>
      <c r="NA611" s="6"/>
      <c r="NB611" s="6"/>
      <c r="NC611" s="6"/>
      <c r="ND611" s="6"/>
      <c r="NE611" s="6"/>
      <c r="NF611" s="6"/>
      <c r="NG611" s="6"/>
      <c r="NH611" s="6"/>
      <c r="NI611" s="6"/>
      <c r="NJ611" s="6"/>
      <c r="NK611" s="6"/>
      <c r="NL611" s="6"/>
      <c r="NM611" s="6"/>
      <c r="NN611" s="6"/>
      <c r="NO611" s="6"/>
      <c r="NP611" s="6"/>
      <c r="NQ611" s="6"/>
      <c r="NR611" s="6"/>
      <c r="NS611" s="6"/>
      <c r="NT611" s="6"/>
      <c r="NU611" s="6"/>
      <c r="NV611" s="6"/>
    </row>
    <row r="612" spans="1:386" s="19" customFormat="1" ht="20.100000000000001" customHeight="1" x14ac:dyDescent="0.35">
      <c r="A612" s="1"/>
      <c r="B612" s="2"/>
      <c r="C612" s="3"/>
      <c r="D612" s="2"/>
      <c r="E612" s="2"/>
      <c r="F612" s="4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9"/>
      <c r="FL612" s="9"/>
      <c r="FM612" s="9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135"/>
      <c r="IK612" s="135"/>
      <c r="IL612" s="135"/>
      <c r="IN612" s="6"/>
      <c r="IO612" s="6"/>
      <c r="IP612" s="6"/>
      <c r="IQ612" s="6"/>
      <c r="IR612" s="6"/>
      <c r="IS612" s="6"/>
      <c r="IT612" s="6"/>
      <c r="IU612" s="6"/>
      <c r="IV612" s="6"/>
      <c r="IW612" s="6"/>
      <c r="IX612" s="6"/>
      <c r="IY612" s="6"/>
      <c r="IZ612" s="6"/>
      <c r="JA612" s="6"/>
      <c r="JB612" s="6"/>
      <c r="JC612" s="6"/>
      <c r="JD612" s="6"/>
      <c r="JE612" s="6"/>
      <c r="JF612" s="6"/>
      <c r="JG612" s="6"/>
      <c r="JH612" s="6"/>
      <c r="JI612" s="6"/>
      <c r="JJ612" s="6"/>
      <c r="JK612" s="6"/>
      <c r="JL612" s="6"/>
      <c r="JM612" s="6"/>
      <c r="JN612" s="6"/>
      <c r="JO612" s="6"/>
      <c r="JP612" s="6"/>
      <c r="JQ612" s="6"/>
      <c r="JR612" s="6"/>
      <c r="JS612" s="6"/>
      <c r="JT612" s="6"/>
      <c r="JU612" s="6"/>
      <c r="JV612" s="6"/>
      <c r="JW612" s="6"/>
      <c r="JX612" s="6"/>
      <c r="JY612" s="6"/>
      <c r="JZ612" s="6"/>
      <c r="KA612" s="6"/>
      <c r="KB612" s="6"/>
      <c r="KC612" s="6"/>
      <c r="KD612" s="6"/>
      <c r="KE612" s="6"/>
      <c r="KF612" s="6"/>
      <c r="KG612" s="6"/>
      <c r="KH612" s="6"/>
      <c r="KI612" s="6"/>
      <c r="KJ612" s="6"/>
      <c r="KK612" s="6"/>
      <c r="KL612" s="6"/>
      <c r="KM612" s="6"/>
      <c r="KN612" s="6"/>
      <c r="KO612" s="6"/>
      <c r="KP612" s="6"/>
      <c r="KQ612" s="6"/>
      <c r="KR612" s="6"/>
      <c r="KS612" s="6"/>
      <c r="KT612" s="6"/>
      <c r="KU612" s="6"/>
      <c r="KV612" s="6"/>
      <c r="KW612" s="6"/>
      <c r="KX612" s="6"/>
      <c r="KY612" s="6"/>
      <c r="KZ612" s="6"/>
      <c r="LA612" s="6"/>
      <c r="LB612" s="6"/>
      <c r="LC612" s="6"/>
      <c r="LD612" s="6"/>
      <c r="LE612" s="6"/>
      <c r="LF612" s="6"/>
      <c r="LG612" s="6"/>
      <c r="LH612" s="6"/>
      <c r="LI612" s="6"/>
      <c r="LJ612" s="6"/>
      <c r="LK612" s="6"/>
      <c r="LL612" s="6"/>
      <c r="LM612" s="6"/>
      <c r="LN612" s="6"/>
      <c r="LO612" s="6"/>
      <c r="LP612" s="6"/>
      <c r="LQ612" s="6"/>
      <c r="LR612" s="6"/>
      <c r="LS612" s="6"/>
      <c r="LT612" s="6"/>
      <c r="LU612" s="6"/>
      <c r="LV612" s="6"/>
      <c r="LW612" s="6"/>
      <c r="LX612" s="6"/>
      <c r="LY612" s="6"/>
      <c r="LZ612" s="6"/>
      <c r="MA612" s="6"/>
      <c r="MB612" s="6"/>
      <c r="MC612" s="6"/>
      <c r="MD612" s="6"/>
      <c r="ME612" s="6"/>
      <c r="MF612" s="6"/>
      <c r="MG612" s="6"/>
      <c r="MH612" s="6"/>
      <c r="MI612" s="6"/>
      <c r="MJ612" s="6"/>
      <c r="MK612" s="6"/>
      <c r="ML612" s="6"/>
      <c r="MM612" s="6"/>
      <c r="MN612" s="6"/>
      <c r="MO612" s="6"/>
      <c r="MP612" s="6"/>
      <c r="MQ612" s="6"/>
      <c r="MR612" s="6"/>
      <c r="MS612" s="6"/>
      <c r="MT612" s="6"/>
      <c r="MU612" s="6"/>
      <c r="MV612" s="6"/>
      <c r="MW612" s="6"/>
      <c r="MX612" s="6"/>
      <c r="MY612" s="6"/>
      <c r="MZ612" s="6"/>
      <c r="NA612" s="6"/>
      <c r="NB612" s="6"/>
      <c r="NC612" s="6"/>
      <c r="ND612" s="6"/>
      <c r="NE612" s="6"/>
      <c r="NF612" s="6"/>
      <c r="NG612" s="6"/>
      <c r="NH612" s="6"/>
      <c r="NI612" s="6"/>
      <c r="NJ612" s="6"/>
      <c r="NK612" s="6"/>
      <c r="NL612" s="6"/>
      <c r="NM612" s="6"/>
      <c r="NN612" s="6"/>
      <c r="NO612" s="6"/>
      <c r="NP612" s="6"/>
      <c r="NQ612" s="6"/>
      <c r="NR612" s="6"/>
      <c r="NS612" s="6"/>
      <c r="NT612" s="6"/>
      <c r="NU612" s="6"/>
      <c r="NV612" s="6"/>
    </row>
    <row r="613" spans="1:386" s="19" customFormat="1" ht="20.100000000000001" customHeight="1" x14ac:dyDescent="0.35">
      <c r="A613" s="1"/>
      <c r="B613" s="2"/>
      <c r="C613" s="3"/>
      <c r="D613" s="2"/>
      <c r="E613" s="2"/>
      <c r="F613" s="4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9"/>
      <c r="FL613" s="9"/>
      <c r="FM613" s="9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135"/>
      <c r="IK613" s="135"/>
      <c r="IL613" s="135"/>
      <c r="IN613" s="6"/>
      <c r="IO613" s="6"/>
      <c r="IP613" s="6"/>
      <c r="IQ613" s="6"/>
      <c r="IR613" s="6"/>
      <c r="IS613" s="6"/>
      <c r="IT613" s="6"/>
      <c r="IU613" s="6"/>
      <c r="IV613" s="6"/>
      <c r="IW613" s="6"/>
      <c r="IX613" s="6"/>
      <c r="IY613" s="6"/>
      <c r="IZ613" s="6"/>
      <c r="JA613" s="6"/>
      <c r="JB613" s="6"/>
      <c r="JC613" s="6"/>
      <c r="JD613" s="6"/>
      <c r="JE613" s="6"/>
      <c r="JF613" s="6"/>
      <c r="JG613" s="6"/>
      <c r="JH613" s="6"/>
      <c r="JI613" s="6"/>
      <c r="JJ613" s="6"/>
      <c r="JK613" s="6"/>
      <c r="JL613" s="6"/>
      <c r="JM613" s="6"/>
      <c r="JN613" s="6"/>
      <c r="JO613" s="6"/>
      <c r="JP613" s="6"/>
      <c r="JQ613" s="6"/>
      <c r="JR613" s="6"/>
      <c r="JS613" s="6"/>
      <c r="JT613" s="6"/>
      <c r="JU613" s="6"/>
      <c r="JV613" s="6"/>
      <c r="JW613" s="6"/>
      <c r="JX613" s="6"/>
      <c r="JY613" s="6"/>
      <c r="JZ613" s="6"/>
      <c r="KA613" s="6"/>
      <c r="KB613" s="6"/>
      <c r="KC613" s="6"/>
      <c r="KD613" s="6"/>
      <c r="KE613" s="6"/>
      <c r="KF613" s="6"/>
      <c r="KG613" s="6"/>
      <c r="KH613" s="6"/>
      <c r="KI613" s="6"/>
      <c r="KJ613" s="6"/>
      <c r="KK613" s="6"/>
      <c r="KL613" s="6"/>
      <c r="KM613" s="6"/>
      <c r="KN613" s="6"/>
      <c r="KO613" s="6"/>
      <c r="KP613" s="6"/>
      <c r="KQ613" s="6"/>
      <c r="KR613" s="6"/>
      <c r="KS613" s="6"/>
      <c r="KT613" s="6"/>
      <c r="KU613" s="6"/>
      <c r="KV613" s="6"/>
      <c r="KW613" s="6"/>
      <c r="KX613" s="6"/>
      <c r="KY613" s="6"/>
      <c r="KZ613" s="6"/>
      <c r="LA613" s="6"/>
      <c r="LB613" s="6"/>
      <c r="LC613" s="6"/>
      <c r="LD613" s="6"/>
      <c r="LE613" s="6"/>
      <c r="LF613" s="6"/>
      <c r="LG613" s="6"/>
      <c r="LH613" s="6"/>
      <c r="LI613" s="6"/>
      <c r="LJ613" s="6"/>
      <c r="LK613" s="6"/>
      <c r="LL613" s="6"/>
      <c r="LM613" s="6"/>
      <c r="LN613" s="6"/>
      <c r="LO613" s="6"/>
      <c r="LP613" s="6"/>
      <c r="LQ613" s="6"/>
      <c r="LR613" s="6"/>
      <c r="LS613" s="6"/>
      <c r="LT613" s="6"/>
      <c r="LU613" s="6"/>
      <c r="LV613" s="6"/>
      <c r="LW613" s="6"/>
      <c r="LX613" s="6"/>
      <c r="LY613" s="6"/>
      <c r="LZ613" s="6"/>
      <c r="MA613" s="6"/>
      <c r="MB613" s="6"/>
      <c r="MC613" s="6"/>
      <c r="MD613" s="6"/>
      <c r="ME613" s="6"/>
      <c r="MF613" s="6"/>
      <c r="MG613" s="6"/>
      <c r="MH613" s="6"/>
      <c r="MI613" s="6"/>
      <c r="MJ613" s="6"/>
      <c r="MK613" s="6"/>
      <c r="ML613" s="6"/>
      <c r="MM613" s="6"/>
      <c r="MN613" s="6"/>
      <c r="MO613" s="6"/>
      <c r="MP613" s="6"/>
      <c r="MQ613" s="6"/>
      <c r="MR613" s="6"/>
      <c r="MS613" s="6"/>
      <c r="MT613" s="6"/>
      <c r="MU613" s="6"/>
      <c r="MV613" s="6"/>
      <c r="MW613" s="6"/>
      <c r="MX613" s="6"/>
      <c r="MY613" s="6"/>
      <c r="MZ613" s="6"/>
      <c r="NA613" s="6"/>
      <c r="NB613" s="6"/>
      <c r="NC613" s="6"/>
      <c r="ND613" s="6"/>
      <c r="NE613" s="6"/>
      <c r="NF613" s="6"/>
      <c r="NG613" s="6"/>
      <c r="NH613" s="6"/>
      <c r="NI613" s="6"/>
      <c r="NJ613" s="6"/>
      <c r="NK613" s="6"/>
      <c r="NL613" s="6"/>
      <c r="NM613" s="6"/>
      <c r="NN613" s="6"/>
      <c r="NO613" s="6"/>
      <c r="NP613" s="6"/>
      <c r="NQ613" s="6"/>
      <c r="NR613" s="6"/>
      <c r="NS613" s="6"/>
      <c r="NT613" s="6"/>
      <c r="NU613" s="6"/>
      <c r="NV613" s="6"/>
    </row>
    <row r="614" spans="1:386" s="19" customFormat="1" ht="20.100000000000001" customHeight="1" x14ac:dyDescent="0.35">
      <c r="A614" s="1"/>
      <c r="B614" s="2"/>
      <c r="C614" s="3"/>
      <c r="D614" s="2"/>
      <c r="E614" s="2"/>
      <c r="F614" s="4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9"/>
      <c r="FL614" s="9"/>
      <c r="FM614" s="9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135"/>
      <c r="IK614" s="135"/>
      <c r="IL614" s="135"/>
      <c r="IN614" s="6"/>
      <c r="IO614" s="6"/>
      <c r="IP614" s="6"/>
      <c r="IQ614" s="6"/>
      <c r="IR614" s="6"/>
      <c r="IS614" s="6"/>
      <c r="IT614" s="6"/>
      <c r="IU614" s="6"/>
      <c r="IV614" s="6"/>
      <c r="IW614" s="6"/>
      <c r="IX614" s="6"/>
      <c r="IY614" s="6"/>
      <c r="IZ614" s="6"/>
      <c r="JA614" s="6"/>
      <c r="JB614" s="6"/>
      <c r="JC614" s="6"/>
      <c r="JD614" s="6"/>
      <c r="JE614" s="6"/>
      <c r="JF614" s="6"/>
      <c r="JG614" s="6"/>
      <c r="JH614" s="6"/>
      <c r="JI614" s="6"/>
      <c r="JJ614" s="6"/>
      <c r="JK614" s="6"/>
      <c r="JL614" s="6"/>
      <c r="JM614" s="6"/>
      <c r="JN614" s="6"/>
      <c r="JO614" s="6"/>
      <c r="JP614" s="6"/>
      <c r="JQ614" s="6"/>
      <c r="JR614" s="6"/>
      <c r="JS614" s="6"/>
      <c r="JT614" s="6"/>
      <c r="JU614" s="6"/>
      <c r="JV614" s="6"/>
      <c r="JW614" s="6"/>
      <c r="JX614" s="6"/>
      <c r="JY614" s="6"/>
      <c r="JZ614" s="6"/>
      <c r="KA614" s="6"/>
      <c r="KB614" s="6"/>
      <c r="KC614" s="6"/>
      <c r="KD614" s="6"/>
      <c r="KE614" s="6"/>
      <c r="KF614" s="6"/>
      <c r="KG614" s="6"/>
      <c r="KH614" s="6"/>
      <c r="KI614" s="6"/>
      <c r="KJ614" s="6"/>
      <c r="KK614" s="6"/>
      <c r="KL614" s="6"/>
      <c r="KM614" s="6"/>
      <c r="KN614" s="6"/>
      <c r="KO614" s="6"/>
      <c r="KP614" s="6"/>
      <c r="KQ614" s="6"/>
      <c r="KR614" s="6"/>
      <c r="KS614" s="6"/>
      <c r="KT614" s="6"/>
      <c r="KU614" s="6"/>
      <c r="KV614" s="6"/>
      <c r="KW614" s="6"/>
      <c r="KX614" s="6"/>
      <c r="KY614" s="6"/>
      <c r="KZ614" s="6"/>
      <c r="LA614" s="6"/>
      <c r="LB614" s="6"/>
      <c r="LC614" s="6"/>
      <c r="LD614" s="6"/>
      <c r="LE614" s="6"/>
      <c r="LF614" s="6"/>
      <c r="LG614" s="6"/>
      <c r="LH614" s="6"/>
      <c r="LI614" s="6"/>
      <c r="LJ614" s="6"/>
      <c r="LK614" s="6"/>
      <c r="LL614" s="6"/>
      <c r="LM614" s="6"/>
      <c r="LN614" s="6"/>
      <c r="LO614" s="6"/>
      <c r="LP614" s="6"/>
      <c r="LQ614" s="6"/>
      <c r="LR614" s="6"/>
      <c r="LS614" s="6"/>
      <c r="LT614" s="6"/>
      <c r="LU614" s="6"/>
      <c r="LV614" s="6"/>
      <c r="LW614" s="6"/>
      <c r="LX614" s="6"/>
      <c r="LY614" s="6"/>
      <c r="LZ614" s="6"/>
      <c r="MA614" s="6"/>
      <c r="MB614" s="6"/>
      <c r="MC614" s="6"/>
      <c r="MD614" s="6"/>
      <c r="ME614" s="6"/>
      <c r="MF614" s="6"/>
      <c r="MG614" s="6"/>
      <c r="MH614" s="6"/>
      <c r="MI614" s="6"/>
      <c r="MJ614" s="6"/>
      <c r="MK614" s="6"/>
      <c r="ML614" s="6"/>
      <c r="MM614" s="6"/>
      <c r="MN614" s="6"/>
      <c r="MO614" s="6"/>
      <c r="MP614" s="6"/>
      <c r="MQ614" s="6"/>
      <c r="MR614" s="6"/>
      <c r="MS614" s="6"/>
      <c r="MT614" s="6"/>
      <c r="MU614" s="6"/>
      <c r="MV614" s="6"/>
      <c r="MW614" s="6"/>
      <c r="MX614" s="6"/>
      <c r="MY614" s="6"/>
      <c r="MZ614" s="6"/>
      <c r="NA614" s="6"/>
      <c r="NB614" s="6"/>
      <c r="NC614" s="6"/>
      <c r="ND614" s="6"/>
      <c r="NE614" s="6"/>
      <c r="NF614" s="6"/>
      <c r="NG614" s="6"/>
      <c r="NH614" s="6"/>
      <c r="NI614" s="6"/>
      <c r="NJ614" s="6"/>
      <c r="NK614" s="6"/>
      <c r="NL614" s="6"/>
      <c r="NM614" s="6"/>
      <c r="NN614" s="6"/>
      <c r="NO614" s="6"/>
      <c r="NP614" s="6"/>
      <c r="NQ614" s="6"/>
      <c r="NR614" s="6"/>
      <c r="NS614" s="6"/>
      <c r="NT614" s="6"/>
      <c r="NU614" s="6"/>
      <c r="NV614" s="6"/>
    </row>
    <row r="615" spans="1:386" s="19" customFormat="1" ht="20.100000000000001" customHeight="1" x14ac:dyDescent="0.35">
      <c r="A615" s="1"/>
      <c r="B615" s="2"/>
      <c r="C615" s="3"/>
      <c r="D615" s="2"/>
      <c r="E615" s="2"/>
      <c r="F615" s="4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9"/>
      <c r="FL615" s="9"/>
      <c r="FM615" s="9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135"/>
      <c r="IK615" s="135"/>
      <c r="IL615" s="135"/>
      <c r="IN615" s="6"/>
      <c r="IO615" s="6"/>
      <c r="IP615" s="6"/>
      <c r="IQ615" s="6"/>
      <c r="IR615" s="6"/>
      <c r="IS615" s="6"/>
      <c r="IT615" s="6"/>
      <c r="IU615" s="6"/>
      <c r="IV615" s="6"/>
      <c r="IW615" s="6"/>
      <c r="IX615" s="6"/>
      <c r="IY615" s="6"/>
      <c r="IZ615" s="6"/>
      <c r="JA615" s="6"/>
      <c r="JB615" s="6"/>
      <c r="JC615" s="6"/>
      <c r="JD615" s="6"/>
      <c r="JE615" s="6"/>
      <c r="JF615" s="6"/>
      <c r="JG615" s="6"/>
      <c r="JH615" s="6"/>
      <c r="JI615" s="6"/>
      <c r="JJ615" s="6"/>
      <c r="JK615" s="6"/>
      <c r="JL615" s="6"/>
      <c r="JM615" s="6"/>
      <c r="JN615" s="6"/>
      <c r="JO615" s="6"/>
      <c r="JP615" s="6"/>
      <c r="JQ615" s="6"/>
      <c r="JR615" s="6"/>
      <c r="JS615" s="6"/>
      <c r="JT615" s="6"/>
      <c r="JU615" s="6"/>
      <c r="JV615" s="6"/>
      <c r="JW615" s="6"/>
      <c r="JX615" s="6"/>
      <c r="JY615" s="6"/>
      <c r="JZ615" s="6"/>
      <c r="KA615" s="6"/>
      <c r="KB615" s="6"/>
      <c r="KC615" s="6"/>
      <c r="KD615" s="6"/>
      <c r="KE615" s="6"/>
      <c r="KF615" s="6"/>
      <c r="KG615" s="6"/>
      <c r="KH615" s="6"/>
      <c r="KI615" s="6"/>
      <c r="KJ615" s="6"/>
      <c r="KK615" s="6"/>
      <c r="KL615" s="6"/>
      <c r="KM615" s="6"/>
      <c r="KN615" s="6"/>
      <c r="KO615" s="6"/>
      <c r="KP615" s="6"/>
      <c r="KQ615" s="6"/>
      <c r="KR615" s="6"/>
      <c r="KS615" s="6"/>
      <c r="KT615" s="6"/>
      <c r="KU615" s="6"/>
      <c r="KV615" s="6"/>
      <c r="KW615" s="6"/>
      <c r="KX615" s="6"/>
      <c r="KY615" s="6"/>
      <c r="KZ615" s="6"/>
      <c r="LA615" s="6"/>
      <c r="LB615" s="6"/>
      <c r="LC615" s="6"/>
      <c r="LD615" s="6"/>
      <c r="LE615" s="6"/>
      <c r="LF615" s="6"/>
      <c r="LG615" s="6"/>
      <c r="LH615" s="6"/>
      <c r="LI615" s="6"/>
      <c r="LJ615" s="6"/>
      <c r="LK615" s="6"/>
      <c r="LL615" s="6"/>
      <c r="LM615" s="6"/>
      <c r="LN615" s="6"/>
      <c r="LO615" s="6"/>
      <c r="LP615" s="6"/>
      <c r="LQ615" s="6"/>
      <c r="LR615" s="6"/>
      <c r="LS615" s="6"/>
      <c r="LT615" s="6"/>
      <c r="LU615" s="6"/>
      <c r="LV615" s="6"/>
      <c r="LW615" s="6"/>
      <c r="LX615" s="6"/>
      <c r="LY615" s="6"/>
      <c r="LZ615" s="6"/>
      <c r="MA615" s="6"/>
      <c r="MB615" s="6"/>
      <c r="MC615" s="6"/>
      <c r="MD615" s="6"/>
      <c r="ME615" s="6"/>
      <c r="MF615" s="6"/>
      <c r="MG615" s="6"/>
      <c r="MH615" s="6"/>
      <c r="MI615" s="6"/>
      <c r="MJ615" s="6"/>
      <c r="MK615" s="6"/>
      <c r="ML615" s="6"/>
      <c r="MM615" s="6"/>
      <c r="MN615" s="6"/>
      <c r="MO615" s="6"/>
      <c r="MP615" s="6"/>
      <c r="MQ615" s="6"/>
      <c r="MR615" s="6"/>
      <c r="MS615" s="6"/>
      <c r="MT615" s="6"/>
      <c r="MU615" s="6"/>
      <c r="MV615" s="6"/>
      <c r="MW615" s="6"/>
      <c r="MX615" s="6"/>
      <c r="MY615" s="6"/>
      <c r="MZ615" s="6"/>
      <c r="NA615" s="6"/>
      <c r="NB615" s="6"/>
      <c r="NC615" s="6"/>
      <c r="ND615" s="6"/>
      <c r="NE615" s="6"/>
      <c r="NF615" s="6"/>
      <c r="NG615" s="6"/>
      <c r="NH615" s="6"/>
      <c r="NI615" s="6"/>
      <c r="NJ615" s="6"/>
      <c r="NK615" s="6"/>
      <c r="NL615" s="6"/>
      <c r="NM615" s="6"/>
      <c r="NN615" s="6"/>
      <c r="NO615" s="6"/>
      <c r="NP615" s="6"/>
      <c r="NQ615" s="6"/>
      <c r="NR615" s="6"/>
      <c r="NS615" s="6"/>
      <c r="NT615" s="6"/>
      <c r="NU615" s="6"/>
      <c r="NV615" s="6"/>
    </row>
    <row r="616" spans="1:386" s="19" customFormat="1" ht="20.100000000000001" customHeight="1" x14ac:dyDescent="0.35">
      <c r="A616" s="1"/>
      <c r="B616" s="2"/>
      <c r="C616" s="3"/>
      <c r="D616" s="2"/>
      <c r="E616" s="2"/>
      <c r="F616" s="4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9"/>
      <c r="FL616" s="9"/>
      <c r="FM616" s="9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135"/>
      <c r="IK616" s="135"/>
      <c r="IL616" s="135"/>
      <c r="IN616" s="6"/>
      <c r="IO616" s="6"/>
      <c r="IP616" s="6"/>
      <c r="IQ616" s="6"/>
      <c r="IR616" s="6"/>
      <c r="IS616" s="6"/>
      <c r="IT616" s="6"/>
      <c r="IU616" s="6"/>
      <c r="IV616" s="6"/>
      <c r="IW616" s="6"/>
      <c r="IX616" s="6"/>
      <c r="IY616" s="6"/>
      <c r="IZ616" s="6"/>
      <c r="JA616" s="6"/>
      <c r="JB616" s="6"/>
      <c r="JC616" s="6"/>
      <c r="JD616" s="6"/>
      <c r="JE616" s="6"/>
      <c r="JF616" s="6"/>
      <c r="JG616" s="6"/>
      <c r="JH616" s="6"/>
      <c r="JI616" s="6"/>
      <c r="JJ616" s="6"/>
      <c r="JK616" s="6"/>
      <c r="JL616" s="6"/>
      <c r="JM616" s="6"/>
      <c r="JN616" s="6"/>
      <c r="JO616" s="6"/>
      <c r="JP616" s="6"/>
      <c r="JQ616" s="6"/>
      <c r="JR616" s="6"/>
      <c r="JS616" s="6"/>
      <c r="JT616" s="6"/>
      <c r="JU616" s="6"/>
      <c r="JV616" s="6"/>
      <c r="JW616" s="6"/>
      <c r="JX616" s="6"/>
      <c r="JY616" s="6"/>
      <c r="JZ616" s="6"/>
      <c r="KA616" s="6"/>
      <c r="KB616" s="6"/>
      <c r="KC616" s="6"/>
      <c r="KD616" s="6"/>
      <c r="KE616" s="6"/>
      <c r="KF616" s="6"/>
      <c r="KG616" s="6"/>
      <c r="KH616" s="6"/>
      <c r="KI616" s="6"/>
      <c r="KJ616" s="6"/>
      <c r="KK616" s="6"/>
      <c r="KL616" s="6"/>
      <c r="KM616" s="6"/>
      <c r="KN616" s="6"/>
      <c r="KO616" s="6"/>
      <c r="KP616" s="6"/>
      <c r="KQ616" s="6"/>
      <c r="KR616" s="6"/>
      <c r="KS616" s="6"/>
      <c r="KT616" s="6"/>
      <c r="KU616" s="6"/>
      <c r="KV616" s="6"/>
      <c r="KW616" s="6"/>
      <c r="KX616" s="6"/>
      <c r="KY616" s="6"/>
      <c r="KZ616" s="6"/>
      <c r="LA616" s="6"/>
      <c r="LB616" s="6"/>
      <c r="LC616" s="6"/>
      <c r="LD616" s="6"/>
      <c r="LE616" s="6"/>
      <c r="LF616" s="6"/>
      <c r="LG616" s="6"/>
      <c r="LH616" s="6"/>
      <c r="LI616" s="6"/>
      <c r="LJ616" s="6"/>
      <c r="LK616" s="6"/>
      <c r="LL616" s="6"/>
      <c r="LM616" s="6"/>
      <c r="LN616" s="6"/>
      <c r="LO616" s="6"/>
      <c r="LP616" s="6"/>
      <c r="LQ616" s="6"/>
      <c r="LR616" s="6"/>
      <c r="LS616" s="6"/>
      <c r="LT616" s="6"/>
      <c r="LU616" s="6"/>
      <c r="LV616" s="6"/>
      <c r="LW616" s="6"/>
      <c r="LX616" s="6"/>
      <c r="LY616" s="6"/>
      <c r="LZ616" s="6"/>
      <c r="MA616" s="6"/>
      <c r="MB616" s="6"/>
      <c r="MC616" s="6"/>
      <c r="MD616" s="6"/>
      <c r="ME616" s="6"/>
      <c r="MF616" s="6"/>
      <c r="MG616" s="6"/>
      <c r="MH616" s="6"/>
      <c r="MI616" s="6"/>
      <c r="MJ616" s="6"/>
      <c r="MK616" s="6"/>
      <c r="ML616" s="6"/>
      <c r="MM616" s="6"/>
      <c r="MN616" s="6"/>
      <c r="MO616" s="6"/>
      <c r="MP616" s="6"/>
      <c r="MQ616" s="6"/>
      <c r="MR616" s="6"/>
      <c r="MS616" s="6"/>
      <c r="MT616" s="6"/>
      <c r="MU616" s="6"/>
      <c r="MV616" s="6"/>
      <c r="MW616" s="6"/>
      <c r="MX616" s="6"/>
      <c r="MY616" s="6"/>
      <c r="MZ616" s="6"/>
      <c r="NA616" s="6"/>
      <c r="NB616" s="6"/>
      <c r="NC616" s="6"/>
      <c r="ND616" s="6"/>
      <c r="NE616" s="6"/>
      <c r="NF616" s="6"/>
      <c r="NG616" s="6"/>
      <c r="NH616" s="6"/>
      <c r="NI616" s="6"/>
      <c r="NJ616" s="6"/>
      <c r="NK616" s="6"/>
      <c r="NL616" s="6"/>
      <c r="NM616" s="6"/>
      <c r="NN616" s="6"/>
      <c r="NO616" s="6"/>
      <c r="NP616" s="6"/>
      <c r="NQ616" s="6"/>
      <c r="NR616" s="6"/>
      <c r="NS616" s="6"/>
      <c r="NT616" s="6"/>
      <c r="NU616" s="6"/>
      <c r="NV616" s="6"/>
    </row>
    <row r="617" spans="1:386" s="19" customFormat="1" ht="20.100000000000001" customHeight="1" x14ac:dyDescent="0.35">
      <c r="A617" s="1"/>
      <c r="B617" s="2"/>
      <c r="C617" s="3"/>
      <c r="D617" s="2"/>
      <c r="E617" s="2"/>
      <c r="F617" s="4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9"/>
      <c r="FL617" s="9"/>
      <c r="FM617" s="9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135"/>
      <c r="IK617" s="135"/>
      <c r="IL617" s="135"/>
      <c r="IN617" s="6"/>
      <c r="IO617" s="6"/>
      <c r="IP617" s="6"/>
      <c r="IQ617" s="6"/>
      <c r="IR617" s="6"/>
      <c r="IS617" s="6"/>
      <c r="IT617" s="6"/>
      <c r="IU617" s="6"/>
      <c r="IV617" s="6"/>
      <c r="IW617" s="6"/>
      <c r="IX617" s="6"/>
      <c r="IY617" s="6"/>
      <c r="IZ617" s="6"/>
      <c r="JA617" s="6"/>
      <c r="JB617" s="6"/>
      <c r="JC617" s="6"/>
      <c r="JD617" s="6"/>
      <c r="JE617" s="6"/>
      <c r="JF617" s="6"/>
      <c r="JG617" s="6"/>
      <c r="JH617" s="6"/>
      <c r="JI617" s="6"/>
      <c r="JJ617" s="6"/>
      <c r="JK617" s="6"/>
      <c r="JL617" s="6"/>
      <c r="JM617" s="6"/>
      <c r="JN617" s="6"/>
      <c r="JO617" s="6"/>
      <c r="JP617" s="6"/>
      <c r="JQ617" s="6"/>
      <c r="JR617" s="6"/>
      <c r="JS617" s="6"/>
      <c r="JT617" s="6"/>
      <c r="JU617" s="6"/>
      <c r="JV617" s="6"/>
      <c r="JW617" s="6"/>
      <c r="JX617" s="6"/>
      <c r="JY617" s="6"/>
      <c r="JZ617" s="6"/>
      <c r="KA617" s="6"/>
      <c r="KB617" s="6"/>
      <c r="KC617" s="6"/>
      <c r="KD617" s="6"/>
      <c r="KE617" s="6"/>
      <c r="KF617" s="6"/>
      <c r="KG617" s="6"/>
      <c r="KH617" s="6"/>
      <c r="KI617" s="6"/>
      <c r="KJ617" s="6"/>
      <c r="KK617" s="6"/>
      <c r="KL617" s="6"/>
      <c r="KM617" s="6"/>
      <c r="KN617" s="6"/>
      <c r="KO617" s="6"/>
      <c r="KP617" s="6"/>
      <c r="KQ617" s="6"/>
      <c r="KR617" s="6"/>
      <c r="KS617" s="6"/>
      <c r="KT617" s="6"/>
      <c r="KU617" s="6"/>
      <c r="KV617" s="6"/>
      <c r="KW617" s="6"/>
      <c r="KX617" s="6"/>
      <c r="KY617" s="6"/>
      <c r="KZ617" s="6"/>
      <c r="LA617" s="6"/>
      <c r="LB617" s="6"/>
      <c r="LC617" s="6"/>
      <c r="LD617" s="6"/>
      <c r="LE617" s="6"/>
      <c r="LF617" s="6"/>
      <c r="LG617" s="6"/>
      <c r="LH617" s="6"/>
      <c r="LI617" s="6"/>
      <c r="LJ617" s="6"/>
      <c r="LK617" s="6"/>
      <c r="LL617" s="6"/>
      <c r="LM617" s="6"/>
      <c r="LN617" s="6"/>
      <c r="LO617" s="6"/>
      <c r="LP617" s="6"/>
      <c r="LQ617" s="6"/>
      <c r="LR617" s="6"/>
      <c r="LS617" s="6"/>
      <c r="LT617" s="6"/>
      <c r="LU617" s="6"/>
      <c r="LV617" s="6"/>
      <c r="LW617" s="6"/>
      <c r="LX617" s="6"/>
      <c r="LY617" s="6"/>
      <c r="LZ617" s="6"/>
      <c r="MA617" s="6"/>
      <c r="MB617" s="6"/>
      <c r="MC617" s="6"/>
      <c r="MD617" s="6"/>
      <c r="ME617" s="6"/>
      <c r="MF617" s="6"/>
      <c r="MG617" s="6"/>
      <c r="MH617" s="6"/>
      <c r="MI617" s="6"/>
      <c r="MJ617" s="6"/>
      <c r="MK617" s="6"/>
      <c r="ML617" s="6"/>
      <c r="MM617" s="6"/>
      <c r="MN617" s="6"/>
      <c r="MO617" s="6"/>
      <c r="MP617" s="6"/>
      <c r="MQ617" s="6"/>
      <c r="MR617" s="6"/>
      <c r="MS617" s="6"/>
      <c r="MT617" s="6"/>
      <c r="MU617" s="6"/>
      <c r="MV617" s="6"/>
      <c r="MW617" s="6"/>
      <c r="MX617" s="6"/>
      <c r="MY617" s="6"/>
      <c r="MZ617" s="6"/>
      <c r="NA617" s="6"/>
      <c r="NB617" s="6"/>
      <c r="NC617" s="6"/>
      <c r="ND617" s="6"/>
      <c r="NE617" s="6"/>
      <c r="NF617" s="6"/>
      <c r="NG617" s="6"/>
      <c r="NH617" s="6"/>
      <c r="NI617" s="6"/>
      <c r="NJ617" s="6"/>
      <c r="NK617" s="6"/>
      <c r="NL617" s="6"/>
      <c r="NM617" s="6"/>
      <c r="NN617" s="6"/>
      <c r="NO617" s="6"/>
      <c r="NP617" s="6"/>
      <c r="NQ617" s="6"/>
      <c r="NR617" s="6"/>
      <c r="NS617" s="6"/>
      <c r="NT617" s="6"/>
      <c r="NU617" s="6"/>
      <c r="NV617" s="6"/>
    </row>
    <row r="618" spans="1:386" s="19" customFormat="1" ht="20.100000000000001" customHeight="1" x14ac:dyDescent="0.35">
      <c r="A618" s="1"/>
      <c r="B618" s="2"/>
      <c r="C618" s="3"/>
      <c r="D618" s="2"/>
      <c r="E618" s="2"/>
      <c r="F618" s="4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9"/>
      <c r="FL618" s="9"/>
      <c r="FM618" s="9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135"/>
      <c r="IK618" s="135"/>
      <c r="IL618" s="135"/>
      <c r="IN618" s="6"/>
      <c r="IO618" s="6"/>
      <c r="IP618" s="6"/>
      <c r="IQ618" s="6"/>
      <c r="IR618" s="6"/>
      <c r="IS618" s="6"/>
      <c r="IT618" s="6"/>
      <c r="IU618" s="6"/>
      <c r="IV618" s="6"/>
      <c r="IW618" s="6"/>
      <c r="IX618" s="6"/>
      <c r="IY618" s="6"/>
      <c r="IZ618" s="6"/>
      <c r="JA618" s="6"/>
      <c r="JB618" s="6"/>
      <c r="JC618" s="6"/>
      <c r="JD618" s="6"/>
      <c r="JE618" s="6"/>
      <c r="JF618" s="6"/>
      <c r="JG618" s="6"/>
      <c r="JH618" s="6"/>
      <c r="JI618" s="6"/>
      <c r="JJ618" s="6"/>
      <c r="JK618" s="6"/>
      <c r="JL618" s="6"/>
      <c r="JM618" s="6"/>
      <c r="JN618" s="6"/>
      <c r="JO618" s="6"/>
      <c r="JP618" s="6"/>
      <c r="JQ618" s="6"/>
      <c r="JR618" s="6"/>
      <c r="JS618" s="6"/>
      <c r="JT618" s="6"/>
      <c r="JU618" s="6"/>
      <c r="JV618" s="6"/>
      <c r="JW618" s="6"/>
      <c r="JX618" s="6"/>
      <c r="JY618" s="6"/>
      <c r="JZ618" s="6"/>
      <c r="KA618" s="6"/>
      <c r="KB618" s="6"/>
      <c r="KC618" s="6"/>
      <c r="KD618" s="6"/>
      <c r="KE618" s="6"/>
      <c r="KF618" s="6"/>
      <c r="KG618" s="6"/>
      <c r="KH618" s="6"/>
      <c r="KI618" s="6"/>
      <c r="KJ618" s="6"/>
      <c r="KK618" s="6"/>
      <c r="KL618" s="6"/>
      <c r="KM618" s="6"/>
      <c r="KN618" s="6"/>
      <c r="KO618" s="6"/>
      <c r="KP618" s="6"/>
      <c r="KQ618" s="6"/>
      <c r="KR618" s="6"/>
      <c r="KS618" s="6"/>
      <c r="KT618" s="6"/>
      <c r="KU618" s="6"/>
      <c r="KV618" s="6"/>
      <c r="KW618" s="6"/>
      <c r="KX618" s="6"/>
      <c r="KY618" s="6"/>
      <c r="KZ618" s="6"/>
      <c r="LA618" s="6"/>
      <c r="LB618" s="6"/>
      <c r="LC618" s="6"/>
      <c r="LD618" s="6"/>
      <c r="LE618" s="6"/>
      <c r="LF618" s="6"/>
      <c r="LG618" s="6"/>
      <c r="LH618" s="6"/>
      <c r="LI618" s="6"/>
      <c r="LJ618" s="6"/>
      <c r="LK618" s="6"/>
      <c r="LL618" s="6"/>
      <c r="LM618" s="6"/>
      <c r="LN618" s="6"/>
      <c r="LO618" s="6"/>
      <c r="LP618" s="6"/>
      <c r="LQ618" s="6"/>
      <c r="LR618" s="6"/>
      <c r="LS618" s="6"/>
      <c r="LT618" s="6"/>
      <c r="LU618" s="6"/>
      <c r="LV618" s="6"/>
      <c r="LW618" s="6"/>
      <c r="LX618" s="6"/>
      <c r="LY618" s="6"/>
      <c r="LZ618" s="6"/>
      <c r="MA618" s="6"/>
      <c r="MB618" s="6"/>
      <c r="MC618" s="6"/>
      <c r="MD618" s="6"/>
      <c r="ME618" s="6"/>
      <c r="MF618" s="6"/>
      <c r="MG618" s="6"/>
      <c r="MH618" s="6"/>
      <c r="MI618" s="6"/>
      <c r="MJ618" s="6"/>
      <c r="MK618" s="6"/>
      <c r="ML618" s="6"/>
      <c r="MM618" s="6"/>
      <c r="MN618" s="6"/>
      <c r="MO618" s="6"/>
      <c r="MP618" s="6"/>
      <c r="MQ618" s="6"/>
      <c r="MR618" s="6"/>
      <c r="MS618" s="6"/>
      <c r="MT618" s="6"/>
      <c r="MU618" s="6"/>
      <c r="MV618" s="6"/>
      <c r="MW618" s="6"/>
      <c r="MX618" s="6"/>
      <c r="MY618" s="6"/>
      <c r="MZ618" s="6"/>
      <c r="NA618" s="6"/>
      <c r="NB618" s="6"/>
      <c r="NC618" s="6"/>
      <c r="ND618" s="6"/>
      <c r="NE618" s="6"/>
      <c r="NF618" s="6"/>
      <c r="NG618" s="6"/>
      <c r="NH618" s="6"/>
      <c r="NI618" s="6"/>
      <c r="NJ618" s="6"/>
      <c r="NK618" s="6"/>
      <c r="NL618" s="6"/>
      <c r="NM618" s="6"/>
      <c r="NN618" s="6"/>
      <c r="NO618" s="6"/>
      <c r="NP618" s="6"/>
      <c r="NQ618" s="6"/>
      <c r="NR618" s="6"/>
      <c r="NS618" s="6"/>
      <c r="NT618" s="6"/>
      <c r="NU618" s="6"/>
      <c r="NV618" s="6"/>
    </row>
    <row r="619" spans="1:386" s="19" customFormat="1" ht="20.100000000000001" customHeight="1" x14ac:dyDescent="0.35">
      <c r="A619" s="1"/>
      <c r="B619" s="2"/>
      <c r="C619" s="3"/>
      <c r="D619" s="2"/>
      <c r="E619" s="2"/>
      <c r="F619" s="4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9"/>
      <c r="FL619" s="9"/>
      <c r="FM619" s="9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135"/>
      <c r="IK619" s="135"/>
      <c r="IL619" s="135"/>
      <c r="IN619" s="6"/>
      <c r="IO619" s="6"/>
      <c r="IP619" s="6"/>
      <c r="IQ619" s="6"/>
      <c r="IR619" s="6"/>
      <c r="IS619" s="6"/>
      <c r="IT619" s="6"/>
      <c r="IU619" s="6"/>
      <c r="IV619" s="6"/>
      <c r="IW619" s="6"/>
      <c r="IX619" s="6"/>
      <c r="IY619" s="6"/>
      <c r="IZ619" s="6"/>
      <c r="JA619" s="6"/>
      <c r="JB619" s="6"/>
      <c r="JC619" s="6"/>
      <c r="JD619" s="6"/>
      <c r="JE619" s="6"/>
      <c r="JF619" s="6"/>
      <c r="JG619" s="6"/>
      <c r="JH619" s="6"/>
      <c r="JI619" s="6"/>
      <c r="JJ619" s="6"/>
      <c r="JK619" s="6"/>
      <c r="JL619" s="6"/>
      <c r="JM619" s="6"/>
      <c r="JN619" s="6"/>
      <c r="JO619" s="6"/>
      <c r="JP619" s="6"/>
      <c r="JQ619" s="6"/>
      <c r="JR619" s="6"/>
      <c r="JS619" s="6"/>
      <c r="JT619" s="6"/>
      <c r="JU619" s="6"/>
      <c r="JV619" s="6"/>
      <c r="JW619" s="6"/>
      <c r="JX619" s="6"/>
      <c r="JY619" s="6"/>
      <c r="JZ619" s="6"/>
      <c r="KA619" s="6"/>
      <c r="KB619" s="6"/>
      <c r="KC619" s="6"/>
      <c r="KD619" s="6"/>
      <c r="KE619" s="6"/>
      <c r="KF619" s="6"/>
      <c r="KG619" s="6"/>
      <c r="KH619" s="6"/>
      <c r="KI619" s="6"/>
      <c r="KJ619" s="6"/>
      <c r="KK619" s="6"/>
      <c r="KL619" s="6"/>
      <c r="KM619" s="6"/>
      <c r="KN619" s="6"/>
      <c r="KO619" s="6"/>
      <c r="KP619" s="6"/>
      <c r="KQ619" s="6"/>
      <c r="KR619" s="6"/>
      <c r="KS619" s="6"/>
      <c r="KT619" s="6"/>
      <c r="KU619" s="6"/>
      <c r="KV619" s="6"/>
      <c r="KW619" s="6"/>
      <c r="KX619" s="6"/>
      <c r="KY619" s="6"/>
      <c r="KZ619" s="6"/>
      <c r="LA619" s="6"/>
      <c r="LB619" s="6"/>
      <c r="LC619" s="6"/>
      <c r="LD619" s="6"/>
      <c r="LE619" s="6"/>
      <c r="LF619" s="6"/>
      <c r="LG619" s="6"/>
      <c r="LH619" s="6"/>
      <c r="LI619" s="6"/>
      <c r="LJ619" s="6"/>
      <c r="LK619" s="6"/>
      <c r="LL619" s="6"/>
      <c r="LM619" s="6"/>
      <c r="LN619" s="6"/>
      <c r="LO619" s="6"/>
      <c r="LP619" s="6"/>
      <c r="LQ619" s="6"/>
      <c r="LR619" s="6"/>
      <c r="LS619" s="6"/>
      <c r="LT619" s="6"/>
      <c r="LU619" s="6"/>
      <c r="LV619" s="6"/>
      <c r="LW619" s="6"/>
      <c r="LX619" s="6"/>
      <c r="LY619" s="6"/>
      <c r="LZ619" s="6"/>
      <c r="MA619" s="6"/>
      <c r="MB619" s="6"/>
      <c r="MC619" s="6"/>
      <c r="MD619" s="6"/>
      <c r="ME619" s="6"/>
      <c r="MF619" s="6"/>
      <c r="MG619" s="6"/>
      <c r="MH619" s="6"/>
      <c r="MI619" s="6"/>
      <c r="MJ619" s="6"/>
      <c r="MK619" s="6"/>
      <c r="ML619" s="6"/>
      <c r="MM619" s="6"/>
      <c r="MN619" s="6"/>
      <c r="MO619" s="6"/>
      <c r="MP619" s="6"/>
      <c r="MQ619" s="6"/>
      <c r="MR619" s="6"/>
      <c r="MS619" s="6"/>
      <c r="MT619" s="6"/>
      <c r="MU619" s="6"/>
      <c r="MV619" s="6"/>
      <c r="MW619" s="6"/>
      <c r="MX619" s="6"/>
      <c r="MY619" s="6"/>
      <c r="MZ619" s="6"/>
      <c r="NA619" s="6"/>
      <c r="NB619" s="6"/>
      <c r="NC619" s="6"/>
      <c r="ND619" s="6"/>
      <c r="NE619" s="6"/>
      <c r="NF619" s="6"/>
      <c r="NG619" s="6"/>
      <c r="NH619" s="6"/>
      <c r="NI619" s="6"/>
      <c r="NJ619" s="6"/>
      <c r="NK619" s="6"/>
      <c r="NL619" s="6"/>
      <c r="NM619" s="6"/>
      <c r="NN619" s="6"/>
      <c r="NO619" s="6"/>
      <c r="NP619" s="6"/>
      <c r="NQ619" s="6"/>
      <c r="NR619" s="6"/>
      <c r="NS619" s="6"/>
      <c r="NT619" s="6"/>
      <c r="NU619" s="6"/>
      <c r="NV619" s="6"/>
    </row>
    <row r="620" spans="1:386" s="19" customFormat="1" ht="20.100000000000001" customHeight="1" x14ac:dyDescent="0.35">
      <c r="A620" s="1"/>
      <c r="B620" s="2"/>
      <c r="C620" s="3"/>
      <c r="D620" s="2"/>
      <c r="E620" s="2"/>
      <c r="F620" s="4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9"/>
      <c r="FL620" s="9"/>
      <c r="FM620" s="9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135"/>
      <c r="IK620" s="135"/>
      <c r="IL620" s="135"/>
      <c r="IN620" s="6"/>
      <c r="IO620" s="6"/>
      <c r="IP620" s="6"/>
      <c r="IQ620" s="6"/>
      <c r="IR620" s="6"/>
      <c r="IS620" s="6"/>
      <c r="IT620" s="6"/>
      <c r="IU620" s="6"/>
      <c r="IV620" s="6"/>
      <c r="IW620" s="6"/>
      <c r="IX620" s="6"/>
      <c r="IY620" s="6"/>
      <c r="IZ620" s="6"/>
      <c r="JA620" s="6"/>
      <c r="JB620" s="6"/>
      <c r="JC620" s="6"/>
      <c r="JD620" s="6"/>
      <c r="JE620" s="6"/>
      <c r="JF620" s="6"/>
      <c r="JG620" s="6"/>
      <c r="JH620" s="6"/>
      <c r="JI620" s="6"/>
      <c r="JJ620" s="6"/>
      <c r="JK620" s="6"/>
      <c r="JL620" s="6"/>
      <c r="JM620" s="6"/>
      <c r="JN620" s="6"/>
      <c r="JO620" s="6"/>
      <c r="JP620" s="6"/>
      <c r="JQ620" s="6"/>
      <c r="JR620" s="6"/>
      <c r="JS620" s="6"/>
      <c r="JT620" s="6"/>
      <c r="JU620" s="6"/>
      <c r="JV620" s="6"/>
      <c r="JW620" s="6"/>
      <c r="JX620" s="6"/>
      <c r="JY620" s="6"/>
      <c r="JZ620" s="6"/>
      <c r="KA620" s="6"/>
      <c r="KB620" s="6"/>
      <c r="KC620" s="6"/>
      <c r="KD620" s="6"/>
      <c r="KE620" s="6"/>
      <c r="KF620" s="6"/>
      <c r="KG620" s="6"/>
      <c r="KH620" s="6"/>
      <c r="KI620" s="6"/>
      <c r="KJ620" s="6"/>
      <c r="KK620" s="6"/>
      <c r="KL620" s="6"/>
      <c r="KM620" s="6"/>
      <c r="KN620" s="6"/>
      <c r="KO620" s="6"/>
      <c r="KP620" s="6"/>
      <c r="KQ620" s="6"/>
      <c r="KR620" s="6"/>
      <c r="KS620" s="6"/>
      <c r="KT620" s="6"/>
      <c r="KU620" s="6"/>
      <c r="KV620" s="6"/>
      <c r="KW620" s="6"/>
      <c r="KX620" s="6"/>
      <c r="KY620" s="6"/>
      <c r="KZ620" s="6"/>
      <c r="LA620" s="6"/>
      <c r="LB620" s="6"/>
      <c r="LC620" s="6"/>
      <c r="LD620" s="6"/>
      <c r="LE620" s="6"/>
      <c r="LF620" s="6"/>
      <c r="LG620" s="6"/>
      <c r="LH620" s="6"/>
      <c r="LI620" s="6"/>
      <c r="LJ620" s="6"/>
      <c r="LK620" s="6"/>
      <c r="LL620" s="6"/>
      <c r="LM620" s="6"/>
      <c r="LN620" s="6"/>
      <c r="LO620" s="6"/>
      <c r="LP620" s="6"/>
      <c r="LQ620" s="6"/>
      <c r="LR620" s="6"/>
      <c r="LS620" s="6"/>
      <c r="LT620" s="6"/>
      <c r="LU620" s="6"/>
      <c r="LV620" s="6"/>
      <c r="LW620" s="6"/>
      <c r="LX620" s="6"/>
      <c r="LY620" s="6"/>
      <c r="LZ620" s="6"/>
      <c r="MA620" s="6"/>
      <c r="MB620" s="6"/>
      <c r="MC620" s="6"/>
      <c r="MD620" s="6"/>
      <c r="ME620" s="6"/>
      <c r="MF620" s="6"/>
      <c r="MG620" s="6"/>
      <c r="MH620" s="6"/>
      <c r="MI620" s="6"/>
      <c r="MJ620" s="6"/>
      <c r="MK620" s="6"/>
      <c r="ML620" s="6"/>
      <c r="MM620" s="6"/>
      <c r="MN620" s="6"/>
      <c r="MO620" s="6"/>
      <c r="MP620" s="6"/>
      <c r="MQ620" s="6"/>
      <c r="MR620" s="6"/>
      <c r="MS620" s="6"/>
      <c r="MT620" s="6"/>
      <c r="MU620" s="6"/>
      <c r="MV620" s="6"/>
      <c r="MW620" s="6"/>
      <c r="MX620" s="6"/>
      <c r="MY620" s="6"/>
      <c r="MZ620" s="6"/>
      <c r="NA620" s="6"/>
      <c r="NB620" s="6"/>
      <c r="NC620" s="6"/>
      <c r="ND620" s="6"/>
      <c r="NE620" s="6"/>
      <c r="NF620" s="6"/>
      <c r="NG620" s="6"/>
      <c r="NH620" s="6"/>
      <c r="NI620" s="6"/>
      <c r="NJ620" s="6"/>
      <c r="NK620" s="6"/>
      <c r="NL620" s="6"/>
      <c r="NM620" s="6"/>
      <c r="NN620" s="6"/>
      <c r="NO620" s="6"/>
      <c r="NP620" s="6"/>
      <c r="NQ620" s="6"/>
      <c r="NR620" s="6"/>
      <c r="NS620" s="6"/>
      <c r="NT620" s="6"/>
      <c r="NU620" s="6"/>
      <c r="NV620" s="6"/>
    </row>
    <row r="621" spans="1:386" s="19" customFormat="1" ht="20.100000000000001" customHeight="1" x14ac:dyDescent="0.35">
      <c r="A621" s="1"/>
      <c r="B621" s="2"/>
      <c r="C621" s="3"/>
      <c r="D621" s="2"/>
      <c r="E621" s="2"/>
      <c r="F621" s="4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9"/>
      <c r="FL621" s="9"/>
      <c r="FM621" s="9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135"/>
      <c r="IK621" s="135"/>
      <c r="IL621" s="135"/>
      <c r="IN621" s="6"/>
      <c r="IO621" s="6"/>
      <c r="IP621" s="6"/>
      <c r="IQ621" s="6"/>
      <c r="IR621" s="6"/>
      <c r="IS621" s="6"/>
      <c r="IT621" s="6"/>
      <c r="IU621" s="6"/>
      <c r="IV621" s="6"/>
      <c r="IW621" s="6"/>
      <c r="IX621" s="6"/>
      <c r="IY621" s="6"/>
      <c r="IZ621" s="6"/>
      <c r="JA621" s="6"/>
      <c r="JB621" s="6"/>
      <c r="JC621" s="6"/>
      <c r="JD621" s="6"/>
      <c r="JE621" s="6"/>
      <c r="JF621" s="6"/>
      <c r="JG621" s="6"/>
      <c r="JH621" s="6"/>
      <c r="JI621" s="6"/>
      <c r="JJ621" s="6"/>
      <c r="JK621" s="6"/>
      <c r="JL621" s="6"/>
      <c r="JM621" s="6"/>
      <c r="JN621" s="6"/>
      <c r="JO621" s="6"/>
      <c r="JP621" s="6"/>
      <c r="JQ621" s="6"/>
      <c r="JR621" s="6"/>
      <c r="JS621" s="6"/>
      <c r="JT621" s="6"/>
      <c r="JU621" s="6"/>
      <c r="JV621" s="6"/>
      <c r="JW621" s="6"/>
      <c r="JX621" s="6"/>
      <c r="JY621" s="6"/>
      <c r="JZ621" s="6"/>
      <c r="KA621" s="6"/>
      <c r="KB621" s="6"/>
      <c r="KC621" s="6"/>
      <c r="KD621" s="6"/>
      <c r="KE621" s="6"/>
      <c r="KF621" s="6"/>
      <c r="KG621" s="6"/>
      <c r="KH621" s="6"/>
      <c r="KI621" s="6"/>
      <c r="KJ621" s="6"/>
      <c r="KK621" s="6"/>
      <c r="KL621" s="6"/>
      <c r="KM621" s="6"/>
      <c r="KN621" s="6"/>
      <c r="KO621" s="6"/>
      <c r="KP621" s="6"/>
      <c r="KQ621" s="6"/>
      <c r="KR621" s="6"/>
      <c r="KS621" s="6"/>
      <c r="KT621" s="6"/>
      <c r="KU621" s="6"/>
      <c r="KV621" s="6"/>
      <c r="KW621" s="6"/>
      <c r="KX621" s="6"/>
      <c r="KY621" s="6"/>
      <c r="KZ621" s="6"/>
      <c r="LA621" s="6"/>
      <c r="LB621" s="6"/>
      <c r="LC621" s="6"/>
      <c r="LD621" s="6"/>
      <c r="LE621" s="6"/>
      <c r="LF621" s="6"/>
      <c r="LG621" s="6"/>
      <c r="LH621" s="6"/>
      <c r="LI621" s="6"/>
      <c r="LJ621" s="6"/>
      <c r="LK621" s="6"/>
      <c r="LL621" s="6"/>
      <c r="LM621" s="6"/>
      <c r="LN621" s="6"/>
      <c r="LO621" s="6"/>
      <c r="LP621" s="6"/>
      <c r="LQ621" s="6"/>
      <c r="LR621" s="6"/>
      <c r="LS621" s="6"/>
      <c r="LT621" s="6"/>
      <c r="LU621" s="6"/>
      <c r="LV621" s="6"/>
      <c r="LW621" s="6"/>
      <c r="LX621" s="6"/>
      <c r="LY621" s="6"/>
      <c r="LZ621" s="6"/>
      <c r="MA621" s="6"/>
      <c r="MB621" s="6"/>
      <c r="MC621" s="6"/>
      <c r="MD621" s="6"/>
      <c r="ME621" s="6"/>
      <c r="MF621" s="6"/>
      <c r="MG621" s="6"/>
      <c r="MH621" s="6"/>
      <c r="MI621" s="6"/>
      <c r="MJ621" s="6"/>
      <c r="MK621" s="6"/>
      <c r="ML621" s="6"/>
      <c r="MM621" s="6"/>
      <c r="MN621" s="6"/>
      <c r="MO621" s="6"/>
      <c r="MP621" s="6"/>
      <c r="MQ621" s="6"/>
      <c r="MR621" s="6"/>
      <c r="MS621" s="6"/>
      <c r="MT621" s="6"/>
      <c r="MU621" s="6"/>
      <c r="MV621" s="6"/>
      <c r="MW621" s="6"/>
      <c r="MX621" s="6"/>
      <c r="MY621" s="6"/>
      <c r="MZ621" s="6"/>
      <c r="NA621" s="6"/>
      <c r="NB621" s="6"/>
      <c r="NC621" s="6"/>
      <c r="ND621" s="6"/>
      <c r="NE621" s="6"/>
      <c r="NF621" s="6"/>
      <c r="NG621" s="6"/>
      <c r="NH621" s="6"/>
      <c r="NI621" s="6"/>
      <c r="NJ621" s="6"/>
      <c r="NK621" s="6"/>
      <c r="NL621" s="6"/>
      <c r="NM621" s="6"/>
      <c r="NN621" s="6"/>
      <c r="NO621" s="6"/>
      <c r="NP621" s="6"/>
      <c r="NQ621" s="6"/>
      <c r="NR621" s="6"/>
      <c r="NS621" s="6"/>
      <c r="NT621" s="6"/>
      <c r="NU621" s="6"/>
      <c r="NV621" s="6"/>
    </row>
    <row r="622" spans="1:386" s="19" customFormat="1" ht="20.100000000000001" customHeight="1" x14ac:dyDescent="0.35">
      <c r="A622" s="1"/>
      <c r="B622" s="2"/>
      <c r="C622" s="3"/>
      <c r="D622" s="2"/>
      <c r="E622" s="2"/>
      <c r="F622" s="4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9"/>
      <c r="FL622" s="9"/>
      <c r="FM622" s="9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135"/>
      <c r="IK622" s="135"/>
      <c r="IL622" s="135"/>
      <c r="IN622" s="6"/>
      <c r="IO622" s="6"/>
      <c r="IP622" s="6"/>
      <c r="IQ622" s="6"/>
      <c r="IR622" s="6"/>
      <c r="IS622" s="6"/>
      <c r="IT622" s="6"/>
      <c r="IU622" s="6"/>
      <c r="IV622" s="6"/>
      <c r="IW622" s="6"/>
      <c r="IX622" s="6"/>
      <c r="IY622" s="6"/>
      <c r="IZ622" s="6"/>
      <c r="JA622" s="6"/>
      <c r="JB622" s="6"/>
      <c r="JC622" s="6"/>
      <c r="JD622" s="6"/>
      <c r="JE622" s="6"/>
      <c r="JF622" s="6"/>
      <c r="JG622" s="6"/>
      <c r="JH622" s="6"/>
      <c r="JI622" s="6"/>
      <c r="JJ622" s="6"/>
      <c r="JK622" s="6"/>
      <c r="JL622" s="6"/>
      <c r="JM622" s="6"/>
      <c r="JN622" s="6"/>
      <c r="JO622" s="6"/>
      <c r="JP622" s="6"/>
      <c r="JQ622" s="6"/>
      <c r="JR622" s="6"/>
      <c r="JS622" s="6"/>
      <c r="JT622" s="6"/>
      <c r="JU622" s="6"/>
      <c r="JV622" s="6"/>
      <c r="JW622" s="6"/>
      <c r="JX622" s="6"/>
      <c r="JY622" s="6"/>
      <c r="JZ622" s="6"/>
      <c r="KA622" s="6"/>
      <c r="KB622" s="6"/>
      <c r="KC622" s="6"/>
      <c r="KD622" s="6"/>
      <c r="KE622" s="6"/>
      <c r="KF622" s="6"/>
      <c r="KG622" s="6"/>
      <c r="KH622" s="6"/>
      <c r="KI622" s="6"/>
      <c r="KJ622" s="6"/>
      <c r="KK622" s="6"/>
      <c r="KL622" s="6"/>
      <c r="KM622" s="6"/>
      <c r="KN622" s="6"/>
      <c r="KO622" s="6"/>
      <c r="KP622" s="6"/>
      <c r="KQ622" s="6"/>
      <c r="KR622" s="6"/>
      <c r="KS622" s="6"/>
      <c r="KT622" s="6"/>
      <c r="KU622" s="6"/>
      <c r="KV622" s="6"/>
      <c r="KW622" s="6"/>
      <c r="KX622" s="6"/>
      <c r="KY622" s="6"/>
      <c r="KZ622" s="6"/>
      <c r="LA622" s="6"/>
      <c r="LB622" s="6"/>
      <c r="LC622" s="6"/>
      <c r="LD622" s="6"/>
      <c r="LE622" s="6"/>
      <c r="LF622" s="6"/>
      <c r="LG622" s="6"/>
      <c r="LH622" s="6"/>
      <c r="LI622" s="6"/>
      <c r="LJ622" s="6"/>
      <c r="LK622" s="6"/>
      <c r="LL622" s="6"/>
      <c r="LM622" s="6"/>
      <c r="LN622" s="6"/>
      <c r="LO622" s="6"/>
      <c r="LP622" s="6"/>
      <c r="LQ622" s="6"/>
      <c r="LR622" s="6"/>
      <c r="LS622" s="6"/>
      <c r="LT622" s="6"/>
      <c r="LU622" s="6"/>
      <c r="LV622" s="6"/>
      <c r="LW622" s="6"/>
      <c r="LX622" s="6"/>
      <c r="LY622" s="6"/>
      <c r="LZ622" s="6"/>
      <c r="MA622" s="6"/>
      <c r="MB622" s="6"/>
      <c r="MC622" s="6"/>
      <c r="MD622" s="6"/>
      <c r="ME622" s="6"/>
      <c r="MF622" s="6"/>
      <c r="MG622" s="6"/>
      <c r="MH622" s="6"/>
      <c r="MI622" s="6"/>
      <c r="MJ622" s="6"/>
      <c r="MK622" s="6"/>
      <c r="ML622" s="6"/>
      <c r="MM622" s="6"/>
      <c r="MN622" s="6"/>
      <c r="MO622" s="6"/>
      <c r="MP622" s="6"/>
      <c r="MQ622" s="6"/>
      <c r="MR622" s="6"/>
      <c r="MS622" s="6"/>
      <c r="MT622" s="6"/>
      <c r="MU622" s="6"/>
      <c r="MV622" s="6"/>
      <c r="MW622" s="6"/>
      <c r="MX622" s="6"/>
      <c r="MY622" s="6"/>
      <c r="MZ622" s="6"/>
      <c r="NA622" s="6"/>
      <c r="NB622" s="6"/>
      <c r="NC622" s="6"/>
      <c r="ND622" s="6"/>
      <c r="NE622" s="6"/>
      <c r="NF622" s="6"/>
      <c r="NG622" s="6"/>
      <c r="NH622" s="6"/>
      <c r="NI622" s="6"/>
      <c r="NJ622" s="6"/>
      <c r="NK622" s="6"/>
      <c r="NL622" s="6"/>
      <c r="NM622" s="6"/>
      <c r="NN622" s="6"/>
      <c r="NO622" s="6"/>
      <c r="NP622" s="6"/>
      <c r="NQ622" s="6"/>
      <c r="NR622" s="6"/>
      <c r="NS622" s="6"/>
      <c r="NT622" s="6"/>
      <c r="NU622" s="6"/>
      <c r="NV622" s="6"/>
    </row>
    <row r="623" spans="1:386" s="19" customFormat="1" ht="20.100000000000001" customHeight="1" x14ac:dyDescent="0.35">
      <c r="A623" s="1"/>
      <c r="B623" s="2"/>
      <c r="C623" s="3"/>
      <c r="D623" s="2"/>
      <c r="E623" s="2"/>
      <c r="F623" s="4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9"/>
      <c r="FL623" s="9"/>
      <c r="FM623" s="9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135"/>
      <c r="IK623" s="135"/>
      <c r="IL623" s="135"/>
      <c r="IN623" s="6"/>
      <c r="IO623" s="6"/>
      <c r="IP623" s="6"/>
      <c r="IQ623" s="6"/>
      <c r="IR623" s="6"/>
      <c r="IS623" s="6"/>
      <c r="IT623" s="6"/>
      <c r="IU623" s="6"/>
      <c r="IV623" s="6"/>
      <c r="IW623" s="6"/>
      <c r="IX623" s="6"/>
      <c r="IY623" s="6"/>
      <c r="IZ623" s="6"/>
      <c r="JA623" s="6"/>
      <c r="JB623" s="6"/>
      <c r="JC623" s="6"/>
      <c r="JD623" s="6"/>
      <c r="JE623" s="6"/>
      <c r="JF623" s="6"/>
      <c r="JG623" s="6"/>
      <c r="JH623" s="6"/>
      <c r="JI623" s="6"/>
      <c r="JJ623" s="6"/>
      <c r="JK623" s="6"/>
      <c r="JL623" s="6"/>
      <c r="JM623" s="6"/>
      <c r="JN623" s="6"/>
      <c r="JO623" s="6"/>
      <c r="JP623" s="6"/>
      <c r="JQ623" s="6"/>
      <c r="JR623" s="6"/>
      <c r="JS623" s="6"/>
      <c r="JT623" s="6"/>
      <c r="JU623" s="6"/>
      <c r="JV623" s="6"/>
      <c r="JW623" s="6"/>
      <c r="JX623" s="6"/>
      <c r="JY623" s="6"/>
      <c r="JZ623" s="6"/>
      <c r="KA623" s="6"/>
      <c r="KB623" s="6"/>
      <c r="KC623" s="6"/>
      <c r="KD623" s="6"/>
      <c r="KE623" s="6"/>
      <c r="KF623" s="6"/>
      <c r="KG623" s="6"/>
      <c r="KH623" s="6"/>
      <c r="KI623" s="6"/>
      <c r="KJ623" s="6"/>
      <c r="KK623" s="6"/>
      <c r="KL623" s="6"/>
      <c r="KM623" s="6"/>
      <c r="KN623" s="6"/>
      <c r="KO623" s="6"/>
      <c r="KP623" s="6"/>
      <c r="KQ623" s="6"/>
      <c r="KR623" s="6"/>
      <c r="KS623" s="6"/>
      <c r="KT623" s="6"/>
      <c r="KU623" s="6"/>
      <c r="KV623" s="6"/>
      <c r="KW623" s="6"/>
      <c r="KX623" s="6"/>
      <c r="KY623" s="6"/>
      <c r="KZ623" s="6"/>
      <c r="LA623" s="6"/>
      <c r="LB623" s="6"/>
      <c r="LC623" s="6"/>
      <c r="LD623" s="6"/>
      <c r="LE623" s="6"/>
      <c r="LF623" s="6"/>
      <c r="LG623" s="6"/>
      <c r="LH623" s="6"/>
      <c r="LI623" s="6"/>
      <c r="LJ623" s="6"/>
      <c r="LK623" s="6"/>
      <c r="LL623" s="6"/>
      <c r="LM623" s="6"/>
      <c r="LN623" s="6"/>
      <c r="LO623" s="6"/>
      <c r="LP623" s="6"/>
      <c r="LQ623" s="6"/>
      <c r="LR623" s="6"/>
      <c r="LS623" s="6"/>
      <c r="LT623" s="6"/>
      <c r="LU623" s="6"/>
      <c r="LV623" s="6"/>
      <c r="LW623" s="6"/>
      <c r="LX623" s="6"/>
      <c r="LY623" s="6"/>
      <c r="LZ623" s="6"/>
      <c r="MA623" s="6"/>
      <c r="MB623" s="6"/>
      <c r="MC623" s="6"/>
      <c r="MD623" s="6"/>
      <c r="ME623" s="6"/>
      <c r="MF623" s="6"/>
      <c r="MG623" s="6"/>
      <c r="MH623" s="6"/>
      <c r="MI623" s="6"/>
      <c r="MJ623" s="6"/>
      <c r="MK623" s="6"/>
      <c r="ML623" s="6"/>
      <c r="MM623" s="6"/>
      <c r="MN623" s="6"/>
      <c r="MO623" s="6"/>
      <c r="MP623" s="6"/>
      <c r="MQ623" s="6"/>
      <c r="MR623" s="6"/>
      <c r="MS623" s="6"/>
      <c r="MT623" s="6"/>
      <c r="MU623" s="6"/>
      <c r="MV623" s="6"/>
      <c r="MW623" s="6"/>
      <c r="MX623" s="6"/>
      <c r="MY623" s="6"/>
      <c r="MZ623" s="6"/>
      <c r="NA623" s="6"/>
      <c r="NB623" s="6"/>
      <c r="NC623" s="6"/>
      <c r="ND623" s="6"/>
      <c r="NE623" s="6"/>
      <c r="NF623" s="6"/>
      <c r="NG623" s="6"/>
      <c r="NH623" s="6"/>
      <c r="NI623" s="6"/>
      <c r="NJ623" s="6"/>
      <c r="NK623" s="6"/>
      <c r="NL623" s="6"/>
      <c r="NM623" s="6"/>
      <c r="NN623" s="6"/>
      <c r="NO623" s="6"/>
      <c r="NP623" s="6"/>
      <c r="NQ623" s="6"/>
      <c r="NR623" s="6"/>
      <c r="NS623" s="6"/>
      <c r="NT623" s="6"/>
      <c r="NU623" s="6"/>
      <c r="NV623" s="6"/>
    </row>
    <row r="624" spans="1:386" s="19" customFormat="1" ht="20.100000000000001" customHeight="1" x14ac:dyDescent="0.35">
      <c r="A624" s="1"/>
      <c r="B624" s="2"/>
      <c r="C624" s="3"/>
      <c r="D624" s="2"/>
      <c r="E624" s="2"/>
      <c r="F624" s="4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9"/>
      <c r="FL624" s="9"/>
      <c r="FM624" s="9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135"/>
      <c r="IK624" s="135"/>
      <c r="IL624" s="135"/>
      <c r="IN624" s="6"/>
      <c r="IO624" s="6"/>
      <c r="IP624" s="6"/>
      <c r="IQ624" s="6"/>
      <c r="IR624" s="6"/>
      <c r="IS624" s="6"/>
      <c r="IT624" s="6"/>
      <c r="IU624" s="6"/>
      <c r="IV624" s="6"/>
      <c r="IW624" s="6"/>
      <c r="IX624" s="6"/>
      <c r="IY624" s="6"/>
      <c r="IZ624" s="6"/>
      <c r="JA624" s="6"/>
      <c r="JB624" s="6"/>
      <c r="JC624" s="6"/>
      <c r="JD624" s="6"/>
      <c r="JE624" s="6"/>
      <c r="JF624" s="6"/>
      <c r="JG624" s="6"/>
      <c r="JH624" s="6"/>
      <c r="JI624" s="6"/>
      <c r="JJ624" s="6"/>
      <c r="JK624" s="6"/>
      <c r="JL624" s="6"/>
      <c r="JM624" s="6"/>
      <c r="JN624" s="6"/>
      <c r="JO624" s="6"/>
      <c r="JP624" s="6"/>
      <c r="JQ624" s="6"/>
      <c r="JR624" s="6"/>
      <c r="JS624" s="6"/>
      <c r="JT624" s="6"/>
      <c r="JU624" s="6"/>
      <c r="JV624" s="6"/>
      <c r="JW624" s="6"/>
      <c r="JX624" s="6"/>
      <c r="JY624" s="6"/>
      <c r="JZ624" s="6"/>
      <c r="KA624" s="6"/>
      <c r="KB624" s="6"/>
      <c r="KC624" s="6"/>
      <c r="KD624" s="6"/>
      <c r="KE624" s="6"/>
      <c r="KF624" s="6"/>
      <c r="KG624" s="6"/>
      <c r="KH624" s="6"/>
      <c r="KI624" s="6"/>
      <c r="KJ624" s="6"/>
      <c r="KK624" s="6"/>
      <c r="KL624" s="6"/>
      <c r="KM624" s="6"/>
      <c r="KN624" s="6"/>
      <c r="KO624" s="6"/>
      <c r="KP624" s="6"/>
      <c r="KQ624" s="6"/>
      <c r="KR624" s="6"/>
      <c r="KS624" s="6"/>
      <c r="KT624" s="6"/>
      <c r="KU624" s="6"/>
      <c r="KV624" s="6"/>
      <c r="KW624" s="6"/>
      <c r="KX624" s="6"/>
      <c r="KY624" s="6"/>
      <c r="KZ624" s="6"/>
      <c r="LA624" s="6"/>
      <c r="LB624" s="6"/>
      <c r="LC624" s="6"/>
      <c r="LD624" s="6"/>
      <c r="LE624" s="6"/>
      <c r="LF624" s="6"/>
      <c r="LG624" s="6"/>
      <c r="LH624" s="6"/>
      <c r="LI624" s="6"/>
      <c r="LJ624" s="6"/>
      <c r="LK624" s="6"/>
      <c r="LL624" s="6"/>
      <c r="LM624" s="6"/>
      <c r="LN624" s="6"/>
      <c r="LO624" s="6"/>
      <c r="LP624" s="6"/>
      <c r="LQ624" s="6"/>
      <c r="LR624" s="6"/>
      <c r="LS624" s="6"/>
      <c r="LT624" s="6"/>
      <c r="LU624" s="6"/>
      <c r="LV624" s="6"/>
      <c r="LW624" s="6"/>
      <c r="LX624" s="6"/>
      <c r="LY624" s="6"/>
      <c r="LZ624" s="6"/>
      <c r="MA624" s="6"/>
      <c r="MB624" s="6"/>
      <c r="MC624" s="6"/>
      <c r="MD624" s="6"/>
      <c r="ME624" s="6"/>
      <c r="MF624" s="6"/>
      <c r="MG624" s="6"/>
      <c r="MH624" s="6"/>
      <c r="MI624" s="6"/>
      <c r="MJ624" s="6"/>
      <c r="MK624" s="6"/>
      <c r="ML624" s="6"/>
      <c r="MM624" s="6"/>
      <c r="MN624" s="6"/>
      <c r="MO624" s="6"/>
      <c r="MP624" s="6"/>
      <c r="MQ624" s="6"/>
      <c r="MR624" s="6"/>
      <c r="MS624" s="6"/>
      <c r="MT624" s="6"/>
      <c r="MU624" s="6"/>
      <c r="MV624" s="6"/>
      <c r="MW624" s="6"/>
      <c r="MX624" s="6"/>
      <c r="MY624" s="6"/>
      <c r="MZ624" s="6"/>
      <c r="NA624" s="6"/>
      <c r="NB624" s="6"/>
      <c r="NC624" s="6"/>
      <c r="ND624" s="6"/>
      <c r="NE624" s="6"/>
      <c r="NF624" s="6"/>
      <c r="NG624" s="6"/>
      <c r="NH624" s="6"/>
      <c r="NI624" s="6"/>
      <c r="NJ624" s="6"/>
      <c r="NK624" s="6"/>
      <c r="NL624" s="6"/>
      <c r="NM624" s="6"/>
      <c r="NN624" s="6"/>
      <c r="NO624" s="6"/>
      <c r="NP624" s="6"/>
      <c r="NQ624" s="6"/>
      <c r="NR624" s="6"/>
      <c r="NS624" s="6"/>
      <c r="NT624" s="6"/>
      <c r="NU624" s="6"/>
      <c r="NV624" s="6"/>
    </row>
    <row r="625" spans="1:386" s="19" customFormat="1" ht="20.100000000000001" customHeight="1" x14ac:dyDescent="0.35">
      <c r="A625" s="1"/>
      <c r="B625" s="2"/>
      <c r="C625" s="3"/>
      <c r="D625" s="2"/>
      <c r="E625" s="2"/>
      <c r="F625" s="4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9"/>
      <c r="FL625" s="9"/>
      <c r="FM625" s="9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135"/>
      <c r="IK625" s="135"/>
      <c r="IL625" s="135"/>
      <c r="IN625" s="6"/>
      <c r="IO625" s="6"/>
      <c r="IP625" s="6"/>
      <c r="IQ625" s="6"/>
      <c r="IR625" s="6"/>
      <c r="IS625" s="6"/>
      <c r="IT625" s="6"/>
      <c r="IU625" s="6"/>
      <c r="IV625" s="6"/>
      <c r="IW625" s="6"/>
      <c r="IX625" s="6"/>
      <c r="IY625" s="6"/>
      <c r="IZ625" s="6"/>
      <c r="JA625" s="6"/>
      <c r="JB625" s="6"/>
      <c r="JC625" s="6"/>
      <c r="JD625" s="6"/>
      <c r="JE625" s="6"/>
      <c r="JF625" s="6"/>
      <c r="JG625" s="6"/>
      <c r="JH625" s="6"/>
      <c r="JI625" s="6"/>
      <c r="JJ625" s="6"/>
      <c r="JK625" s="6"/>
      <c r="JL625" s="6"/>
      <c r="JM625" s="6"/>
      <c r="JN625" s="6"/>
      <c r="JO625" s="6"/>
      <c r="JP625" s="6"/>
      <c r="JQ625" s="6"/>
      <c r="JR625" s="6"/>
      <c r="JS625" s="6"/>
      <c r="JT625" s="6"/>
      <c r="JU625" s="6"/>
      <c r="JV625" s="6"/>
      <c r="JW625" s="6"/>
      <c r="JX625" s="6"/>
      <c r="JY625" s="6"/>
      <c r="JZ625" s="6"/>
      <c r="KA625" s="6"/>
      <c r="KB625" s="6"/>
      <c r="KC625" s="6"/>
      <c r="KD625" s="6"/>
      <c r="KE625" s="6"/>
      <c r="KF625" s="6"/>
      <c r="KG625" s="6"/>
      <c r="KH625" s="6"/>
      <c r="KI625" s="6"/>
      <c r="KJ625" s="6"/>
      <c r="KK625" s="6"/>
      <c r="KL625" s="6"/>
      <c r="KM625" s="6"/>
      <c r="KN625" s="6"/>
      <c r="KO625" s="6"/>
      <c r="KP625" s="6"/>
      <c r="KQ625" s="6"/>
      <c r="KR625" s="6"/>
      <c r="KS625" s="6"/>
      <c r="KT625" s="6"/>
      <c r="KU625" s="6"/>
      <c r="KV625" s="6"/>
      <c r="KW625" s="6"/>
      <c r="KX625" s="6"/>
      <c r="KY625" s="6"/>
      <c r="KZ625" s="6"/>
      <c r="LA625" s="6"/>
      <c r="LB625" s="6"/>
      <c r="LC625" s="6"/>
      <c r="LD625" s="6"/>
      <c r="LE625" s="6"/>
      <c r="LF625" s="6"/>
      <c r="LG625" s="6"/>
      <c r="LH625" s="6"/>
      <c r="LI625" s="6"/>
      <c r="LJ625" s="6"/>
      <c r="LK625" s="6"/>
      <c r="LL625" s="6"/>
      <c r="LM625" s="6"/>
      <c r="LN625" s="6"/>
      <c r="LO625" s="6"/>
      <c r="LP625" s="6"/>
      <c r="LQ625" s="6"/>
      <c r="LR625" s="6"/>
      <c r="LS625" s="6"/>
      <c r="LT625" s="6"/>
      <c r="LU625" s="6"/>
      <c r="LV625" s="6"/>
      <c r="LW625" s="6"/>
      <c r="LX625" s="6"/>
      <c r="LY625" s="6"/>
      <c r="LZ625" s="6"/>
      <c r="MA625" s="6"/>
      <c r="MB625" s="6"/>
      <c r="MC625" s="6"/>
      <c r="MD625" s="6"/>
      <c r="ME625" s="6"/>
      <c r="MF625" s="6"/>
      <c r="MG625" s="6"/>
      <c r="MH625" s="6"/>
      <c r="MI625" s="6"/>
      <c r="MJ625" s="6"/>
      <c r="MK625" s="6"/>
      <c r="ML625" s="6"/>
      <c r="MM625" s="6"/>
      <c r="MN625" s="6"/>
      <c r="MO625" s="6"/>
      <c r="MP625" s="6"/>
      <c r="MQ625" s="6"/>
      <c r="MR625" s="6"/>
      <c r="MS625" s="6"/>
      <c r="MT625" s="6"/>
      <c r="MU625" s="6"/>
      <c r="MV625" s="6"/>
      <c r="MW625" s="6"/>
      <c r="MX625" s="6"/>
      <c r="MY625" s="6"/>
      <c r="MZ625" s="6"/>
      <c r="NA625" s="6"/>
      <c r="NB625" s="6"/>
      <c r="NC625" s="6"/>
      <c r="ND625" s="6"/>
      <c r="NE625" s="6"/>
      <c r="NF625" s="6"/>
      <c r="NG625" s="6"/>
      <c r="NH625" s="6"/>
      <c r="NI625" s="6"/>
      <c r="NJ625" s="6"/>
      <c r="NK625" s="6"/>
      <c r="NL625" s="6"/>
      <c r="NM625" s="6"/>
      <c r="NN625" s="6"/>
      <c r="NO625" s="6"/>
      <c r="NP625" s="6"/>
      <c r="NQ625" s="6"/>
      <c r="NR625" s="6"/>
      <c r="NS625" s="6"/>
      <c r="NT625" s="6"/>
      <c r="NU625" s="6"/>
      <c r="NV625" s="6"/>
    </row>
    <row r="626" spans="1:386" s="19" customFormat="1" ht="20.100000000000001" customHeight="1" x14ac:dyDescent="0.35">
      <c r="A626" s="1"/>
      <c r="B626" s="2"/>
      <c r="C626" s="3"/>
      <c r="D626" s="2"/>
      <c r="E626" s="2"/>
      <c r="F626" s="4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9"/>
      <c r="FL626" s="9"/>
      <c r="FM626" s="9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135"/>
      <c r="IK626" s="135"/>
      <c r="IL626" s="135"/>
      <c r="IN626" s="6"/>
      <c r="IO626" s="6"/>
      <c r="IP626" s="6"/>
      <c r="IQ626" s="6"/>
      <c r="IR626" s="6"/>
      <c r="IS626" s="6"/>
      <c r="IT626" s="6"/>
      <c r="IU626" s="6"/>
      <c r="IV626" s="6"/>
      <c r="IW626" s="6"/>
      <c r="IX626" s="6"/>
      <c r="IY626" s="6"/>
      <c r="IZ626" s="6"/>
      <c r="JA626" s="6"/>
      <c r="JB626" s="6"/>
      <c r="JC626" s="6"/>
      <c r="JD626" s="6"/>
      <c r="JE626" s="6"/>
      <c r="JF626" s="6"/>
      <c r="JG626" s="6"/>
      <c r="JH626" s="6"/>
      <c r="JI626" s="6"/>
      <c r="JJ626" s="6"/>
      <c r="JK626" s="6"/>
      <c r="JL626" s="6"/>
      <c r="JM626" s="6"/>
      <c r="JN626" s="6"/>
      <c r="JO626" s="6"/>
      <c r="JP626" s="6"/>
      <c r="JQ626" s="6"/>
      <c r="JR626" s="6"/>
      <c r="JS626" s="6"/>
      <c r="JT626" s="6"/>
      <c r="JU626" s="6"/>
      <c r="JV626" s="6"/>
      <c r="JW626" s="6"/>
      <c r="JX626" s="6"/>
      <c r="JY626" s="6"/>
      <c r="JZ626" s="6"/>
      <c r="KA626" s="6"/>
      <c r="KB626" s="6"/>
      <c r="KC626" s="6"/>
      <c r="KD626" s="6"/>
      <c r="KE626" s="6"/>
      <c r="KF626" s="6"/>
      <c r="KG626" s="6"/>
      <c r="KH626" s="6"/>
      <c r="KI626" s="6"/>
      <c r="KJ626" s="6"/>
      <c r="KK626" s="6"/>
      <c r="KL626" s="6"/>
      <c r="KM626" s="6"/>
      <c r="KN626" s="6"/>
      <c r="KO626" s="6"/>
      <c r="KP626" s="6"/>
      <c r="KQ626" s="6"/>
      <c r="KR626" s="6"/>
      <c r="KS626" s="6"/>
      <c r="KT626" s="6"/>
      <c r="KU626" s="6"/>
      <c r="KV626" s="6"/>
      <c r="KW626" s="6"/>
      <c r="KX626" s="6"/>
      <c r="KY626" s="6"/>
      <c r="KZ626" s="6"/>
      <c r="LA626" s="6"/>
      <c r="LB626" s="6"/>
      <c r="LC626" s="6"/>
      <c r="LD626" s="6"/>
      <c r="LE626" s="6"/>
      <c r="LF626" s="6"/>
      <c r="LG626" s="6"/>
      <c r="LH626" s="6"/>
      <c r="LI626" s="6"/>
      <c r="LJ626" s="6"/>
      <c r="LK626" s="6"/>
      <c r="LL626" s="6"/>
      <c r="LM626" s="6"/>
      <c r="LN626" s="6"/>
      <c r="LO626" s="6"/>
      <c r="LP626" s="6"/>
      <c r="LQ626" s="6"/>
      <c r="LR626" s="6"/>
      <c r="LS626" s="6"/>
      <c r="LT626" s="6"/>
      <c r="LU626" s="6"/>
      <c r="LV626" s="6"/>
      <c r="LW626" s="6"/>
      <c r="LX626" s="6"/>
      <c r="LY626" s="6"/>
      <c r="LZ626" s="6"/>
      <c r="MA626" s="6"/>
      <c r="MB626" s="6"/>
      <c r="MC626" s="6"/>
      <c r="MD626" s="6"/>
      <c r="ME626" s="6"/>
      <c r="MF626" s="6"/>
      <c r="MG626" s="6"/>
      <c r="MH626" s="6"/>
      <c r="MI626" s="6"/>
      <c r="MJ626" s="6"/>
      <c r="MK626" s="6"/>
      <c r="ML626" s="6"/>
      <c r="MM626" s="6"/>
      <c r="MN626" s="6"/>
      <c r="MO626" s="6"/>
      <c r="MP626" s="6"/>
      <c r="MQ626" s="6"/>
      <c r="MR626" s="6"/>
      <c r="MS626" s="6"/>
      <c r="MT626" s="6"/>
      <c r="MU626" s="6"/>
      <c r="MV626" s="6"/>
      <c r="MW626" s="6"/>
      <c r="MX626" s="6"/>
      <c r="MY626" s="6"/>
      <c r="MZ626" s="6"/>
      <c r="NA626" s="6"/>
      <c r="NB626" s="6"/>
      <c r="NC626" s="6"/>
      <c r="ND626" s="6"/>
      <c r="NE626" s="6"/>
      <c r="NF626" s="6"/>
      <c r="NG626" s="6"/>
      <c r="NH626" s="6"/>
      <c r="NI626" s="6"/>
      <c r="NJ626" s="6"/>
      <c r="NK626" s="6"/>
      <c r="NL626" s="6"/>
      <c r="NM626" s="6"/>
      <c r="NN626" s="6"/>
      <c r="NO626" s="6"/>
      <c r="NP626" s="6"/>
      <c r="NQ626" s="6"/>
      <c r="NR626" s="6"/>
      <c r="NS626" s="6"/>
      <c r="NT626" s="6"/>
      <c r="NU626" s="6"/>
      <c r="NV626" s="6"/>
    </row>
    <row r="627" spans="1:386" s="19" customFormat="1" ht="20.100000000000001" customHeight="1" x14ac:dyDescent="0.35">
      <c r="A627" s="1"/>
      <c r="B627" s="2"/>
      <c r="C627" s="3"/>
      <c r="D627" s="2"/>
      <c r="E627" s="2"/>
      <c r="F627" s="4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9"/>
      <c r="FL627" s="9"/>
      <c r="FM627" s="9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135"/>
      <c r="IK627" s="135"/>
      <c r="IL627" s="135"/>
      <c r="IN627" s="6"/>
      <c r="IO627" s="6"/>
      <c r="IP627" s="6"/>
      <c r="IQ627" s="6"/>
      <c r="IR627" s="6"/>
      <c r="IS627" s="6"/>
      <c r="IT627" s="6"/>
      <c r="IU627" s="6"/>
      <c r="IV627" s="6"/>
      <c r="IW627" s="6"/>
      <c r="IX627" s="6"/>
      <c r="IY627" s="6"/>
      <c r="IZ627" s="6"/>
      <c r="JA627" s="6"/>
      <c r="JB627" s="6"/>
      <c r="JC627" s="6"/>
      <c r="JD627" s="6"/>
      <c r="JE627" s="6"/>
      <c r="JF627" s="6"/>
      <c r="JG627" s="6"/>
      <c r="JH627" s="6"/>
      <c r="JI627" s="6"/>
      <c r="JJ627" s="6"/>
      <c r="JK627" s="6"/>
      <c r="JL627" s="6"/>
      <c r="JM627" s="6"/>
      <c r="JN627" s="6"/>
      <c r="JO627" s="6"/>
      <c r="JP627" s="6"/>
      <c r="JQ627" s="6"/>
      <c r="JR627" s="6"/>
      <c r="JS627" s="6"/>
      <c r="JT627" s="6"/>
      <c r="JU627" s="6"/>
      <c r="JV627" s="6"/>
      <c r="JW627" s="6"/>
      <c r="JX627" s="6"/>
      <c r="JY627" s="6"/>
      <c r="JZ627" s="6"/>
      <c r="KA627" s="6"/>
      <c r="KB627" s="6"/>
      <c r="KC627" s="6"/>
      <c r="KD627" s="6"/>
      <c r="KE627" s="6"/>
      <c r="KF627" s="6"/>
      <c r="KG627" s="6"/>
      <c r="KH627" s="6"/>
      <c r="KI627" s="6"/>
      <c r="KJ627" s="6"/>
      <c r="KK627" s="6"/>
      <c r="KL627" s="6"/>
      <c r="KM627" s="6"/>
      <c r="KN627" s="6"/>
      <c r="KO627" s="6"/>
      <c r="KP627" s="6"/>
      <c r="KQ627" s="6"/>
      <c r="KR627" s="6"/>
      <c r="KS627" s="6"/>
      <c r="KT627" s="6"/>
      <c r="KU627" s="6"/>
      <c r="KV627" s="6"/>
      <c r="KW627" s="6"/>
      <c r="KX627" s="6"/>
      <c r="KY627" s="6"/>
      <c r="KZ627" s="6"/>
      <c r="LA627" s="6"/>
      <c r="LB627" s="6"/>
      <c r="LC627" s="6"/>
      <c r="LD627" s="6"/>
      <c r="LE627" s="6"/>
      <c r="LF627" s="6"/>
      <c r="LG627" s="6"/>
      <c r="LH627" s="6"/>
      <c r="LI627" s="6"/>
      <c r="LJ627" s="6"/>
      <c r="LK627" s="6"/>
      <c r="LL627" s="6"/>
      <c r="LM627" s="6"/>
      <c r="LN627" s="6"/>
      <c r="LO627" s="6"/>
      <c r="LP627" s="6"/>
      <c r="LQ627" s="6"/>
      <c r="LR627" s="6"/>
      <c r="LS627" s="6"/>
      <c r="LT627" s="6"/>
      <c r="LU627" s="6"/>
      <c r="LV627" s="6"/>
      <c r="LW627" s="6"/>
      <c r="LX627" s="6"/>
      <c r="LY627" s="6"/>
      <c r="LZ627" s="6"/>
      <c r="MA627" s="6"/>
      <c r="MB627" s="6"/>
      <c r="MC627" s="6"/>
      <c r="MD627" s="6"/>
      <c r="ME627" s="6"/>
      <c r="MF627" s="6"/>
      <c r="MG627" s="6"/>
      <c r="MH627" s="6"/>
      <c r="MI627" s="6"/>
      <c r="MJ627" s="6"/>
      <c r="MK627" s="6"/>
      <c r="ML627" s="6"/>
      <c r="MM627" s="6"/>
      <c r="MN627" s="6"/>
      <c r="MO627" s="6"/>
      <c r="MP627" s="6"/>
      <c r="MQ627" s="6"/>
      <c r="MR627" s="6"/>
      <c r="MS627" s="6"/>
      <c r="MT627" s="6"/>
      <c r="MU627" s="6"/>
      <c r="MV627" s="6"/>
      <c r="MW627" s="6"/>
      <c r="MX627" s="6"/>
      <c r="MY627" s="6"/>
      <c r="MZ627" s="6"/>
      <c r="NA627" s="6"/>
      <c r="NB627" s="6"/>
      <c r="NC627" s="6"/>
      <c r="ND627" s="6"/>
      <c r="NE627" s="6"/>
      <c r="NF627" s="6"/>
      <c r="NG627" s="6"/>
      <c r="NH627" s="6"/>
      <c r="NI627" s="6"/>
      <c r="NJ627" s="6"/>
      <c r="NK627" s="6"/>
      <c r="NL627" s="6"/>
      <c r="NM627" s="6"/>
      <c r="NN627" s="6"/>
      <c r="NO627" s="6"/>
      <c r="NP627" s="6"/>
      <c r="NQ627" s="6"/>
      <c r="NR627" s="6"/>
      <c r="NS627" s="6"/>
      <c r="NT627" s="6"/>
      <c r="NU627" s="6"/>
      <c r="NV627" s="6"/>
    </row>
    <row r="628" spans="1:386" s="19" customFormat="1" ht="20.100000000000001" customHeight="1" x14ac:dyDescent="0.35">
      <c r="A628" s="1"/>
      <c r="B628" s="2"/>
      <c r="C628" s="3"/>
      <c r="D628" s="2"/>
      <c r="E628" s="2"/>
      <c r="F628" s="4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9"/>
      <c r="FL628" s="9"/>
      <c r="FM628" s="9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135"/>
      <c r="IK628" s="135"/>
      <c r="IL628" s="135"/>
      <c r="IN628" s="6"/>
      <c r="IO628" s="6"/>
      <c r="IP628" s="6"/>
      <c r="IQ628" s="6"/>
      <c r="IR628" s="6"/>
      <c r="IS628" s="6"/>
      <c r="IT628" s="6"/>
      <c r="IU628" s="6"/>
      <c r="IV628" s="6"/>
      <c r="IW628" s="6"/>
      <c r="IX628" s="6"/>
      <c r="IY628" s="6"/>
      <c r="IZ628" s="6"/>
      <c r="JA628" s="6"/>
      <c r="JB628" s="6"/>
      <c r="JC628" s="6"/>
      <c r="JD628" s="6"/>
      <c r="JE628" s="6"/>
      <c r="JF628" s="6"/>
      <c r="JG628" s="6"/>
      <c r="JH628" s="6"/>
      <c r="JI628" s="6"/>
      <c r="JJ628" s="6"/>
      <c r="JK628" s="6"/>
      <c r="JL628" s="6"/>
      <c r="JM628" s="6"/>
      <c r="JN628" s="6"/>
      <c r="JO628" s="6"/>
      <c r="JP628" s="6"/>
      <c r="JQ628" s="6"/>
      <c r="JR628" s="6"/>
      <c r="JS628" s="6"/>
      <c r="JT628" s="6"/>
      <c r="JU628" s="6"/>
      <c r="JV628" s="6"/>
      <c r="JW628" s="6"/>
      <c r="JX628" s="6"/>
      <c r="JY628" s="6"/>
      <c r="JZ628" s="6"/>
      <c r="KA628" s="6"/>
      <c r="KB628" s="6"/>
      <c r="KC628" s="6"/>
      <c r="KD628" s="6"/>
      <c r="KE628" s="6"/>
      <c r="KF628" s="6"/>
      <c r="KG628" s="6"/>
      <c r="KH628" s="6"/>
      <c r="KI628" s="6"/>
      <c r="KJ628" s="6"/>
      <c r="KK628" s="6"/>
      <c r="KL628" s="6"/>
      <c r="KM628" s="6"/>
      <c r="KN628" s="6"/>
      <c r="KO628" s="6"/>
      <c r="KP628" s="6"/>
      <c r="KQ628" s="6"/>
      <c r="KR628" s="6"/>
      <c r="KS628" s="6"/>
      <c r="KT628" s="6"/>
      <c r="KU628" s="6"/>
      <c r="KV628" s="6"/>
      <c r="KW628" s="6"/>
      <c r="KX628" s="6"/>
      <c r="KY628" s="6"/>
      <c r="KZ628" s="6"/>
      <c r="LA628" s="6"/>
      <c r="LB628" s="6"/>
      <c r="LC628" s="6"/>
      <c r="LD628" s="6"/>
      <c r="LE628" s="6"/>
      <c r="LF628" s="6"/>
      <c r="LG628" s="6"/>
      <c r="LH628" s="6"/>
      <c r="LI628" s="6"/>
      <c r="LJ628" s="6"/>
      <c r="LK628" s="6"/>
      <c r="LL628" s="6"/>
      <c r="LM628" s="6"/>
      <c r="LN628" s="6"/>
      <c r="LO628" s="6"/>
      <c r="LP628" s="6"/>
      <c r="LQ628" s="6"/>
      <c r="LR628" s="6"/>
      <c r="LS628" s="6"/>
      <c r="LT628" s="6"/>
      <c r="LU628" s="6"/>
      <c r="LV628" s="6"/>
      <c r="LW628" s="6"/>
      <c r="LX628" s="6"/>
      <c r="LY628" s="6"/>
      <c r="LZ628" s="6"/>
      <c r="MA628" s="6"/>
      <c r="MB628" s="6"/>
      <c r="MC628" s="6"/>
      <c r="MD628" s="6"/>
      <c r="ME628" s="6"/>
      <c r="MF628" s="6"/>
      <c r="MG628" s="6"/>
      <c r="MH628" s="6"/>
      <c r="MI628" s="6"/>
      <c r="MJ628" s="6"/>
      <c r="MK628" s="6"/>
      <c r="ML628" s="6"/>
      <c r="MM628" s="6"/>
      <c r="MN628" s="6"/>
      <c r="MO628" s="6"/>
      <c r="MP628" s="6"/>
      <c r="MQ628" s="6"/>
      <c r="MR628" s="6"/>
      <c r="MS628" s="6"/>
      <c r="MT628" s="6"/>
      <c r="MU628" s="6"/>
      <c r="MV628" s="6"/>
      <c r="MW628" s="6"/>
      <c r="MX628" s="6"/>
      <c r="MY628" s="6"/>
      <c r="MZ628" s="6"/>
      <c r="NA628" s="6"/>
      <c r="NB628" s="6"/>
      <c r="NC628" s="6"/>
      <c r="ND628" s="6"/>
      <c r="NE628" s="6"/>
      <c r="NF628" s="6"/>
      <c r="NG628" s="6"/>
      <c r="NH628" s="6"/>
      <c r="NI628" s="6"/>
      <c r="NJ628" s="6"/>
      <c r="NK628" s="6"/>
      <c r="NL628" s="6"/>
      <c r="NM628" s="6"/>
      <c r="NN628" s="6"/>
      <c r="NO628" s="6"/>
      <c r="NP628" s="6"/>
      <c r="NQ628" s="6"/>
      <c r="NR628" s="6"/>
      <c r="NS628" s="6"/>
      <c r="NT628" s="6"/>
      <c r="NU628" s="6"/>
      <c r="NV628" s="6"/>
    </row>
    <row r="629" spans="1:386" s="19" customFormat="1" ht="20.100000000000001" customHeight="1" x14ac:dyDescent="0.35">
      <c r="A629" s="1"/>
      <c r="B629" s="2"/>
      <c r="C629" s="3"/>
      <c r="D629" s="2"/>
      <c r="E629" s="2"/>
      <c r="F629" s="4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9"/>
      <c r="FL629" s="9"/>
      <c r="FM629" s="9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135"/>
      <c r="IK629" s="135"/>
      <c r="IL629" s="135"/>
      <c r="IN629" s="6"/>
      <c r="IO629" s="6"/>
      <c r="IP629" s="6"/>
      <c r="IQ629" s="6"/>
      <c r="IR629" s="6"/>
      <c r="IS629" s="6"/>
      <c r="IT629" s="6"/>
      <c r="IU629" s="6"/>
      <c r="IV629" s="6"/>
      <c r="IW629" s="6"/>
      <c r="IX629" s="6"/>
      <c r="IY629" s="6"/>
      <c r="IZ629" s="6"/>
      <c r="JA629" s="6"/>
      <c r="JB629" s="6"/>
      <c r="JC629" s="6"/>
      <c r="JD629" s="6"/>
      <c r="JE629" s="6"/>
      <c r="JF629" s="6"/>
      <c r="JG629" s="6"/>
      <c r="JH629" s="6"/>
      <c r="JI629" s="6"/>
      <c r="JJ629" s="6"/>
      <c r="JK629" s="6"/>
      <c r="JL629" s="6"/>
      <c r="JM629" s="6"/>
      <c r="JN629" s="6"/>
      <c r="JO629" s="6"/>
      <c r="JP629" s="6"/>
      <c r="JQ629" s="6"/>
      <c r="JR629" s="6"/>
      <c r="JS629" s="6"/>
      <c r="JT629" s="6"/>
      <c r="JU629" s="6"/>
      <c r="JV629" s="6"/>
      <c r="JW629" s="6"/>
      <c r="JX629" s="6"/>
      <c r="JY629" s="6"/>
      <c r="JZ629" s="6"/>
      <c r="KA629" s="6"/>
      <c r="KB629" s="6"/>
      <c r="KC629" s="6"/>
      <c r="KD629" s="6"/>
      <c r="KE629" s="6"/>
      <c r="KF629" s="6"/>
      <c r="KG629" s="6"/>
      <c r="KH629" s="6"/>
      <c r="KI629" s="6"/>
      <c r="KJ629" s="6"/>
      <c r="KK629" s="6"/>
      <c r="KL629" s="6"/>
      <c r="KM629" s="6"/>
      <c r="KN629" s="6"/>
      <c r="KO629" s="6"/>
      <c r="KP629" s="6"/>
      <c r="KQ629" s="6"/>
      <c r="KR629" s="6"/>
      <c r="KS629" s="6"/>
      <c r="KT629" s="6"/>
      <c r="KU629" s="6"/>
      <c r="KV629" s="6"/>
      <c r="KW629" s="6"/>
      <c r="KX629" s="6"/>
      <c r="KY629" s="6"/>
      <c r="KZ629" s="6"/>
      <c r="LA629" s="6"/>
      <c r="LB629" s="6"/>
      <c r="LC629" s="6"/>
      <c r="LD629" s="6"/>
      <c r="LE629" s="6"/>
      <c r="LF629" s="6"/>
      <c r="LG629" s="6"/>
      <c r="LH629" s="6"/>
      <c r="LI629" s="6"/>
      <c r="LJ629" s="6"/>
      <c r="LK629" s="6"/>
      <c r="LL629" s="6"/>
      <c r="LM629" s="6"/>
      <c r="LN629" s="6"/>
      <c r="LO629" s="6"/>
      <c r="LP629" s="6"/>
      <c r="LQ629" s="6"/>
      <c r="LR629" s="6"/>
      <c r="LS629" s="6"/>
      <c r="LT629" s="6"/>
      <c r="LU629" s="6"/>
      <c r="LV629" s="6"/>
      <c r="LW629" s="6"/>
      <c r="LX629" s="6"/>
      <c r="LY629" s="6"/>
      <c r="LZ629" s="6"/>
      <c r="MA629" s="6"/>
      <c r="MB629" s="6"/>
      <c r="MC629" s="6"/>
      <c r="MD629" s="6"/>
      <c r="ME629" s="6"/>
      <c r="MF629" s="6"/>
      <c r="MG629" s="6"/>
      <c r="MH629" s="6"/>
      <c r="MI629" s="6"/>
      <c r="MJ629" s="6"/>
      <c r="MK629" s="6"/>
      <c r="ML629" s="6"/>
      <c r="MM629" s="6"/>
      <c r="MN629" s="6"/>
      <c r="MO629" s="6"/>
      <c r="MP629" s="6"/>
      <c r="MQ629" s="6"/>
      <c r="MR629" s="6"/>
      <c r="MS629" s="6"/>
      <c r="MT629" s="6"/>
      <c r="MU629" s="6"/>
      <c r="MV629" s="6"/>
      <c r="MW629" s="6"/>
      <c r="MX629" s="6"/>
      <c r="MY629" s="6"/>
      <c r="MZ629" s="6"/>
      <c r="NA629" s="6"/>
      <c r="NB629" s="6"/>
      <c r="NC629" s="6"/>
      <c r="ND629" s="6"/>
      <c r="NE629" s="6"/>
      <c r="NF629" s="6"/>
      <c r="NG629" s="6"/>
      <c r="NH629" s="6"/>
      <c r="NI629" s="6"/>
      <c r="NJ629" s="6"/>
      <c r="NK629" s="6"/>
      <c r="NL629" s="6"/>
      <c r="NM629" s="6"/>
      <c r="NN629" s="6"/>
      <c r="NO629" s="6"/>
      <c r="NP629" s="6"/>
      <c r="NQ629" s="6"/>
      <c r="NR629" s="6"/>
      <c r="NS629" s="6"/>
      <c r="NT629" s="6"/>
      <c r="NU629" s="6"/>
      <c r="NV629" s="6"/>
    </row>
    <row r="630" spans="1:386" s="19" customFormat="1" ht="20.100000000000001" customHeight="1" x14ac:dyDescent="0.35">
      <c r="A630" s="1"/>
      <c r="B630" s="2"/>
      <c r="C630" s="3"/>
      <c r="D630" s="2"/>
      <c r="E630" s="2"/>
      <c r="F630" s="4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9"/>
      <c r="FL630" s="9"/>
      <c r="FM630" s="9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135"/>
      <c r="IK630" s="135"/>
      <c r="IL630" s="135"/>
      <c r="IN630" s="6"/>
      <c r="IO630" s="6"/>
      <c r="IP630" s="6"/>
      <c r="IQ630" s="6"/>
      <c r="IR630" s="6"/>
      <c r="IS630" s="6"/>
      <c r="IT630" s="6"/>
      <c r="IU630" s="6"/>
      <c r="IV630" s="6"/>
      <c r="IW630" s="6"/>
      <c r="IX630" s="6"/>
      <c r="IY630" s="6"/>
      <c r="IZ630" s="6"/>
      <c r="JA630" s="6"/>
      <c r="JB630" s="6"/>
      <c r="JC630" s="6"/>
      <c r="JD630" s="6"/>
      <c r="JE630" s="6"/>
      <c r="JF630" s="6"/>
      <c r="JG630" s="6"/>
      <c r="JH630" s="6"/>
      <c r="JI630" s="6"/>
      <c r="JJ630" s="6"/>
      <c r="JK630" s="6"/>
      <c r="JL630" s="6"/>
      <c r="JM630" s="6"/>
      <c r="JN630" s="6"/>
      <c r="JO630" s="6"/>
      <c r="JP630" s="6"/>
      <c r="JQ630" s="6"/>
      <c r="JR630" s="6"/>
      <c r="JS630" s="6"/>
      <c r="JT630" s="6"/>
      <c r="JU630" s="6"/>
      <c r="JV630" s="6"/>
      <c r="JW630" s="6"/>
      <c r="JX630" s="6"/>
      <c r="JY630" s="6"/>
      <c r="JZ630" s="6"/>
      <c r="KA630" s="6"/>
      <c r="KB630" s="6"/>
      <c r="KC630" s="6"/>
      <c r="KD630" s="6"/>
      <c r="KE630" s="6"/>
      <c r="KF630" s="6"/>
      <c r="KG630" s="6"/>
      <c r="KH630" s="6"/>
      <c r="KI630" s="6"/>
      <c r="KJ630" s="6"/>
      <c r="KK630" s="6"/>
      <c r="KL630" s="6"/>
      <c r="KM630" s="6"/>
      <c r="KN630" s="6"/>
      <c r="KO630" s="6"/>
      <c r="KP630" s="6"/>
      <c r="KQ630" s="6"/>
      <c r="KR630" s="6"/>
      <c r="KS630" s="6"/>
      <c r="KT630" s="6"/>
      <c r="KU630" s="6"/>
      <c r="KV630" s="6"/>
      <c r="KW630" s="6"/>
      <c r="KX630" s="6"/>
      <c r="KY630" s="6"/>
      <c r="KZ630" s="6"/>
      <c r="LA630" s="6"/>
      <c r="LB630" s="6"/>
      <c r="LC630" s="6"/>
      <c r="LD630" s="6"/>
      <c r="LE630" s="6"/>
      <c r="LF630" s="6"/>
      <c r="LG630" s="6"/>
      <c r="LH630" s="6"/>
      <c r="LI630" s="6"/>
      <c r="LJ630" s="6"/>
      <c r="LK630" s="6"/>
      <c r="LL630" s="6"/>
      <c r="LM630" s="6"/>
      <c r="LN630" s="6"/>
      <c r="LO630" s="6"/>
      <c r="LP630" s="6"/>
      <c r="LQ630" s="6"/>
      <c r="LR630" s="6"/>
      <c r="LS630" s="6"/>
      <c r="LT630" s="6"/>
      <c r="LU630" s="6"/>
      <c r="LV630" s="6"/>
      <c r="LW630" s="6"/>
      <c r="LX630" s="6"/>
      <c r="LY630" s="6"/>
      <c r="LZ630" s="6"/>
      <c r="MA630" s="6"/>
      <c r="MB630" s="6"/>
      <c r="MC630" s="6"/>
      <c r="MD630" s="6"/>
      <c r="ME630" s="6"/>
      <c r="MF630" s="6"/>
      <c r="MG630" s="6"/>
      <c r="MH630" s="6"/>
      <c r="MI630" s="6"/>
      <c r="MJ630" s="6"/>
      <c r="MK630" s="6"/>
      <c r="ML630" s="6"/>
      <c r="MM630" s="6"/>
      <c r="MN630" s="6"/>
      <c r="MO630" s="6"/>
      <c r="MP630" s="6"/>
      <c r="MQ630" s="6"/>
      <c r="MR630" s="6"/>
      <c r="MS630" s="6"/>
      <c r="MT630" s="6"/>
      <c r="MU630" s="6"/>
      <c r="MV630" s="6"/>
      <c r="MW630" s="6"/>
      <c r="MX630" s="6"/>
      <c r="MY630" s="6"/>
      <c r="MZ630" s="6"/>
      <c r="NA630" s="6"/>
      <c r="NB630" s="6"/>
      <c r="NC630" s="6"/>
      <c r="ND630" s="6"/>
      <c r="NE630" s="6"/>
      <c r="NF630" s="6"/>
      <c r="NG630" s="6"/>
      <c r="NH630" s="6"/>
      <c r="NI630" s="6"/>
      <c r="NJ630" s="6"/>
      <c r="NK630" s="6"/>
      <c r="NL630" s="6"/>
      <c r="NM630" s="6"/>
      <c r="NN630" s="6"/>
      <c r="NO630" s="6"/>
      <c r="NP630" s="6"/>
      <c r="NQ630" s="6"/>
      <c r="NR630" s="6"/>
      <c r="NS630" s="6"/>
      <c r="NT630" s="6"/>
      <c r="NU630" s="6"/>
      <c r="NV630" s="6"/>
    </row>
    <row r="631" spans="1:386" s="19" customFormat="1" ht="20.100000000000001" customHeight="1" x14ac:dyDescent="0.35">
      <c r="A631" s="1"/>
      <c r="B631" s="2"/>
      <c r="C631" s="3"/>
      <c r="D631" s="2"/>
      <c r="E631" s="2"/>
      <c r="F631" s="4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9"/>
      <c r="FL631" s="9"/>
      <c r="FM631" s="9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135"/>
      <c r="IK631" s="135"/>
      <c r="IL631" s="135"/>
      <c r="IN631" s="6"/>
      <c r="IO631" s="6"/>
      <c r="IP631" s="6"/>
      <c r="IQ631" s="6"/>
      <c r="IR631" s="6"/>
      <c r="IS631" s="6"/>
      <c r="IT631" s="6"/>
      <c r="IU631" s="6"/>
      <c r="IV631" s="6"/>
      <c r="IW631" s="6"/>
      <c r="IX631" s="6"/>
      <c r="IY631" s="6"/>
      <c r="IZ631" s="6"/>
      <c r="JA631" s="6"/>
      <c r="JB631" s="6"/>
      <c r="JC631" s="6"/>
      <c r="JD631" s="6"/>
      <c r="JE631" s="6"/>
      <c r="JF631" s="6"/>
      <c r="JG631" s="6"/>
      <c r="JH631" s="6"/>
      <c r="JI631" s="6"/>
      <c r="JJ631" s="6"/>
      <c r="JK631" s="6"/>
      <c r="JL631" s="6"/>
      <c r="JM631" s="6"/>
      <c r="JN631" s="6"/>
      <c r="JO631" s="6"/>
      <c r="JP631" s="6"/>
      <c r="JQ631" s="6"/>
      <c r="JR631" s="6"/>
      <c r="JS631" s="6"/>
      <c r="JT631" s="6"/>
      <c r="JU631" s="6"/>
      <c r="JV631" s="6"/>
      <c r="JW631" s="6"/>
      <c r="JX631" s="6"/>
      <c r="JY631" s="6"/>
      <c r="JZ631" s="6"/>
      <c r="KA631" s="6"/>
      <c r="KB631" s="6"/>
      <c r="KC631" s="6"/>
      <c r="KD631" s="6"/>
      <c r="KE631" s="6"/>
      <c r="KF631" s="6"/>
      <c r="KG631" s="6"/>
      <c r="KH631" s="6"/>
      <c r="KI631" s="6"/>
      <c r="KJ631" s="6"/>
      <c r="KK631" s="6"/>
      <c r="KL631" s="6"/>
      <c r="KM631" s="6"/>
      <c r="KN631" s="6"/>
      <c r="KO631" s="6"/>
      <c r="KP631" s="6"/>
      <c r="KQ631" s="6"/>
      <c r="KR631" s="6"/>
      <c r="KS631" s="6"/>
      <c r="KT631" s="6"/>
      <c r="KU631" s="6"/>
      <c r="KV631" s="6"/>
      <c r="KW631" s="6"/>
      <c r="KX631" s="6"/>
      <c r="KY631" s="6"/>
      <c r="KZ631" s="6"/>
      <c r="LA631" s="6"/>
      <c r="LB631" s="6"/>
      <c r="LC631" s="6"/>
      <c r="LD631" s="6"/>
      <c r="LE631" s="6"/>
      <c r="LF631" s="6"/>
      <c r="LG631" s="6"/>
      <c r="LH631" s="6"/>
      <c r="LI631" s="6"/>
      <c r="LJ631" s="6"/>
      <c r="LK631" s="6"/>
      <c r="LL631" s="6"/>
      <c r="LM631" s="6"/>
      <c r="LN631" s="6"/>
      <c r="LO631" s="6"/>
      <c r="LP631" s="6"/>
      <c r="LQ631" s="6"/>
      <c r="LR631" s="6"/>
      <c r="LS631" s="6"/>
      <c r="LT631" s="6"/>
      <c r="LU631" s="6"/>
      <c r="LV631" s="6"/>
      <c r="LW631" s="6"/>
      <c r="LX631" s="6"/>
      <c r="LY631" s="6"/>
      <c r="LZ631" s="6"/>
      <c r="MA631" s="6"/>
      <c r="MB631" s="6"/>
      <c r="MC631" s="6"/>
      <c r="MD631" s="6"/>
      <c r="ME631" s="6"/>
      <c r="MF631" s="6"/>
      <c r="MG631" s="6"/>
      <c r="MH631" s="6"/>
      <c r="MI631" s="6"/>
      <c r="MJ631" s="6"/>
      <c r="MK631" s="6"/>
      <c r="ML631" s="6"/>
      <c r="MM631" s="6"/>
      <c r="MN631" s="6"/>
      <c r="MO631" s="6"/>
      <c r="MP631" s="6"/>
      <c r="MQ631" s="6"/>
      <c r="MR631" s="6"/>
      <c r="MS631" s="6"/>
      <c r="MT631" s="6"/>
      <c r="MU631" s="6"/>
      <c r="MV631" s="6"/>
      <c r="MW631" s="6"/>
      <c r="MX631" s="6"/>
      <c r="MY631" s="6"/>
      <c r="MZ631" s="6"/>
      <c r="NA631" s="6"/>
      <c r="NB631" s="6"/>
      <c r="NC631" s="6"/>
      <c r="ND631" s="6"/>
      <c r="NE631" s="6"/>
      <c r="NF631" s="6"/>
      <c r="NG631" s="6"/>
      <c r="NH631" s="6"/>
      <c r="NI631" s="6"/>
      <c r="NJ631" s="6"/>
      <c r="NK631" s="6"/>
      <c r="NL631" s="6"/>
      <c r="NM631" s="6"/>
      <c r="NN631" s="6"/>
      <c r="NO631" s="6"/>
      <c r="NP631" s="6"/>
      <c r="NQ631" s="6"/>
      <c r="NR631" s="6"/>
      <c r="NS631" s="6"/>
      <c r="NT631" s="6"/>
      <c r="NU631" s="6"/>
      <c r="NV631" s="6"/>
    </row>
    <row r="632" spans="1:386" s="19" customFormat="1" ht="20.100000000000001" customHeight="1" x14ac:dyDescent="0.35">
      <c r="A632" s="1"/>
      <c r="B632" s="2"/>
      <c r="C632" s="3"/>
      <c r="D632" s="2"/>
      <c r="E632" s="2"/>
      <c r="F632" s="4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9"/>
      <c r="FL632" s="9"/>
      <c r="FM632" s="9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135"/>
      <c r="IK632" s="135"/>
      <c r="IL632" s="135"/>
      <c r="IN632" s="6"/>
      <c r="IO632" s="6"/>
      <c r="IP632" s="6"/>
      <c r="IQ632" s="6"/>
      <c r="IR632" s="6"/>
      <c r="IS632" s="6"/>
      <c r="IT632" s="6"/>
      <c r="IU632" s="6"/>
      <c r="IV632" s="6"/>
      <c r="IW632" s="6"/>
      <c r="IX632" s="6"/>
      <c r="IY632" s="6"/>
      <c r="IZ632" s="6"/>
      <c r="JA632" s="6"/>
      <c r="JB632" s="6"/>
      <c r="JC632" s="6"/>
      <c r="JD632" s="6"/>
      <c r="JE632" s="6"/>
      <c r="JF632" s="6"/>
      <c r="JG632" s="6"/>
      <c r="JH632" s="6"/>
      <c r="JI632" s="6"/>
      <c r="JJ632" s="6"/>
      <c r="JK632" s="6"/>
      <c r="JL632" s="6"/>
      <c r="JM632" s="6"/>
      <c r="JN632" s="6"/>
      <c r="JO632" s="6"/>
      <c r="JP632" s="6"/>
      <c r="JQ632" s="6"/>
      <c r="JR632" s="6"/>
      <c r="JS632" s="6"/>
      <c r="JT632" s="6"/>
      <c r="JU632" s="6"/>
      <c r="JV632" s="6"/>
      <c r="JW632" s="6"/>
      <c r="JX632" s="6"/>
      <c r="JY632" s="6"/>
      <c r="JZ632" s="6"/>
      <c r="KA632" s="6"/>
      <c r="KB632" s="6"/>
      <c r="KC632" s="6"/>
      <c r="KD632" s="6"/>
      <c r="KE632" s="6"/>
      <c r="KF632" s="6"/>
      <c r="KG632" s="6"/>
      <c r="KH632" s="6"/>
      <c r="KI632" s="6"/>
      <c r="KJ632" s="6"/>
      <c r="KK632" s="6"/>
      <c r="KL632" s="6"/>
      <c r="KM632" s="6"/>
      <c r="KN632" s="6"/>
      <c r="KO632" s="6"/>
      <c r="KP632" s="6"/>
      <c r="KQ632" s="6"/>
      <c r="KR632" s="6"/>
      <c r="KS632" s="6"/>
      <c r="KT632" s="6"/>
      <c r="KU632" s="6"/>
      <c r="KV632" s="6"/>
      <c r="KW632" s="6"/>
      <c r="KX632" s="6"/>
      <c r="KY632" s="6"/>
      <c r="KZ632" s="6"/>
      <c r="LA632" s="6"/>
      <c r="LB632" s="6"/>
      <c r="LC632" s="6"/>
      <c r="LD632" s="6"/>
      <c r="LE632" s="6"/>
      <c r="LF632" s="6"/>
      <c r="LG632" s="6"/>
      <c r="LH632" s="6"/>
      <c r="LI632" s="6"/>
      <c r="LJ632" s="6"/>
      <c r="LK632" s="6"/>
      <c r="LL632" s="6"/>
      <c r="LM632" s="6"/>
      <c r="LN632" s="6"/>
      <c r="LO632" s="6"/>
      <c r="LP632" s="6"/>
      <c r="LQ632" s="6"/>
      <c r="LR632" s="6"/>
      <c r="LS632" s="6"/>
      <c r="LT632" s="6"/>
      <c r="LU632" s="6"/>
      <c r="LV632" s="6"/>
      <c r="LW632" s="6"/>
      <c r="LX632" s="6"/>
      <c r="LY632" s="6"/>
      <c r="LZ632" s="6"/>
      <c r="MA632" s="6"/>
      <c r="MB632" s="6"/>
      <c r="MC632" s="6"/>
      <c r="MD632" s="6"/>
      <c r="ME632" s="6"/>
      <c r="MF632" s="6"/>
      <c r="MG632" s="6"/>
      <c r="MH632" s="6"/>
      <c r="MI632" s="6"/>
      <c r="MJ632" s="6"/>
      <c r="MK632" s="6"/>
      <c r="ML632" s="6"/>
      <c r="MM632" s="6"/>
      <c r="MN632" s="6"/>
      <c r="MO632" s="6"/>
      <c r="MP632" s="6"/>
      <c r="MQ632" s="6"/>
      <c r="MR632" s="6"/>
      <c r="MS632" s="6"/>
      <c r="MT632" s="6"/>
      <c r="MU632" s="6"/>
      <c r="MV632" s="6"/>
      <c r="MW632" s="6"/>
      <c r="MX632" s="6"/>
      <c r="MY632" s="6"/>
      <c r="MZ632" s="6"/>
      <c r="NA632" s="6"/>
      <c r="NB632" s="6"/>
      <c r="NC632" s="6"/>
      <c r="ND632" s="6"/>
      <c r="NE632" s="6"/>
      <c r="NF632" s="6"/>
      <c r="NG632" s="6"/>
      <c r="NH632" s="6"/>
      <c r="NI632" s="6"/>
      <c r="NJ632" s="6"/>
      <c r="NK632" s="6"/>
      <c r="NL632" s="6"/>
      <c r="NM632" s="6"/>
      <c r="NN632" s="6"/>
      <c r="NO632" s="6"/>
      <c r="NP632" s="6"/>
      <c r="NQ632" s="6"/>
      <c r="NR632" s="6"/>
      <c r="NS632" s="6"/>
      <c r="NT632" s="6"/>
      <c r="NU632" s="6"/>
      <c r="NV632" s="6"/>
    </row>
    <row r="633" spans="1:386" s="19" customFormat="1" ht="20.100000000000001" customHeight="1" x14ac:dyDescent="0.35">
      <c r="A633" s="1"/>
      <c r="B633" s="2"/>
      <c r="C633" s="3"/>
      <c r="D633" s="2"/>
      <c r="E633" s="2"/>
      <c r="F633" s="4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9"/>
      <c r="FL633" s="9"/>
      <c r="FM633" s="9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135"/>
      <c r="IK633" s="135"/>
      <c r="IL633" s="135"/>
      <c r="IN633" s="6"/>
      <c r="IO633" s="6"/>
      <c r="IP633" s="6"/>
      <c r="IQ633" s="6"/>
      <c r="IR633" s="6"/>
      <c r="IS633" s="6"/>
      <c r="IT633" s="6"/>
      <c r="IU633" s="6"/>
      <c r="IV633" s="6"/>
      <c r="IW633" s="6"/>
      <c r="IX633" s="6"/>
      <c r="IY633" s="6"/>
      <c r="IZ633" s="6"/>
      <c r="JA633" s="6"/>
      <c r="JB633" s="6"/>
      <c r="JC633" s="6"/>
      <c r="JD633" s="6"/>
      <c r="JE633" s="6"/>
      <c r="JF633" s="6"/>
      <c r="JG633" s="6"/>
      <c r="JH633" s="6"/>
      <c r="JI633" s="6"/>
      <c r="JJ633" s="6"/>
      <c r="JK633" s="6"/>
      <c r="JL633" s="6"/>
      <c r="JM633" s="6"/>
      <c r="JN633" s="6"/>
      <c r="JO633" s="6"/>
      <c r="JP633" s="6"/>
      <c r="JQ633" s="6"/>
      <c r="JR633" s="6"/>
      <c r="JS633" s="6"/>
      <c r="JT633" s="6"/>
      <c r="JU633" s="6"/>
      <c r="JV633" s="6"/>
      <c r="JW633" s="6"/>
      <c r="JX633" s="6"/>
      <c r="JY633" s="6"/>
      <c r="JZ633" s="6"/>
      <c r="KA633" s="6"/>
      <c r="KB633" s="6"/>
      <c r="KC633" s="6"/>
      <c r="KD633" s="6"/>
      <c r="KE633" s="6"/>
      <c r="KF633" s="6"/>
      <c r="KG633" s="6"/>
      <c r="KH633" s="6"/>
      <c r="KI633" s="6"/>
      <c r="KJ633" s="6"/>
      <c r="KK633" s="6"/>
      <c r="KL633" s="6"/>
      <c r="KM633" s="6"/>
      <c r="KN633" s="6"/>
      <c r="KO633" s="6"/>
      <c r="KP633" s="6"/>
      <c r="KQ633" s="6"/>
      <c r="KR633" s="6"/>
      <c r="KS633" s="6"/>
      <c r="KT633" s="6"/>
      <c r="KU633" s="6"/>
      <c r="KV633" s="6"/>
      <c r="KW633" s="6"/>
      <c r="KX633" s="6"/>
      <c r="KY633" s="6"/>
      <c r="KZ633" s="6"/>
      <c r="LA633" s="6"/>
      <c r="LB633" s="6"/>
      <c r="LC633" s="6"/>
      <c r="LD633" s="6"/>
      <c r="LE633" s="6"/>
      <c r="LF633" s="6"/>
      <c r="LG633" s="6"/>
      <c r="LH633" s="6"/>
      <c r="LI633" s="6"/>
      <c r="LJ633" s="6"/>
      <c r="LK633" s="6"/>
      <c r="LL633" s="6"/>
      <c r="LM633" s="6"/>
      <c r="LN633" s="6"/>
      <c r="LO633" s="6"/>
      <c r="LP633" s="6"/>
      <c r="LQ633" s="6"/>
      <c r="LR633" s="6"/>
      <c r="LS633" s="6"/>
      <c r="LT633" s="6"/>
      <c r="LU633" s="6"/>
      <c r="LV633" s="6"/>
      <c r="LW633" s="6"/>
      <c r="LX633" s="6"/>
      <c r="LY633" s="6"/>
      <c r="LZ633" s="6"/>
      <c r="MA633" s="6"/>
      <c r="MB633" s="6"/>
      <c r="MC633" s="6"/>
      <c r="MD633" s="6"/>
      <c r="ME633" s="6"/>
      <c r="MF633" s="6"/>
      <c r="MG633" s="6"/>
      <c r="MH633" s="6"/>
      <c r="MI633" s="6"/>
      <c r="MJ633" s="6"/>
      <c r="MK633" s="6"/>
      <c r="ML633" s="6"/>
      <c r="MM633" s="6"/>
      <c r="MN633" s="6"/>
      <c r="MO633" s="6"/>
      <c r="MP633" s="6"/>
      <c r="MQ633" s="6"/>
      <c r="MR633" s="6"/>
      <c r="MS633" s="6"/>
      <c r="MT633" s="6"/>
      <c r="MU633" s="6"/>
      <c r="MV633" s="6"/>
      <c r="MW633" s="6"/>
      <c r="MX633" s="6"/>
      <c r="MY633" s="6"/>
      <c r="MZ633" s="6"/>
      <c r="NA633" s="6"/>
      <c r="NB633" s="6"/>
      <c r="NC633" s="6"/>
      <c r="ND633" s="6"/>
      <c r="NE633" s="6"/>
      <c r="NF633" s="6"/>
      <c r="NG633" s="6"/>
      <c r="NH633" s="6"/>
      <c r="NI633" s="6"/>
      <c r="NJ633" s="6"/>
      <c r="NK633" s="6"/>
      <c r="NL633" s="6"/>
      <c r="NM633" s="6"/>
      <c r="NN633" s="6"/>
      <c r="NO633" s="6"/>
      <c r="NP633" s="6"/>
      <c r="NQ633" s="6"/>
      <c r="NR633" s="6"/>
      <c r="NS633" s="6"/>
      <c r="NT633" s="6"/>
      <c r="NU633" s="6"/>
      <c r="NV633" s="6"/>
    </row>
    <row r="634" spans="1:386" s="19" customFormat="1" ht="20.100000000000001" customHeight="1" x14ac:dyDescent="0.35">
      <c r="A634" s="1"/>
      <c r="B634" s="2"/>
      <c r="C634" s="3"/>
      <c r="D634" s="2"/>
      <c r="E634" s="2"/>
      <c r="F634" s="4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9"/>
      <c r="FL634" s="9"/>
      <c r="FM634" s="9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135"/>
      <c r="IK634" s="135"/>
      <c r="IL634" s="135"/>
      <c r="IN634" s="6"/>
      <c r="IO634" s="6"/>
      <c r="IP634" s="6"/>
      <c r="IQ634" s="6"/>
      <c r="IR634" s="6"/>
      <c r="IS634" s="6"/>
      <c r="IT634" s="6"/>
      <c r="IU634" s="6"/>
      <c r="IV634" s="6"/>
      <c r="IW634" s="6"/>
      <c r="IX634" s="6"/>
      <c r="IY634" s="6"/>
      <c r="IZ634" s="6"/>
      <c r="JA634" s="6"/>
      <c r="JB634" s="6"/>
      <c r="JC634" s="6"/>
      <c r="JD634" s="6"/>
      <c r="JE634" s="6"/>
      <c r="JF634" s="6"/>
      <c r="JG634" s="6"/>
      <c r="JH634" s="6"/>
      <c r="JI634" s="6"/>
      <c r="JJ634" s="6"/>
      <c r="JK634" s="6"/>
      <c r="JL634" s="6"/>
      <c r="JM634" s="6"/>
      <c r="JN634" s="6"/>
      <c r="JO634" s="6"/>
      <c r="JP634" s="6"/>
      <c r="JQ634" s="6"/>
      <c r="JR634" s="6"/>
      <c r="JS634" s="6"/>
      <c r="JT634" s="6"/>
      <c r="JU634" s="6"/>
      <c r="JV634" s="6"/>
      <c r="JW634" s="6"/>
      <c r="JX634" s="6"/>
      <c r="JY634" s="6"/>
      <c r="JZ634" s="6"/>
      <c r="KA634" s="6"/>
      <c r="KB634" s="6"/>
      <c r="KC634" s="6"/>
      <c r="KD634" s="6"/>
      <c r="KE634" s="6"/>
      <c r="KF634" s="6"/>
      <c r="KG634" s="6"/>
      <c r="KH634" s="6"/>
      <c r="KI634" s="6"/>
      <c r="KJ634" s="6"/>
      <c r="KK634" s="6"/>
      <c r="KL634" s="6"/>
      <c r="KM634" s="6"/>
      <c r="KN634" s="6"/>
      <c r="KO634" s="6"/>
      <c r="KP634" s="6"/>
      <c r="KQ634" s="6"/>
      <c r="KR634" s="6"/>
      <c r="KS634" s="6"/>
      <c r="KT634" s="6"/>
      <c r="KU634" s="6"/>
      <c r="KV634" s="6"/>
      <c r="KW634" s="6"/>
      <c r="KX634" s="6"/>
      <c r="KY634" s="6"/>
      <c r="KZ634" s="6"/>
      <c r="LA634" s="6"/>
      <c r="LB634" s="6"/>
      <c r="LC634" s="6"/>
      <c r="LD634" s="6"/>
      <c r="LE634" s="6"/>
      <c r="LF634" s="6"/>
      <c r="LG634" s="6"/>
      <c r="LH634" s="6"/>
      <c r="LI634" s="6"/>
      <c r="LJ634" s="6"/>
      <c r="LK634" s="6"/>
      <c r="LL634" s="6"/>
      <c r="LM634" s="6"/>
      <c r="LN634" s="6"/>
      <c r="LO634" s="6"/>
      <c r="LP634" s="6"/>
      <c r="LQ634" s="6"/>
      <c r="LR634" s="6"/>
      <c r="LS634" s="6"/>
      <c r="LT634" s="6"/>
      <c r="LU634" s="6"/>
      <c r="LV634" s="6"/>
      <c r="LW634" s="6"/>
      <c r="LX634" s="6"/>
      <c r="LY634" s="6"/>
      <c r="LZ634" s="6"/>
      <c r="MA634" s="6"/>
      <c r="MB634" s="6"/>
      <c r="MC634" s="6"/>
      <c r="MD634" s="6"/>
      <c r="ME634" s="6"/>
      <c r="MF634" s="6"/>
      <c r="MG634" s="6"/>
      <c r="MH634" s="6"/>
      <c r="MI634" s="6"/>
      <c r="MJ634" s="6"/>
      <c r="MK634" s="6"/>
      <c r="ML634" s="6"/>
      <c r="MM634" s="6"/>
      <c r="MN634" s="6"/>
      <c r="MO634" s="6"/>
      <c r="MP634" s="6"/>
      <c r="MQ634" s="6"/>
      <c r="MR634" s="6"/>
      <c r="MS634" s="6"/>
      <c r="MT634" s="6"/>
      <c r="MU634" s="6"/>
      <c r="MV634" s="6"/>
      <c r="MW634" s="6"/>
      <c r="MX634" s="6"/>
      <c r="MY634" s="6"/>
      <c r="MZ634" s="6"/>
      <c r="NA634" s="6"/>
      <c r="NB634" s="6"/>
      <c r="NC634" s="6"/>
      <c r="ND634" s="6"/>
      <c r="NE634" s="6"/>
      <c r="NF634" s="6"/>
      <c r="NG634" s="6"/>
      <c r="NH634" s="6"/>
      <c r="NI634" s="6"/>
      <c r="NJ634" s="6"/>
      <c r="NK634" s="6"/>
      <c r="NL634" s="6"/>
      <c r="NM634" s="6"/>
      <c r="NN634" s="6"/>
      <c r="NO634" s="6"/>
      <c r="NP634" s="6"/>
      <c r="NQ634" s="6"/>
      <c r="NR634" s="6"/>
      <c r="NS634" s="6"/>
      <c r="NT634" s="6"/>
      <c r="NU634" s="6"/>
      <c r="NV634" s="6"/>
    </row>
    <row r="635" spans="1:386" s="19" customFormat="1" ht="20.100000000000001" customHeight="1" x14ac:dyDescent="0.35">
      <c r="A635" s="1"/>
      <c r="B635" s="2"/>
      <c r="C635" s="3"/>
      <c r="D635" s="2"/>
      <c r="E635" s="2"/>
      <c r="F635" s="4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9"/>
      <c r="FL635" s="9"/>
      <c r="FM635" s="9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135"/>
      <c r="IK635" s="135"/>
      <c r="IL635" s="135"/>
      <c r="IN635" s="6"/>
      <c r="IO635" s="6"/>
      <c r="IP635" s="6"/>
      <c r="IQ635" s="6"/>
      <c r="IR635" s="6"/>
      <c r="IS635" s="6"/>
      <c r="IT635" s="6"/>
      <c r="IU635" s="6"/>
      <c r="IV635" s="6"/>
      <c r="IW635" s="6"/>
      <c r="IX635" s="6"/>
      <c r="IY635" s="6"/>
      <c r="IZ635" s="6"/>
      <c r="JA635" s="6"/>
      <c r="JB635" s="6"/>
      <c r="JC635" s="6"/>
      <c r="JD635" s="6"/>
      <c r="JE635" s="6"/>
      <c r="JF635" s="6"/>
      <c r="JG635" s="6"/>
      <c r="JH635" s="6"/>
      <c r="JI635" s="6"/>
      <c r="JJ635" s="6"/>
      <c r="JK635" s="6"/>
      <c r="JL635" s="6"/>
      <c r="JM635" s="6"/>
      <c r="JN635" s="6"/>
      <c r="JO635" s="6"/>
      <c r="JP635" s="6"/>
      <c r="JQ635" s="6"/>
      <c r="JR635" s="6"/>
      <c r="JS635" s="6"/>
      <c r="JT635" s="6"/>
      <c r="JU635" s="6"/>
      <c r="JV635" s="6"/>
      <c r="JW635" s="6"/>
      <c r="JX635" s="6"/>
      <c r="JY635" s="6"/>
      <c r="JZ635" s="6"/>
      <c r="KA635" s="6"/>
      <c r="KB635" s="6"/>
      <c r="KC635" s="6"/>
      <c r="KD635" s="6"/>
      <c r="KE635" s="6"/>
      <c r="KF635" s="6"/>
      <c r="KG635" s="6"/>
      <c r="KH635" s="6"/>
      <c r="KI635" s="6"/>
      <c r="KJ635" s="6"/>
      <c r="KK635" s="6"/>
      <c r="KL635" s="6"/>
      <c r="KM635" s="6"/>
      <c r="KN635" s="6"/>
      <c r="KO635" s="6"/>
      <c r="KP635" s="6"/>
      <c r="KQ635" s="6"/>
      <c r="KR635" s="6"/>
      <c r="KS635" s="6"/>
      <c r="KT635" s="6"/>
      <c r="KU635" s="6"/>
      <c r="KV635" s="6"/>
      <c r="KW635" s="6"/>
      <c r="KX635" s="6"/>
      <c r="KY635" s="6"/>
      <c r="KZ635" s="6"/>
      <c r="LA635" s="6"/>
      <c r="LB635" s="6"/>
      <c r="LC635" s="6"/>
      <c r="LD635" s="6"/>
      <c r="LE635" s="6"/>
      <c r="LF635" s="6"/>
      <c r="LG635" s="6"/>
      <c r="LH635" s="6"/>
      <c r="LI635" s="6"/>
      <c r="LJ635" s="6"/>
      <c r="LK635" s="6"/>
      <c r="LL635" s="6"/>
      <c r="LM635" s="6"/>
      <c r="LN635" s="6"/>
      <c r="LO635" s="6"/>
      <c r="LP635" s="6"/>
      <c r="LQ635" s="6"/>
      <c r="LR635" s="6"/>
      <c r="LS635" s="6"/>
      <c r="LT635" s="6"/>
      <c r="LU635" s="6"/>
      <c r="LV635" s="6"/>
      <c r="LW635" s="6"/>
      <c r="LX635" s="6"/>
      <c r="LY635" s="6"/>
      <c r="LZ635" s="6"/>
      <c r="MA635" s="6"/>
      <c r="MB635" s="6"/>
      <c r="MC635" s="6"/>
      <c r="MD635" s="6"/>
      <c r="ME635" s="6"/>
      <c r="MF635" s="6"/>
      <c r="MG635" s="6"/>
      <c r="MH635" s="6"/>
      <c r="MI635" s="6"/>
      <c r="MJ635" s="6"/>
      <c r="MK635" s="6"/>
      <c r="ML635" s="6"/>
      <c r="MM635" s="6"/>
      <c r="MN635" s="6"/>
      <c r="MO635" s="6"/>
      <c r="MP635" s="6"/>
      <c r="MQ635" s="6"/>
      <c r="MR635" s="6"/>
      <c r="MS635" s="6"/>
      <c r="MT635" s="6"/>
      <c r="MU635" s="6"/>
      <c r="MV635" s="6"/>
      <c r="MW635" s="6"/>
      <c r="MX635" s="6"/>
      <c r="MY635" s="6"/>
      <c r="MZ635" s="6"/>
      <c r="NA635" s="6"/>
      <c r="NB635" s="6"/>
      <c r="NC635" s="6"/>
      <c r="ND635" s="6"/>
      <c r="NE635" s="6"/>
      <c r="NF635" s="6"/>
      <c r="NG635" s="6"/>
      <c r="NH635" s="6"/>
      <c r="NI635" s="6"/>
      <c r="NJ635" s="6"/>
      <c r="NK635" s="6"/>
      <c r="NL635" s="6"/>
      <c r="NM635" s="6"/>
      <c r="NN635" s="6"/>
      <c r="NO635" s="6"/>
      <c r="NP635" s="6"/>
      <c r="NQ635" s="6"/>
      <c r="NR635" s="6"/>
      <c r="NS635" s="6"/>
      <c r="NT635" s="6"/>
      <c r="NU635" s="6"/>
      <c r="NV635" s="6"/>
    </row>
    <row r="636" spans="1:386" s="19" customFormat="1" ht="20.100000000000001" customHeight="1" x14ac:dyDescent="0.35">
      <c r="A636" s="1"/>
      <c r="B636" s="2"/>
      <c r="C636" s="3"/>
      <c r="D636" s="2"/>
      <c r="E636" s="2"/>
      <c r="F636" s="4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9"/>
      <c r="FL636" s="9"/>
      <c r="FM636" s="9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135"/>
      <c r="IK636" s="135"/>
      <c r="IL636" s="135"/>
      <c r="IN636" s="6"/>
      <c r="IO636" s="6"/>
      <c r="IP636" s="6"/>
      <c r="IQ636" s="6"/>
      <c r="IR636" s="6"/>
      <c r="IS636" s="6"/>
      <c r="IT636" s="6"/>
      <c r="IU636" s="6"/>
      <c r="IV636" s="6"/>
      <c r="IW636" s="6"/>
      <c r="IX636" s="6"/>
      <c r="IY636" s="6"/>
      <c r="IZ636" s="6"/>
      <c r="JA636" s="6"/>
      <c r="JB636" s="6"/>
      <c r="JC636" s="6"/>
      <c r="JD636" s="6"/>
      <c r="JE636" s="6"/>
      <c r="JF636" s="6"/>
      <c r="JG636" s="6"/>
      <c r="JH636" s="6"/>
      <c r="JI636" s="6"/>
      <c r="JJ636" s="6"/>
      <c r="JK636" s="6"/>
      <c r="JL636" s="6"/>
      <c r="JM636" s="6"/>
      <c r="JN636" s="6"/>
      <c r="JO636" s="6"/>
      <c r="JP636" s="6"/>
      <c r="JQ636" s="6"/>
      <c r="JR636" s="6"/>
      <c r="JS636" s="6"/>
      <c r="JT636" s="6"/>
      <c r="JU636" s="6"/>
      <c r="JV636" s="6"/>
      <c r="JW636" s="6"/>
      <c r="JX636" s="6"/>
      <c r="JY636" s="6"/>
      <c r="JZ636" s="6"/>
      <c r="KA636" s="6"/>
      <c r="KB636" s="6"/>
      <c r="KC636" s="6"/>
      <c r="KD636" s="6"/>
      <c r="KE636" s="6"/>
      <c r="KF636" s="6"/>
      <c r="KG636" s="6"/>
      <c r="KH636" s="6"/>
      <c r="KI636" s="6"/>
      <c r="KJ636" s="6"/>
      <c r="KK636" s="6"/>
      <c r="KL636" s="6"/>
      <c r="KM636" s="6"/>
      <c r="KN636" s="6"/>
      <c r="KO636" s="6"/>
      <c r="KP636" s="6"/>
      <c r="KQ636" s="6"/>
      <c r="KR636" s="6"/>
      <c r="KS636" s="6"/>
      <c r="KT636" s="6"/>
      <c r="KU636" s="6"/>
      <c r="KV636" s="6"/>
      <c r="KW636" s="6"/>
      <c r="KX636" s="6"/>
      <c r="KY636" s="6"/>
      <c r="KZ636" s="6"/>
      <c r="LA636" s="6"/>
      <c r="LB636" s="6"/>
      <c r="LC636" s="6"/>
      <c r="LD636" s="6"/>
      <c r="LE636" s="6"/>
      <c r="LF636" s="6"/>
      <c r="LG636" s="6"/>
      <c r="LH636" s="6"/>
      <c r="LI636" s="6"/>
      <c r="LJ636" s="6"/>
      <c r="LK636" s="6"/>
      <c r="LL636" s="6"/>
      <c r="LM636" s="6"/>
      <c r="LN636" s="6"/>
      <c r="LO636" s="6"/>
      <c r="LP636" s="6"/>
      <c r="LQ636" s="6"/>
      <c r="LR636" s="6"/>
      <c r="LS636" s="6"/>
      <c r="LT636" s="6"/>
      <c r="LU636" s="6"/>
      <c r="LV636" s="6"/>
      <c r="LW636" s="6"/>
      <c r="LX636" s="6"/>
      <c r="LY636" s="6"/>
      <c r="LZ636" s="6"/>
      <c r="MA636" s="6"/>
      <c r="MB636" s="6"/>
      <c r="MC636" s="6"/>
      <c r="MD636" s="6"/>
      <c r="ME636" s="6"/>
      <c r="MF636" s="6"/>
      <c r="MG636" s="6"/>
      <c r="MH636" s="6"/>
      <c r="MI636" s="6"/>
      <c r="MJ636" s="6"/>
      <c r="MK636" s="6"/>
      <c r="ML636" s="6"/>
      <c r="MM636" s="6"/>
      <c r="MN636" s="6"/>
      <c r="MO636" s="6"/>
      <c r="MP636" s="6"/>
      <c r="MQ636" s="6"/>
      <c r="MR636" s="6"/>
      <c r="MS636" s="6"/>
      <c r="MT636" s="6"/>
      <c r="MU636" s="6"/>
      <c r="MV636" s="6"/>
      <c r="MW636" s="6"/>
      <c r="MX636" s="6"/>
      <c r="MY636" s="6"/>
      <c r="MZ636" s="6"/>
      <c r="NA636" s="6"/>
      <c r="NB636" s="6"/>
      <c r="NC636" s="6"/>
      <c r="ND636" s="6"/>
      <c r="NE636" s="6"/>
      <c r="NF636" s="6"/>
      <c r="NG636" s="6"/>
      <c r="NH636" s="6"/>
      <c r="NI636" s="6"/>
      <c r="NJ636" s="6"/>
      <c r="NK636" s="6"/>
      <c r="NL636" s="6"/>
      <c r="NM636" s="6"/>
      <c r="NN636" s="6"/>
      <c r="NO636" s="6"/>
      <c r="NP636" s="6"/>
      <c r="NQ636" s="6"/>
      <c r="NR636" s="6"/>
      <c r="NS636" s="6"/>
      <c r="NT636" s="6"/>
      <c r="NU636" s="6"/>
      <c r="NV636" s="6"/>
    </row>
    <row r="637" spans="1:386" s="19" customFormat="1" ht="20.100000000000001" customHeight="1" x14ac:dyDescent="0.35">
      <c r="A637" s="1"/>
      <c r="B637" s="2"/>
      <c r="C637" s="3"/>
      <c r="D637" s="2"/>
      <c r="E637" s="2"/>
      <c r="F637" s="4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9"/>
      <c r="FL637" s="9"/>
      <c r="FM637" s="9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135"/>
      <c r="IK637" s="135"/>
      <c r="IL637" s="135"/>
      <c r="IN637" s="6"/>
      <c r="IO637" s="6"/>
      <c r="IP637" s="6"/>
      <c r="IQ637" s="6"/>
      <c r="IR637" s="6"/>
      <c r="IS637" s="6"/>
      <c r="IT637" s="6"/>
      <c r="IU637" s="6"/>
      <c r="IV637" s="6"/>
      <c r="IW637" s="6"/>
      <c r="IX637" s="6"/>
      <c r="IY637" s="6"/>
      <c r="IZ637" s="6"/>
      <c r="JA637" s="6"/>
      <c r="JB637" s="6"/>
      <c r="JC637" s="6"/>
      <c r="JD637" s="6"/>
      <c r="JE637" s="6"/>
      <c r="JF637" s="6"/>
      <c r="JG637" s="6"/>
      <c r="JH637" s="6"/>
      <c r="JI637" s="6"/>
      <c r="JJ637" s="6"/>
      <c r="JK637" s="6"/>
      <c r="JL637" s="6"/>
      <c r="JM637" s="6"/>
      <c r="JN637" s="6"/>
      <c r="JO637" s="6"/>
      <c r="JP637" s="6"/>
      <c r="JQ637" s="6"/>
      <c r="JR637" s="6"/>
      <c r="JS637" s="6"/>
      <c r="JT637" s="6"/>
      <c r="JU637" s="6"/>
      <c r="JV637" s="6"/>
      <c r="JW637" s="6"/>
      <c r="JX637" s="6"/>
      <c r="JY637" s="6"/>
      <c r="JZ637" s="6"/>
      <c r="KA637" s="6"/>
      <c r="KB637" s="6"/>
      <c r="KC637" s="6"/>
      <c r="KD637" s="6"/>
      <c r="KE637" s="6"/>
      <c r="KF637" s="6"/>
      <c r="KG637" s="6"/>
      <c r="KH637" s="6"/>
      <c r="KI637" s="6"/>
      <c r="KJ637" s="6"/>
      <c r="KK637" s="6"/>
      <c r="KL637" s="6"/>
      <c r="KM637" s="6"/>
      <c r="KN637" s="6"/>
      <c r="KO637" s="6"/>
      <c r="KP637" s="6"/>
      <c r="KQ637" s="6"/>
      <c r="KR637" s="6"/>
      <c r="KS637" s="6"/>
      <c r="KT637" s="6"/>
      <c r="KU637" s="6"/>
      <c r="KV637" s="6"/>
      <c r="KW637" s="6"/>
      <c r="KX637" s="6"/>
      <c r="KY637" s="6"/>
      <c r="KZ637" s="6"/>
      <c r="LA637" s="6"/>
      <c r="LB637" s="6"/>
      <c r="LC637" s="6"/>
      <c r="LD637" s="6"/>
      <c r="LE637" s="6"/>
      <c r="LF637" s="6"/>
      <c r="LG637" s="6"/>
      <c r="LH637" s="6"/>
      <c r="LI637" s="6"/>
      <c r="LJ637" s="6"/>
      <c r="LK637" s="6"/>
      <c r="LL637" s="6"/>
      <c r="LM637" s="6"/>
      <c r="LN637" s="6"/>
      <c r="LO637" s="6"/>
      <c r="LP637" s="6"/>
      <c r="LQ637" s="6"/>
      <c r="LR637" s="6"/>
      <c r="LS637" s="6"/>
      <c r="LT637" s="6"/>
      <c r="LU637" s="6"/>
      <c r="LV637" s="6"/>
      <c r="LW637" s="6"/>
      <c r="LX637" s="6"/>
      <c r="LY637" s="6"/>
      <c r="LZ637" s="6"/>
      <c r="MA637" s="6"/>
      <c r="MB637" s="6"/>
      <c r="MC637" s="6"/>
      <c r="MD637" s="6"/>
      <c r="ME637" s="6"/>
      <c r="MF637" s="6"/>
      <c r="MG637" s="6"/>
      <c r="MH637" s="6"/>
      <c r="MI637" s="6"/>
      <c r="MJ637" s="6"/>
      <c r="MK637" s="6"/>
      <c r="ML637" s="6"/>
      <c r="MM637" s="6"/>
      <c r="MN637" s="6"/>
      <c r="MO637" s="6"/>
      <c r="MP637" s="6"/>
      <c r="MQ637" s="6"/>
      <c r="MR637" s="6"/>
      <c r="MS637" s="6"/>
      <c r="MT637" s="6"/>
      <c r="MU637" s="6"/>
      <c r="MV637" s="6"/>
      <c r="MW637" s="6"/>
      <c r="MX637" s="6"/>
      <c r="MY637" s="6"/>
      <c r="MZ637" s="6"/>
      <c r="NA637" s="6"/>
      <c r="NB637" s="6"/>
      <c r="NC637" s="6"/>
      <c r="ND637" s="6"/>
      <c r="NE637" s="6"/>
      <c r="NF637" s="6"/>
      <c r="NG637" s="6"/>
      <c r="NH637" s="6"/>
      <c r="NI637" s="6"/>
      <c r="NJ637" s="6"/>
      <c r="NK637" s="6"/>
      <c r="NL637" s="6"/>
      <c r="NM637" s="6"/>
      <c r="NN637" s="6"/>
      <c r="NO637" s="6"/>
      <c r="NP637" s="6"/>
      <c r="NQ637" s="6"/>
      <c r="NR637" s="6"/>
      <c r="NS637" s="6"/>
      <c r="NT637" s="6"/>
      <c r="NU637" s="6"/>
      <c r="NV637" s="6"/>
    </row>
    <row r="638" spans="1:386" s="19" customFormat="1" ht="20.100000000000001" customHeight="1" x14ac:dyDescent="0.35">
      <c r="A638" s="1"/>
      <c r="B638" s="2"/>
      <c r="C638" s="3"/>
      <c r="D638" s="2"/>
      <c r="E638" s="2"/>
      <c r="F638" s="4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9"/>
      <c r="FL638" s="9"/>
      <c r="FM638" s="9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135"/>
      <c r="IK638" s="135"/>
      <c r="IL638" s="135"/>
      <c r="IN638" s="6"/>
      <c r="IO638" s="6"/>
      <c r="IP638" s="6"/>
      <c r="IQ638" s="6"/>
      <c r="IR638" s="6"/>
      <c r="IS638" s="6"/>
      <c r="IT638" s="6"/>
      <c r="IU638" s="6"/>
      <c r="IV638" s="6"/>
      <c r="IW638" s="6"/>
      <c r="IX638" s="6"/>
      <c r="IY638" s="6"/>
      <c r="IZ638" s="6"/>
      <c r="JA638" s="6"/>
      <c r="JB638" s="6"/>
      <c r="JC638" s="6"/>
      <c r="JD638" s="6"/>
      <c r="JE638" s="6"/>
      <c r="JF638" s="6"/>
      <c r="JG638" s="6"/>
      <c r="JH638" s="6"/>
      <c r="JI638" s="6"/>
      <c r="JJ638" s="6"/>
      <c r="JK638" s="6"/>
      <c r="JL638" s="6"/>
      <c r="JM638" s="6"/>
      <c r="JN638" s="6"/>
      <c r="JO638" s="6"/>
      <c r="JP638" s="6"/>
      <c r="JQ638" s="6"/>
      <c r="JR638" s="6"/>
      <c r="JS638" s="6"/>
      <c r="JT638" s="6"/>
      <c r="JU638" s="6"/>
      <c r="JV638" s="6"/>
      <c r="JW638" s="6"/>
      <c r="JX638" s="6"/>
      <c r="JY638" s="6"/>
      <c r="JZ638" s="6"/>
      <c r="KA638" s="6"/>
      <c r="KB638" s="6"/>
      <c r="KC638" s="6"/>
      <c r="KD638" s="6"/>
      <c r="KE638" s="6"/>
      <c r="KF638" s="6"/>
      <c r="KG638" s="6"/>
      <c r="KH638" s="6"/>
      <c r="KI638" s="6"/>
      <c r="KJ638" s="6"/>
      <c r="KK638" s="6"/>
      <c r="KL638" s="6"/>
      <c r="KM638" s="6"/>
      <c r="KN638" s="6"/>
      <c r="KO638" s="6"/>
      <c r="KP638" s="6"/>
      <c r="KQ638" s="6"/>
      <c r="KR638" s="6"/>
      <c r="KS638" s="6"/>
      <c r="KT638" s="6"/>
      <c r="KU638" s="6"/>
      <c r="KV638" s="6"/>
      <c r="KW638" s="6"/>
      <c r="KX638" s="6"/>
      <c r="KY638" s="6"/>
      <c r="KZ638" s="6"/>
      <c r="LA638" s="6"/>
      <c r="LB638" s="6"/>
      <c r="LC638" s="6"/>
      <c r="LD638" s="6"/>
      <c r="LE638" s="6"/>
      <c r="LF638" s="6"/>
      <c r="LG638" s="6"/>
      <c r="LH638" s="6"/>
      <c r="LI638" s="6"/>
      <c r="LJ638" s="6"/>
      <c r="LK638" s="6"/>
      <c r="LL638" s="6"/>
      <c r="LM638" s="6"/>
      <c r="LN638" s="6"/>
      <c r="LO638" s="6"/>
      <c r="LP638" s="6"/>
      <c r="LQ638" s="6"/>
      <c r="LR638" s="6"/>
      <c r="LS638" s="6"/>
      <c r="LT638" s="6"/>
      <c r="LU638" s="6"/>
      <c r="LV638" s="6"/>
      <c r="LW638" s="6"/>
      <c r="LX638" s="6"/>
      <c r="LY638" s="6"/>
      <c r="LZ638" s="6"/>
      <c r="MA638" s="6"/>
      <c r="MB638" s="6"/>
      <c r="MC638" s="6"/>
      <c r="MD638" s="6"/>
      <c r="ME638" s="6"/>
      <c r="MF638" s="6"/>
      <c r="MG638" s="6"/>
      <c r="MH638" s="6"/>
      <c r="MI638" s="6"/>
      <c r="MJ638" s="6"/>
      <c r="MK638" s="6"/>
      <c r="ML638" s="6"/>
      <c r="MM638" s="6"/>
      <c r="MN638" s="6"/>
      <c r="MO638" s="6"/>
      <c r="MP638" s="6"/>
      <c r="MQ638" s="6"/>
      <c r="MR638" s="6"/>
      <c r="MS638" s="6"/>
      <c r="MT638" s="6"/>
      <c r="MU638" s="6"/>
      <c r="MV638" s="6"/>
      <c r="MW638" s="6"/>
      <c r="MX638" s="6"/>
      <c r="MY638" s="6"/>
      <c r="MZ638" s="6"/>
      <c r="NA638" s="6"/>
      <c r="NB638" s="6"/>
      <c r="NC638" s="6"/>
      <c r="ND638" s="6"/>
      <c r="NE638" s="6"/>
      <c r="NF638" s="6"/>
      <c r="NG638" s="6"/>
      <c r="NH638" s="6"/>
      <c r="NI638" s="6"/>
      <c r="NJ638" s="6"/>
      <c r="NK638" s="6"/>
      <c r="NL638" s="6"/>
      <c r="NM638" s="6"/>
      <c r="NN638" s="6"/>
      <c r="NO638" s="6"/>
      <c r="NP638" s="6"/>
      <c r="NQ638" s="6"/>
      <c r="NR638" s="6"/>
      <c r="NS638" s="6"/>
      <c r="NT638" s="6"/>
      <c r="NU638" s="6"/>
      <c r="NV638" s="6"/>
    </row>
    <row r="639" spans="1:386" s="19" customFormat="1" ht="20.100000000000001" customHeight="1" x14ac:dyDescent="0.35">
      <c r="A639" s="1"/>
      <c r="B639" s="2"/>
      <c r="C639" s="3"/>
      <c r="D639" s="2"/>
      <c r="E639" s="2"/>
      <c r="F639" s="4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9"/>
      <c r="FL639" s="9"/>
      <c r="FM639" s="9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135"/>
      <c r="IK639" s="135"/>
      <c r="IL639" s="135"/>
      <c r="IN639" s="6"/>
      <c r="IO639" s="6"/>
      <c r="IP639" s="6"/>
      <c r="IQ639" s="6"/>
      <c r="IR639" s="6"/>
      <c r="IS639" s="6"/>
      <c r="IT639" s="6"/>
      <c r="IU639" s="6"/>
      <c r="IV639" s="6"/>
      <c r="IW639" s="6"/>
      <c r="IX639" s="6"/>
      <c r="IY639" s="6"/>
      <c r="IZ639" s="6"/>
      <c r="JA639" s="6"/>
      <c r="JB639" s="6"/>
      <c r="JC639" s="6"/>
      <c r="JD639" s="6"/>
      <c r="JE639" s="6"/>
      <c r="JF639" s="6"/>
      <c r="JG639" s="6"/>
      <c r="JH639" s="6"/>
      <c r="JI639" s="6"/>
      <c r="JJ639" s="6"/>
      <c r="JK639" s="6"/>
      <c r="JL639" s="6"/>
      <c r="JM639" s="6"/>
      <c r="JN639" s="6"/>
      <c r="JO639" s="6"/>
      <c r="JP639" s="6"/>
      <c r="JQ639" s="6"/>
      <c r="JR639" s="6"/>
      <c r="JS639" s="6"/>
      <c r="JT639" s="6"/>
      <c r="JU639" s="6"/>
      <c r="JV639" s="6"/>
      <c r="JW639" s="6"/>
      <c r="JX639" s="6"/>
      <c r="JY639" s="6"/>
      <c r="JZ639" s="6"/>
      <c r="KA639" s="6"/>
      <c r="KB639" s="6"/>
      <c r="KC639" s="6"/>
      <c r="KD639" s="6"/>
      <c r="KE639" s="6"/>
      <c r="KF639" s="6"/>
      <c r="KG639" s="6"/>
      <c r="KH639" s="6"/>
      <c r="KI639" s="6"/>
      <c r="KJ639" s="6"/>
      <c r="KK639" s="6"/>
      <c r="KL639" s="6"/>
      <c r="KM639" s="6"/>
      <c r="KN639" s="6"/>
      <c r="KO639" s="6"/>
      <c r="KP639" s="6"/>
      <c r="KQ639" s="6"/>
      <c r="KR639" s="6"/>
      <c r="KS639" s="6"/>
      <c r="KT639" s="6"/>
      <c r="KU639" s="6"/>
      <c r="KV639" s="6"/>
      <c r="KW639" s="6"/>
      <c r="KX639" s="6"/>
      <c r="KY639" s="6"/>
      <c r="KZ639" s="6"/>
      <c r="LA639" s="6"/>
      <c r="LB639" s="6"/>
      <c r="LC639" s="6"/>
      <c r="LD639" s="6"/>
      <c r="LE639" s="6"/>
      <c r="LF639" s="6"/>
      <c r="LG639" s="6"/>
      <c r="LH639" s="6"/>
      <c r="LI639" s="6"/>
      <c r="LJ639" s="6"/>
      <c r="LK639" s="6"/>
      <c r="LL639" s="6"/>
      <c r="LM639" s="6"/>
      <c r="LN639" s="6"/>
      <c r="LO639" s="6"/>
      <c r="LP639" s="6"/>
      <c r="LQ639" s="6"/>
      <c r="LR639" s="6"/>
      <c r="LS639" s="6"/>
      <c r="LT639" s="6"/>
      <c r="LU639" s="6"/>
      <c r="LV639" s="6"/>
      <c r="LW639" s="6"/>
      <c r="LX639" s="6"/>
      <c r="LY639" s="6"/>
      <c r="LZ639" s="6"/>
      <c r="MA639" s="6"/>
      <c r="MB639" s="6"/>
      <c r="MC639" s="6"/>
      <c r="MD639" s="6"/>
      <c r="ME639" s="6"/>
      <c r="MF639" s="6"/>
      <c r="MG639" s="6"/>
      <c r="MH639" s="6"/>
      <c r="MI639" s="6"/>
      <c r="MJ639" s="6"/>
      <c r="MK639" s="6"/>
      <c r="ML639" s="6"/>
      <c r="MM639" s="6"/>
      <c r="MN639" s="6"/>
      <c r="MO639" s="6"/>
      <c r="MP639" s="6"/>
      <c r="MQ639" s="6"/>
      <c r="MR639" s="6"/>
      <c r="MS639" s="6"/>
      <c r="MT639" s="6"/>
      <c r="MU639" s="6"/>
      <c r="MV639" s="6"/>
      <c r="MW639" s="6"/>
      <c r="MX639" s="6"/>
      <c r="MY639" s="6"/>
      <c r="MZ639" s="6"/>
      <c r="NA639" s="6"/>
      <c r="NB639" s="6"/>
      <c r="NC639" s="6"/>
      <c r="ND639" s="6"/>
      <c r="NE639" s="6"/>
      <c r="NF639" s="6"/>
      <c r="NG639" s="6"/>
      <c r="NH639" s="6"/>
      <c r="NI639" s="6"/>
      <c r="NJ639" s="6"/>
      <c r="NK639" s="6"/>
      <c r="NL639" s="6"/>
      <c r="NM639" s="6"/>
      <c r="NN639" s="6"/>
      <c r="NO639" s="6"/>
      <c r="NP639" s="6"/>
      <c r="NQ639" s="6"/>
      <c r="NR639" s="6"/>
      <c r="NS639" s="6"/>
      <c r="NT639" s="6"/>
      <c r="NU639" s="6"/>
      <c r="NV639" s="6"/>
    </row>
    <row r="640" spans="1:386" s="19" customFormat="1" ht="20.100000000000001" customHeight="1" x14ac:dyDescent="0.35">
      <c r="A640" s="1"/>
      <c r="B640" s="2"/>
      <c r="C640" s="3"/>
      <c r="D640" s="2"/>
      <c r="E640" s="2"/>
      <c r="F640" s="4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9"/>
      <c r="FL640" s="9"/>
      <c r="FM640" s="9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135"/>
      <c r="IK640" s="135"/>
      <c r="IL640" s="135"/>
      <c r="IN640" s="6"/>
      <c r="IO640" s="6"/>
      <c r="IP640" s="6"/>
      <c r="IQ640" s="6"/>
      <c r="IR640" s="6"/>
      <c r="IS640" s="6"/>
      <c r="IT640" s="6"/>
      <c r="IU640" s="6"/>
      <c r="IV640" s="6"/>
      <c r="IW640" s="6"/>
      <c r="IX640" s="6"/>
      <c r="IY640" s="6"/>
      <c r="IZ640" s="6"/>
      <c r="JA640" s="6"/>
      <c r="JB640" s="6"/>
      <c r="JC640" s="6"/>
      <c r="JD640" s="6"/>
      <c r="JE640" s="6"/>
      <c r="JF640" s="6"/>
      <c r="JG640" s="6"/>
      <c r="JH640" s="6"/>
      <c r="JI640" s="6"/>
      <c r="JJ640" s="6"/>
      <c r="JK640" s="6"/>
      <c r="JL640" s="6"/>
      <c r="JM640" s="6"/>
      <c r="JN640" s="6"/>
      <c r="JO640" s="6"/>
      <c r="JP640" s="6"/>
      <c r="JQ640" s="6"/>
      <c r="JR640" s="6"/>
      <c r="JS640" s="6"/>
      <c r="JT640" s="6"/>
      <c r="JU640" s="6"/>
      <c r="JV640" s="6"/>
      <c r="JW640" s="6"/>
      <c r="JX640" s="6"/>
      <c r="JY640" s="6"/>
      <c r="JZ640" s="6"/>
      <c r="KA640" s="6"/>
      <c r="KB640" s="6"/>
      <c r="KC640" s="6"/>
      <c r="KD640" s="6"/>
      <c r="KE640" s="6"/>
      <c r="KF640" s="6"/>
      <c r="KG640" s="6"/>
      <c r="KH640" s="6"/>
      <c r="KI640" s="6"/>
      <c r="KJ640" s="6"/>
      <c r="KK640" s="6"/>
      <c r="KL640" s="6"/>
      <c r="KM640" s="6"/>
      <c r="KN640" s="6"/>
      <c r="KO640" s="6"/>
      <c r="KP640" s="6"/>
      <c r="KQ640" s="6"/>
      <c r="KR640" s="6"/>
      <c r="KS640" s="6"/>
      <c r="KT640" s="6"/>
      <c r="KU640" s="6"/>
      <c r="KV640" s="6"/>
      <c r="KW640" s="6"/>
      <c r="KX640" s="6"/>
      <c r="KY640" s="6"/>
      <c r="KZ640" s="6"/>
      <c r="LA640" s="6"/>
      <c r="LB640" s="6"/>
      <c r="LC640" s="6"/>
      <c r="LD640" s="6"/>
      <c r="LE640" s="6"/>
      <c r="LF640" s="6"/>
      <c r="LG640" s="6"/>
      <c r="LH640" s="6"/>
      <c r="LI640" s="6"/>
      <c r="LJ640" s="6"/>
      <c r="LK640" s="6"/>
      <c r="LL640" s="6"/>
      <c r="LM640" s="6"/>
      <c r="LN640" s="6"/>
      <c r="LO640" s="6"/>
      <c r="LP640" s="6"/>
      <c r="LQ640" s="6"/>
      <c r="LR640" s="6"/>
      <c r="LS640" s="6"/>
      <c r="LT640" s="6"/>
      <c r="LU640" s="6"/>
      <c r="LV640" s="6"/>
      <c r="LW640" s="6"/>
      <c r="LX640" s="6"/>
      <c r="LY640" s="6"/>
      <c r="LZ640" s="6"/>
      <c r="MA640" s="6"/>
      <c r="MB640" s="6"/>
      <c r="MC640" s="6"/>
      <c r="MD640" s="6"/>
      <c r="ME640" s="6"/>
      <c r="MF640" s="6"/>
      <c r="MG640" s="6"/>
      <c r="MH640" s="6"/>
      <c r="MI640" s="6"/>
      <c r="MJ640" s="6"/>
      <c r="MK640" s="6"/>
      <c r="ML640" s="6"/>
      <c r="MM640" s="6"/>
      <c r="MN640" s="6"/>
      <c r="MO640" s="6"/>
      <c r="MP640" s="6"/>
      <c r="MQ640" s="6"/>
      <c r="MR640" s="6"/>
      <c r="MS640" s="6"/>
      <c r="MT640" s="6"/>
      <c r="MU640" s="6"/>
      <c r="MV640" s="6"/>
      <c r="MW640" s="6"/>
      <c r="MX640" s="6"/>
      <c r="MY640" s="6"/>
      <c r="MZ640" s="6"/>
      <c r="NA640" s="6"/>
      <c r="NB640" s="6"/>
      <c r="NC640" s="6"/>
      <c r="ND640" s="6"/>
      <c r="NE640" s="6"/>
      <c r="NF640" s="6"/>
      <c r="NG640" s="6"/>
      <c r="NH640" s="6"/>
      <c r="NI640" s="6"/>
      <c r="NJ640" s="6"/>
      <c r="NK640" s="6"/>
      <c r="NL640" s="6"/>
      <c r="NM640" s="6"/>
      <c r="NN640" s="6"/>
      <c r="NO640" s="6"/>
      <c r="NP640" s="6"/>
      <c r="NQ640" s="6"/>
      <c r="NR640" s="6"/>
      <c r="NS640" s="6"/>
      <c r="NT640" s="6"/>
      <c r="NU640" s="6"/>
      <c r="NV640" s="6"/>
    </row>
    <row r="641" spans="1:386" s="19" customFormat="1" ht="20.100000000000001" customHeight="1" x14ac:dyDescent="0.35">
      <c r="A641" s="1"/>
      <c r="B641" s="2"/>
      <c r="C641" s="3"/>
      <c r="D641" s="2"/>
      <c r="E641" s="2"/>
      <c r="F641" s="4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9"/>
      <c r="FL641" s="9"/>
      <c r="FM641" s="9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135"/>
      <c r="IK641" s="135"/>
      <c r="IL641" s="135"/>
      <c r="IN641" s="6"/>
      <c r="IO641" s="6"/>
      <c r="IP641" s="6"/>
      <c r="IQ641" s="6"/>
      <c r="IR641" s="6"/>
      <c r="IS641" s="6"/>
      <c r="IT641" s="6"/>
      <c r="IU641" s="6"/>
      <c r="IV641" s="6"/>
      <c r="IW641" s="6"/>
      <c r="IX641" s="6"/>
      <c r="IY641" s="6"/>
      <c r="IZ641" s="6"/>
      <c r="JA641" s="6"/>
      <c r="JB641" s="6"/>
      <c r="JC641" s="6"/>
      <c r="JD641" s="6"/>
      <c r="JE641" s="6"/>
      <c r="JF641" s="6"/>
      <c r="JG641" s="6"/>
      <c r="JH641" s="6"/>
      <c r="JI641" s="6"/>
      <c r="JJ641" s="6"/>
      <c r="JK641" s="6"/>
      <c r="JL641" s="6"/>
      <c r="JM641" s="6"/>
      <c r="JN641" s="6"/>
      <c r="JO641" s="6"/>
      <c r="JP641" s="6"/>
      <c r="JQ641" s="6"/>
      <c r="JR641" s="6"/>
      <c r="JS641" s="6"/>
      <c r="JT641" s="6"/>
      <c r="JU641" s="6"/>
      <c r="JV641" s="6"/>
      <c r="JW641" s="6"/>
      <c r="JX641" s="6"/>
      <c r="JY641" s="6"/>
      <c r="JZ641" s="6"/>
      <c r="KA641" s="6"/>
      <c r="KB641" s="6"/>
      <c r="KC641" s="6"/>
      <c r="KD641" s="6"/>
      <c r="KE641" s="6"/>
      <c r="KF641" s="6"/>
      <c r="KG641" s="6"/>
      <c r="KH641" s="6"/>
      <c r="KI641" s="6"/>
      <c r="KJ641" s="6"/>
      <c r="KK641" s="6"/>
      <c r="KL641" s="6"/>
      <c r="KM641" s="6"/>
      <c r="KN641" s="6"/>
      <c r="KO641" s="6"/>
      <c r="KP641" s="6"/>
      <c r="KQ641" s="6"/>
      <c r="KR641" s="6"/>
      <c r="KS641" s="6"/>
      <c r="KT641" s="6"/>
      <c r="KU641" s="6"/>
      <c r="KV641" s="6"/>
      <c r="KW641" s="6"/>
      <c r="KX641" s="6"/>
      <c r="KY641" s="6"/>
      <c r="KZ641" s="6"/>
      <c r="LA641" s="6"/>
      <c r="LB641" s="6"/>
      <c r="LC641" s="6"/>
      <c r="LD641" s="6"/>
      <c r="LE641" s="6"/>
      <c r="LF641" s="6"/>
      <c r="LG641" s="6"/>
      <c r="LH641" s="6"/>
      <c r="LI641" s="6"/>
      <c r="LJ641" s="6"/>
      <c r="LK641" s="6"/>
      <c r="LL641" s="6"/>
      <c r="LM641" s="6"/>
      <c r="LN641" s="6"/>
      <c r="LO641" s="6"/>
      <c r="LP641" s="6"/>
      <c r="LQ641" s="6"/>
      <c r="LR641" s="6"/>
      <c r="LS641" s="6"/>
      <c r="LT641" s="6"/>
      <c r="LU641" s="6"/>
      <c r="LV641" s="6"/>
      <c r="LW641" s="6"/>
      <c r="LX641" s="6"/>
      <c r="LY641" s="6"/>
      <c r="LZ641" s="6"/>
      <c r="MA641" s="6"/>
      <c r="MB641" s="6"/>
      <c r="MC641" s="6"/>
      <c r="MD641" s="6"/>
      <c r="ME641" s="6"/>
      <c r="MF641" s="6"/>
      <c r="MG641" s="6"/>
      <c r="MH641" s="6"/>
      <c r="MI641" s="6"/>
      <c r="MJ641" s="6"/>
      <c r="MK641" s="6"/>
      <c r="ML641" s="6"/>
      <c r="MM641" s="6"/>
      <c r="MN641" s="6"/>
      <c r="MO641" s="6"/>
      <c r="MP641" s="6"/>
      <c r="MQ641" s="6"/>
      <c r="MR641" s="6"/>
      <c r="MS641" s="6"/>
      <c r="MT641" s="6"/>
      <c r="MU641" s="6"/>
      <c r="MV641" s="6"/>
      <c r="MW641" s="6"/>
      <c r="MX641" s="6"/>
      <c r="MY641" s="6"/>
      <c r="MZ641" s="6"/>
      <c r="NA641" s="6"/>
      <c r="NB641" s="6"/>
      <c r="NC641" s="6"/>
      <c r="ND641" s="6"/>
      <c r="NE641" s="6"/>
      <c r="NF641" s="6"/>
      <c r="NG641" s="6"/>
      <c r="NH641" s="6"/>
      <c r="NI641" s="6"/>
      <c r="NJ641" s="6"/>
      <c r="NK641" s="6"/>
      <c r="NL641" s="6"/>
      <c r="NM641" s="6"/>
      <c r="NN641" s="6"/>
      <c r="NO641" s="6"/>
      <c r="NP641" s="6"/>
      <c r="NQ641" s="6"/>
      <c r="NR641" s="6"/>
      <c r="NS641" s="6"/>
      <c r="NT641" s="6"/>
      <c r="NU641" s="6"/>
      <c r="NV641" s="6"/>
    </row>
    <row r="642" spans="1:386" s="19" customFormat="1" ht="20.100000000000001" customHeight="1" x14ac:dyDescent="0.35">
      <c r="A642" s="1"/>
      <c r="B642" s="2"/>
      <c r="C642" s="3"/>
      <c r="D642" s="2"/>
      <c r="E642" s="2"/>
      <c r="F642" s="4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9"/>
      <c r="FL642" s="9"/>
      <c r="FM642" s="9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135"/>
      <c r="IK642" s="135"/>
      <c r="IL642" s="135"/>
      <c r="IN642" s="6"/>
      <c r="IO642" s="6"/>
      <c r="IP642" s="6"/>
      <c r="IQ642" s="6"/>
      <c r="IR642" s="6"/>
      <c r="IS642" s="6"/>
      <c r="IT642" s="6"/>
      <c r="IU642" s="6"/>
      <c r="IV642" s="6"/>
      <c r="IW642" s="6"/>
      <c r="IX642" s="6"/>
      <c r="IY642" s="6"/>
      <c r="IZ642" s="6"/>
      <c r="JA642" s="6"/>
      <c r="JB642" s="6"/>
      <c r="JC642" s="6"/>
      <c r="JD642" s="6"/>
      <c r="JE642" s="6"/>
      <c r="JF642" s="6"/>
      <c r="JG642" s="6"/>
      <c r="JH642" s="6"/>
      <c r="JI642" s="6"/>
      <c r="JJ642" s="6"/>
      <c r="JK642" s="6"/>
      <c r="JL642" s="6"/>
      <c r="JM642" s="6"/>
      <c r="JN642" s="6"/>
      <c r="JO642" s="6"/>
      <c r="JP642" s="6"/>
      <c r="JQ642" s="6"/>
      <c r="JR642" s="6"/>
      <c r="JS642" s="6"/>
      <c r="JT642" s="6"/>
      <c r="JU642" s="6"/>
      <c r="JV642" s="6"/>
      <c r="JW642" s="6"/>
      <c r="JX642" s="6"/>
      <c r="JY642" s="6"/>
      <c r="JZ642" s="6"/>
      <c r="KA642" s="6"/>
      <c r="KB642" s="6"/>
      <c r="KC642" s="6"/>
      <c r="KD642" s="6"/>
      <c r="KE642" s="6"/>
      <c r="KF642" s="6"/>
      <c r="KG642" s="6"/>
      <c r="KH642" s="6"/>
      <c r="KI642" s="6"/>
      <c r="KJ642" s="6"/>
      <c r="KK642" s="6"/>
      <c r="KL642" s="6"/>
      <c r="KM642" s="6"/>
      <c r="KN642" s="6"/>
      <c r="KO642" s="6"/>
      <c r="KP642" s="6"/>
      <c r="KQ642" s="6"/>
      <c r="KR642" s="6"/>
      <c r="KS642" s="6"/>
      <c r="KT642" s="6"/>
      <c r="KU642" s="6"/>
      <c r="KV642" s="6"/>
      <c r="KW642" s="6"/>
      <c r="KX642" s="6"/>
      <c r="KY642" s="6"/>
      <c r="KZ642" s="6"/>
      <c r="LA642" s="6"/>
      <c r="LB642" s="6"/>
      <c r="LC642" s="6"/>
      <c r="LD642" s="6"/>
      <c r="LE642" s="6"/>
      <c r="LF642" s="6"/>
      <c r="LG642" s="6"/>
      <c r="LH642" s="6"/>
      <c r="LI642" s="6"/>
      <c r="LJ642" s="6"/>
      <c r="LK642" s="6"/>
      <c r="LL642" s="6"/>
      <c r="LM642" s="6"/>
      <c r="LN642" s="6"/>
      <c r="LO642" s="6"/>
      <c r="LP642" s="6"/>
      <c r="LQ642" s="6"/>
      <c r="LR642" s="6"/>
      <c r="LS642" s="6"/>
      <c r="LT642" s="6"/>
      <c r="LU642" s="6"/>
      <c r="LV642" s="6"/>
      <c r="LW642" s="6"/>
      <c r="LX642" s="6"/>
      <c r="LY642" s="6"/>
      <c r="LZ642" s="6"/>
      <c r="MA642" s="6"/>
      <c r="MB642" s="6"/>
      <c r="MC642" s="6"/>
      <c r="MD642" s="6"/>
      <c r="ME642" s="6"/>
      <c r="MF642" s="6"/>
      <c r="MG642" s="6"/>
      <c r="MH642" s="6"/>
      <c r="MI642" s="6"/>
      <c r="MJ642" s="6"/>
      <c r="MK642" s="6"/>
      <c r="ML642" s="6"/>
      <c r="MM642" s="6"/>
      <c r="MN642" s="6"/>
      <c r="MO642" s="6"/>
      <c r="MP642" s="6"/>
      <c r="MQ642" s="6"/>
      <c r="MR642" s="6"/>
      <c r="MS642" s="6"/>
      <c r="MT642" s="6"/>
      <c r="MU642" s="6"/>
      <c r="MV642" s="6"/>
      <c r="MW642" s="6"/>
      <c r="MX642" s="6"/>
      <c r="MY642" s="6"/>
      <c r="MZ642" s="6"/>
      <c r="NA642" s="6"/>
      <c r="NB642" s="6"/>
      <c r="NC642" s="6"/>
      <c r="ND642" s="6"/>
      <c r="NE642" s="6"/>
      <c r="NF642" s="6"/>
      <c r="NG642" s="6"/>
      <c r="NH642" s="6"/>
      <c r="NI642" s="6"/>
      <c r="NJ642" s="6"/>
      <c r="NK642" s="6"/>
      <c r="NL642" s="6"/>
      <c r="NM642" s="6"/>
      <c r="NN642" s="6"/>
      <c r="NO642" s="6"/>
      <c r="NP642" s="6"/>
      <c r="NQ642" s="6"/>
      <c r="NR642" s="6"/>
      <c r="NS642" s="6"/>
      <c r="NT642" s="6"/>
      <c r="NU642" s="6"/>
      <c r="NV642" s="6"/>
    </row>
    <row r="643" spans="1:386" s="19" customFormat="1" ht="20.100000000000001" customHeight="1" x14ac:dyDescent="0.35">
      <c r="A643" s="1"/>
      <c r="B643" s="2"/>
      <c r="C643" s="3"/>
      <c r="D643" s="2"/>
      <c r="E643" s="2"/>
      <c r="F643" s="4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9"/>
      <c r="FL643" s="9"/>
      <c r="FM643" s="9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135"/>
      <c r="IK643" s="135"/>
      <c r="IL643" s="135"/>
      <c r="IN643" s="6"/>
      <c r="IO643" s="6"/>
      <c r="IP643" s="6"/>
      <c r="IQ643" s="6"/>
      <c r="IR643" s="6"/>
      <c r="IS643" s="6"/>
      <c r="IT643" s="6"/>
      <c r="IU643" s="6"/>
      <c r="IV643" s="6"/>
      <c r="IW643" s="6"/>
      <c r="IX643" s="6"/>
      <c r="IY643" s="6"/>
      <c r="IZ643" s="6"/>
      <c r="JA643" s="6"/>
      <c r="JB643" s="6"/>
      <c r="JC643" s="6"/>
      <c r="JD643" s="6"/>
      <c r="JE643" s="6"/>
      <c r="JF643" s="6"/>
      <c r="JG643" s="6"/>
      <c r="JH643" s="6"/>
      <c r="JI643" s="6"/>
      <c r="JJ643" s="6"/>
      <c r="JK643" s="6"/>
      <c r="JL643" s="6"/>
      <c r="JM643" s="6"/>
      <c r="JN643" s="6"/>
      <c r="JO643" s="6"/>
      <c r="JP643" s="6"/>
      <c r="JQ643" s="6"/>
      <c r="JR643" s="6"/>
      <c r="JS643" s="6"/>
      <c r="JT643" s="6"/>
      <c r="JU643" s="6"/>
      <c r="JV643" s="6"/>
      <c r="JW643" s="6"/>
      <c r="JX643" s="6"/>
      <c r="JY643" s="6"/>
      <c r="JZ643" s="6"/>
      <c r="KA643" s="6"/>
      <c r="KB643" s="6"/>
      <c r="KC643" s="6"/>
      <c r="KD643" s="6"/>
      <c r="KE643" s="6"/>
      <c r="KF643" s="6"/>
      <c r="KG643" s="6"/>
      <c r="KH643" s="6"/>
      <c r="KI643" s="6"/>
      <c r="KJ643" s="6"/>
      <c r="KK643" s="6"/>
      <c r="KL643" s="6"/>
      <c r="KM643" s="6"/>
      <c r="KN643" s="6"/>
      <c r="KO643" s="6"/>
      <c r="KP643" s="6"/>
      <c r="KQ643" s="6"/>
      <c r="KR643" s="6"/>
      <c r="KS643" s="6"/>
      <c r="KT643" s="6"/>
      <c r="KU643" s="6"/>
      <c r="KV643" s="6"/>
      <c r="KW643" s="6"/>
      <c r="KX643" s="6"/>
      <c r="KY643" s="6"/>
      <c r="KZ643" s="6"/>
      <c r="LA643" s="6"/>
      <c r="LB643" s="6"/>
      <c r="LC643" s="6"/>
      <c r="LD643" s="6"/>
      <c r="LE643" s="6"/>
      <c r="LF643" s="6"/>
      <c r="LG643" s="6"/>
      <c r="LH643" s="6"/>
      <c r="LI643" s="6"/>
      <c r="LJ643" s="6"/>
      <c r="LK643" s="6"/>
      <c r="LL643" s="6"/>
      <c r="LM643" s="6"/>
      <c r="LN643" s="6"/>
      <c r="LO643" s="6"/>
      <c r="LP643" s="6"/>
      <c r="LQ643" s="6"/>
      <c r="LR643" s="6"/>
      <c r="LS643" s="6"/>
      <c r="LT643" s="6"/>
      <c r="LU643" s="6"/>
      <c r="LV643" s="6"/>
      <c r="LW643" s="6"/>
      <c r="LX643" s="6"/>
      <c r="LY643" s="6"/>
      <c r="LZ643" s="6"/>
      <c r="MA643" s="6"/>
      <c r="MB643" s="6"/>
      <c r="MC643" s="6"/>
      <c r="MD643" s="6"/>
      <c r="ME643" s="6"/>
      <c r="MF643" s="6"/>
      <c r="MG643" s="6"/>
      <c r="MH643" s="6"/>
      <c r="MI643" s="6"/>
      <c r="MJ643" s="6"/>
      <c r="MK643" s="6"/>
      <c r="ML643" s="6"/>
      <c r="MM643" s="6"/>
      <c r="MN643" s="6"/>
      <c r="MO643" s="6"/>
      <c r="MP643" s="6"/>
      <c r="MQ643" s="6"/>
      <c r="MR643" s="6"/>
      <c r="MS643" s="6"/>
      <c r="MT643" s="6"/>
      <c r="MU643" s="6"/>
      <c r="MV643" s="6"/>
      <c r="MW643" s="6"/>
      <c r="MX643" s="6"/>
      <c r="MY643" s="6"/>
      <c r="MZ643" s="6"/>
      <c r="NA643" s="6"/>
      <c r="NB643" s="6"/>
      <c r="NC643" s="6"/>
      <c r="ND643" s="6"/>
      <c r="NE643" s="6"/>
      <c r="NF643" s="6"/>
      <c r="NG643" s="6"/>
      <c r="NH643" s="6"/>
      <c r="NI643" s="6"/>
      <c r="NJ643" s="6"/>
      <c r="NK643" s="6"/>
      <c r="NL643" s="6"/>
      <c r="NM643" s="6"/>
      <c r="NN643" s="6"/>
      <c r="NO643" s="6"/>
      <c r="NP643" s="6"/>
      <c r="NQ643" s="6"/>
      <c r="NR643" s="6"/>
      <c r="NS643" s="6"/>
      <c r="NT643" s="6"/>
      <c r="NU643" s="6"/>
      <c r="NV643" s="6"/>
    </row>
    <row r="644" spans="1:386" s="19" customFormat="1" ht="20.100000000000001" customHeight="1" x14ac:dyDescent="0.35">
      <c r="A644" s="1"/>
      <c r="B644" s="2"/>
      <c r="C644" s="3"/>
      <c r="D644" s="2"/>
      <c r="E644" s="2"/>
      <c r="F644" s="4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9"/>
      <c r="FL644" s="9"/>
      <c r="FM644" s="9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135"/>
      <c r="IK644" s="135"/>
      <c r="IL644" s="135"/>
      <c r="IN644" s="6"/>
      <c r="IO644" s="6"/>
      <c r="IP644" s="6"/>
      <c r="IQ644" s="6"/>
      <c r="IR644" s="6"/>
      <c r="IS644" s="6"/>
      <c r="IT644" s="6"/>
      <c r="IU644" s="6"/>
      <c r="IV644" s="6"/>
      <c r="IW644" s="6"/>
      <c r="IX644" s="6"/>
      <c r="IY644" s="6"/>
      <c r="IZ644" s="6"/>
      <c r="JA644" s="6"/>
      <c r="JB644" s="6"/>
      <c r="JC644" s="6"/>
      <c r="JD644" s="6"/>
      <c r="JE644" s="6"/>
      <c r="JF644" s="6"/>
      <c r="JG644" s="6"/>
      <c r="JH644" s="6"/>
      <c r="JI644" s="6"/>
      <c r="JJ644" s="6"/>
      <c r="JK644" s="6"/>
      <c r="JL644" s="6"/>
      <c r="JM644" s="6"/>
      <c r="JN644" s="6"/>
      <c r="JO644" s="6"/>
      <c r="JP644" s="6"/>
      <c r="JQ644" s="6"/>
      <c r="JR644" s="6"/>
      <c r="JS644" s="6"/>
      <c r="JT644" s="6"/>
      <c r="JU644" s="6"/>
      <c r="JV644" s="6"/>
      <c r="JW644" s="6"/>
      <c r="JX644" s="6"/>
      <c r="JY644" s="6"/>
      <c r="JZ644" s="6"/>
      <c r="KA644" s="6"/>
      <c r="KB644" s="6"/>
      <c r="KC644" s="6"/>
      <c r="KD644" s="6"/>
      <c r="KE644" s="6"/>
      <c r="KF644" s="6"/>
      <c r="KG644" s="6"/>
      <c r="KH644" s="6"/>
      <c r="KI644" s="6"/>
      <c r="KJ644" s="6"/>
      <c r="KK644" s="6"/>
      <c r="KL644" s="6"/>
      <c r="KM644" s="6"/>
      <c r="KN644" s="6"/>
      <c r="KO644" s="6"/>
      <c r="KP644" s="6"/>
      <c r="KQ644" s="6"/>
      <c r="KR644" s="6"/>
      <c r="KS644" s="6"/>
      <c r="KT644" s="6"/>
      <c r="KU644" s="6"/>
      <c r="KV644" s="6"/>
      <c r="KW644" s="6"/>
      <c r="KX644" s="6"/>
      <c r="KY644" s="6"/>
      <c r="KZ644" s="6"/>
      <c r="LA644" s="6"/>
      <c r="LB644" s="6"/>
      <c r="LC644" s="6"/>
      <c r="LD644" s="6"/>
      <c r="LE644" s="6"/>
      <c r="LF644" s="6"/>
      <c r="LG644" s="6"/>
      <c r="LH644" s="6"/>
      <c r="LI644" s="6"/>
      <c r="LJ644" s="6"/>
      <c r="LK644" s="6"/>
      <c r="LL644" s="6"/>
      <c r="LM644" s="6"/>
      <c r="LN644" s="6"/>
      <c r="LO644" s="6"/>
      <c r="LP644" s="6"/>
      <c r="LQ644" s="6"/>
      <c r="LR644" s="6"/>
      <c r="LS644" s="6"/>
      <c r="LT644" s="6"/>
      <c r="LU644" s="6"/>
      <c r="LV644" s="6"/>
      <c r="LW644" s="6"/>
      <c r="LX644" s="6"/>
      <c r="LY644" s="6"/>
      <c r="LZ644" s="6"/>
      <c r="MA644" s="6"/>
      <c r="MB644" s="6"/>
      <c r="MC644" s="6"/>
      <c r="MD644" s="6"/>
      <c r="ME644" s="6"/>
      <c r="MF644" s="6"/>
      <c r="MG644" s="6"/>
      <c r="MH644" s="6"/>
      <c r="MI644" s="6"/>
      <c r="MJ644" s="6"/>
      <c r="MK644" s="6"/>
      <c r="ML644" s="6"/>
      <c r="MM644" s="6"/>
      <c r="MN644" s="6"/>
      <c r="MO644" s="6"/>
      <c r="MP644" s="6"/>
      <c r="MQ644" s="6"/>
      <c r="MR644" s="6"/>
      <c r="MS644" s="6"/>
      <c r="MT644" s="6"/>
      <c r="MU644" s="6"/>
      <c r="MV644" s="6"/>
      <c r="MW644" s="6"/>
      <c r="MX644" s="6"/>
      <c r="MY644" s="6"/>
      <c r="MZ644" s="6"/>
      <c r="NA644" s="6"/>
      <c r="NB644" s="6"/>
      <c r="NC644" s="6"/>
      <c r="ND644" s="6"/>
      <c r="NE644" s="6"/>
      <c r="NF644" s="6"/>
      <c r="NG644" s="6"/>
      <c r="NH644" s="6"/>
      <c r="NI644" s="6"/>
      <c r="NJ644" s="6"/>
      <c r="NK644" s="6"/>
      <c r="NL644" s="6"/>
      <c r="NM644" s="6"/>
      <c r="NN644" s="6"/>
      <c r="NO644" s="6"/>
      <c r="NP644" s="6"/>
      <c r="NQ644" s="6"/>
      <c r="NR644" s="6"/>
      <c r="NS644" s="6"/>
      <c r="NT644" s="6"/>
      <c r="NU644" s="6"/>
      <c r="NV644" s="6"/>
    </row>
    <row r="645" spans="1:386" s="19" customFormat="1" ht="20.100000000000001" customHeight="1" x14ac:dyDescent="0.35">
      <c r="A645" s="1"/>
      <c r="B645" s="2"/>
      <c r="C645" s="3"/>
      <c r="D645" s="2"/>
      <c r="E645" s="2"/>
      <c r="F645" s="4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9"/>
      <c r="FL645" s="9"/>
      <c r="FM645" s="9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135"/>
      <c r="IK645" s="135"/>
      <c r="IL645" s="135"/>
      <c r="IN645" s="6"/>
      <c r="IO645" s="6"/>
      <c r="IP645" s="6"/>
      <c r="IQ645" s="6"/>
      <c r="IR645" s="6"/>
      <c r="IS645" s="6"/>
      <c r="IT645" s="6"/>
      <c r="IU645" s="6"/>
      <c r="IV645" s="6"/>
      <c r="IW645" s="6"/>
      <c r="IX645" s="6"/>
      <c r="IY645" s="6"/>
      <c r="IZ645" s="6"/>
      <c r="JA645" s="6"/>
      <c r="JB645" s="6"/>
      <c r="JC645" s="6"/>
      <c r="JD645" s="6"/>
      <c r="JE645" s="6"/>
      <c r="JF645" s="6"/>
      <c r="JG645" s="6"/>
      <c r="JH645" s="6"/>
      <c r="JI645" s="6"/>
      <c r="JJ645" s="6"/>
      <c r="JK645" s="6"/>
      <c r="JL645" s="6"/>
      <c r="JM645" s="6"/>
      <c r="JN645" s="6"/>
      <c r="JO645" s="6"/>
      <c r="JP645" s="6"/>
      <c r="JQ645" s="6"/>
      <c r="JR645" s="6"/>
      <c r="JS645" s="6"/>
      <c r="JT645" s="6"/>
      <c r="JU645" s="6"/>
      <c r="JV645" s="6"/>
      <c r="JW645" s="6"/>
      <c r="JX645" s="6"/>
      <c r="JY645" s="6"/>
      <c r="JZ645" s="6"/>
      <c r="KA645" s="6"/>
      <c r="KB645" s="6"/>
      <c r="KC645" s="6"/>
      <c r="KD645" s="6"/>
      <c r="KE645" s="6"/>
      <c r="KF645" s="6"/>
      <c r="KG645" s="6"/>
      <c r="KH645" s="6"/>
      <c r="KI645" s="6"/>
      <c r="KJ645" s="6"/>
      <c r="KK645" s="6"/>
      <c r="KL645" s="6"/>
      <c r="KM645" s="6"/>
      <c r="KN645" s="6"/>
      <c r="KO645" s="6"/>
      <c r="KP645" s="6"/>
      <c r="KQ645" s="6"/>
      <c r="KR645" s="6"/>
      <c r="KS645" s="6"/>
      <c r="KT645" s="6"/>
      <c r="KU645" s="6"/>
      <c r="KV645" s="6"/>
      <c r="KW645" s="6"/>
      <c r="KX645" s="6"/>
      <c r="KY645" s="6"/>
      <c r="KZ645" s="6"/>
      <c r="LA645" s="6"/>
      <c r="LB645" s="6"/>
      <c r="LC645" s="6"/>
      <c r="LD645" s="6"/>
      <c r="LE645" s="6"/>
      <c r="LF645" s="6"/>
      <c r="LG645" s="6"/>
      <c r="LH645" s="6"/>
      <c r="LI645" s="6"/>
      <c r="LJ645" s="6"/>
      <c r="LK645" s="6"/>
      <c r="LL645" s="6"/>
      <c r="LM645" s="6"/>
      <c r="LN645" s="6"/>
      <c r="LO645" s="6"/>
      <c r="LP645" s="6"/>
      <c r="LQ645" s="6"/>
      <c r="LR645" s="6"/>
      <c r="LS645" s="6"/>
      <c r="LT645" s="6"/>
      <c r="LU645" s="6"/>
      <c r="LV645" s="6"/>
      <c r="LW645" s="6"/>
      <c r="LX645" s="6"/>
      <c r="LY645" s="6"/>
      <c r="LZ645" s="6"/>
      <c r="MA645" s="6"/>
      <c r="MB645" s="6"/>
      <c r="MC645" s="6"/>
      <c r="MD645" s="6"/>
      <c r="ME645" s="6"/>
      <c r="MF645" s="6"/>
      <c r="MG645" s="6"/>
      <c r="MH645" s="6"/>
      <c r="MI645" s="6"/>
      <c r="MJ645" s="6"/>
      <c r="MK645" s="6"/>
      <c r="ML645" s="6"/>
      <c r="MM645" s="6"/>
      <c r="MN645" s="6"/>
      <c r="MO645" s="6"/>
      <c r="MP645" s="6"/>
      <c r="MQ645" s="6"/>
      <c r="MR645" s="6"/>
      <c r="MS645" s="6"/>
      <c r="MT645" s="6"/>
      <c r="MU645" s="6"/>
      <c r="MV645" s="6"/>
      <c r="MW645" s="6"/>
      <c r="MX645" s="6"/>
      <c r="MY645" s="6"/>
      <c r="MZ645" s="6"/>
      <c r="NA645" s="6"/>
      <c r="NB645" s="6"/>
      <c r="NC645" s="6"/>
      <c r="ND645" s="6"/>
      <c r="NE645" s="6"/>
      <c r="NF645" s="6"/>
      <c r="NG645" s="6"/>
      <c r="NH645" s="6"/>
      <c r="NI645" s="6"/>
      <c r="NJ645" s="6"/>
      <c r="NK645" s="6"/>
      <c r="NL645" s="6"/>
      <c r="NM645" s="6"/>
      <c r="NN645" s="6"/>
      <c r="NO645" s="6"/>
      <c r="NP645" s="6"/>
      <c r="NQ645" s="6"/>
      <c r="NR645" s="6"/>
      <c r="NS645" s="6"/>
      <c r="NT645" s="6"/>
      <c r="NU645" s="6"/>
      <c r="NV645" s="6"/>
    </row>
    <row r="646" spans="1:386" s="19" customFormat="1" ht="20.100000000000001" customHeight="1" x14ac:dyDescent="0.35">
      <c r="A646" s="1"/>
      <c r="B646" s="2"/>
      <c r="C646" s="3"/>
      <c r="D646" s="2"/>
      <c r="E646" s="2"/>
      <c r="F646" s="4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9"/>
      <c r="FL646" s="9"/>
      <c r="FM646" s="9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135"/>
      <c r="IK646" s="135"/>
      <c r="IL646" s="135"/>
      <c r="IN646" s="6"/>
      <c r="IO646" s="6"/>
      <c r="IP646" s="6"/>
      <c r="IQ646" s="6"/>
      <c r="IR646" s="6"/>
      <c r="IS646" s="6"/>
      <c r="IT646" s="6"/>
      <c r="IU646" s="6"/>
      <c r="IV646" s="6"/>
      <c r="IW646" s="6"/>
      <c r="IX646" s="6"/>
      <c r="IY646" s="6"/>
      <c r="IZ646" s="6"/>
      <c r="JA646" s="6"/>
      <c r="JB646" s="6"/>
      <c r="JC646" s="6"/>
      <c r="JD646" s="6"/>
      <c r="JE646" s="6"/>
      <c r="JF646" s="6"/>
      <c r="JG646" s="6"/>
      <c r="JH646" s="6"/>
      <c r="JI646" s="6"/>
      <c r="JJ646" s="6"/>
      <c r="JK646" s="6"/>
      <c r="JL646" s="6"/>
      <c r="JM646" s="6"/>
      <c r="JN646" s="6"/>
      <c r="JO646" s="6"/>
      <c r="JP646" s="6"/>
      <c r="JQ646" s="6"/>
      <c r="JR646" s="6"/>
      <c r="JS646" s="6"/>
      <c r="JT646" s="6"/>
      <c r="JU646" s="6"/>
      <c r="JV646" s="6"/>
      <c r="JW646" s="6"/>
      <c r="JX646" s="6"/>
      <c r="JY646" s="6"/>
      <c r="JZ646" s="6"/>
      <c r="KA646" s="6"/>
      <c r="KB646" s="6"/>
      <c r="KC646" s="6"/>
      <c r="KD646" s="6"/>
      <c r="KE646" s="6"/>
      <c r="KF646" s="6"/>
      <c r="KG646" s="6"/>
      <c r="KH646" s="6"/>
      <c r="KI646" s="6"/>
      <c r="KJ646" s="6"/>
      <c r="KK646" s="6"/>
      <c r="KL646" s="6"/>
      <c r="KM646" s="6"/>
      <c r="KN646" s="6"/>
      <c r="KO646" s="6"/>
      <c r="KP646" s="6"/>
      <c r="KQ646" s="6"/>
      <c r="KR646" s="6"/>
      <c r="KS646" s="6"/>
      <c r="KT646" s="6"/>
      <c r="KU646" s="6"/>
      <c r="KV646" s="6"/>
      <c r="KW646" s="6"/>
      <c r="KX646" s="6"/>
      <c r="KY646" s="6"/>
      <c r="KZ646" s="6"/>
      <c r="LA646" s="6"/>
      <c r="LB646" s="6"/>
      <c r="LC646" s="6"/>
      <c r="LD646" s="6"/>
      <c r="LE646" s="6"/>
      <c r="LF646" s="6"/>
      <c r="LG646" s="6"/>
      <c r="LH646" s="6"/>
      <c r="LI646" s="6"/>
      <c r="LJ646" s="6"/>
      <c r="LK646" s="6"/>
      <c r="LL646" s="6"/>
      <c r="LM646" s="6"/>
      <c r="LN646" s="6"/>
      <c r="LO646" s="6"/>
      <c r="LP646" s="6"/>
      <c r="LQ646" s="6"/>
      <c r="LR646" s="6"/>
      <c r="LS646" s="6"/>
      <c r="LT646" s="6"/>
      <c r="LU646" s="6"/>
      <c r="LV646" s="6"/>
      <c r="LW646" s="6"/>
      <c r="LX646" s="6"/>
      <c r="LY646" s="6"/>
      <c r="LZ646" s="6"/>
      <c r="MA646" s="6"/>
      <c r="MB646" s="6"/>
      <c r="MC646" s="6"/>
      <c r="MD646" s="6"/>
      <c r="ME646" s="6"/>
      <c r="MF646" s="6"/>
      <c r="MG646" s="6"/>
      <c r="MH646" s="6"/>
      <c r="MI646" s="6"/>
      <c r="MJ646" s="6"/>
      <c r="MK646" s="6"/>
      <c r="ML646" s="6"/>
      <c r="MM646" s="6"/>
      <c r="MN646" s="6"/>
      <c r="MO646" s="6"/>
      <c r="MP646" s="6"/>
      <c r="MQ646" s="6"/>
      <c r="MR646" s="6"/>
      <c r="MS646" s="6"/>
      <c r="MT646" s="6"/>
      <c r="MU646" s="6"/>
      <c r="MV646" s="6"/>
      <c r="MW646" s="6"/>
      <c r="MX646" s="6"/>
      <c r="MY646" s="6"/>
      <c r="MZ646" s="6"/>
      <c r="NA646" s="6"/>
      <c r="NB646" s="6"/>
      <c r="NC646" s="6"/>
      <c r="ND646" s="6"/>
      <c r="NE646" s="6"/>
      <c r="NF646" s="6"/>
      <c r="NG646" s="6"/>
      <c r="NH646" s="6"/>
      <c r="NI646" s="6"/>
      <c r="NJ646" s="6"/>
      <c r="NK646" s="6"/>
      <c r="NL646" s="6"/>
      <c r="NM646" s="6"/>
      <c r="NN646" s="6"/>
      <c r="NO646" s="6"/>
      <c r="NP646" s="6"/>
      <c r="NQ646" s="6"/>
      <c r="NR646" s="6"/>
      <c r="NS646" s="6"/>
      <c r="NT646" s="6"/>
      <c r="NU646" s="6"/>
      <c r="NV646" s="6"/>
    </row>
    <row r="647" spans="1:386" s="19" customFormat="1" ht="20.100000000000001" customHeight="1" x14ac:dyDescent="0.35">
      <c r="A647" s="1"/>
      <c r="B647" s="2"/>
      <c r="C647" s="3"/>
      <c r="D647" s="2"/>
      <c r="E647" s="2"/>
      <c r="F647" s="4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9"/>
      <c r="FL647" s="9"/>
      <c r="FM647" s="9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135"/>
      <c r="IK647" s="135"/>
      <c r="IL647" s="135"/>
      <c r="IN647" s="6"/>
      <c r="IO647" s="6"/>
      <c r="IP647" s="6"/>
      <c r="IQ647" s="6"/>
      <c r="IR647" s="6"/>
      <c r="IS647" s="6"/>
      <c r="IT647" s="6"/>
      <c r="IU647" s="6"/>
      <c r="IV647" s="6"/>
      <c r="IW647" s="6"/>
      <c r="IX647" s="6"/>
      <c r="IY647" s="6"/>
      <c r="IZ647" s="6"/>
      <c r="JA647" s="6"/>
      <c r="JB647" s="6"/>
      <c r="JC647" s="6"/>
      <c r="JD647" s="6"/>
      <c r="JE647" s="6"/>
      <c r="JF647" s="6"/>
      <c r="JG647" s="6"/>
      <c r="JH647" s="6"/>
      <c r="JI647" s="6"/>
      <c r="JJ647" s="6"/>
      <c r="JK647" s="6"/>
      <c r="JL647" s="6"/>
      <c r="JM647" s="6"/>
      <c r="JN647" s="6"/>
      <c r="JO647" s="6"/>
      <c r="JP647" s="6"/>
      <c r="JQ647" s="6"/>
      <c r="JR647" s="6"/>
      <c r="JS647" s="6"/>
      <c r="JT647" s="6"/>
      <c r="JU647" s="6"/>
      <c r="JV647" s="6"/>
      <c r="JW647" s="6"/>
      <c r="JX647" s="6"/>
      <c r="JY647" s="6"/>
      <c r="JZ647" s="6"/>
      <c r="KA647" s="6"/>
      <c r="KB647" s="6"/>
      <c r="KC647" s="6"/>
      <c r="KD647" s="6"/>
      <c r="KE647" s="6"/>
      <c r="KF647" s="6"/>
      <c r="KG647" s="6"/>
      <c r="KH647" s="6"/>
      <c r="KI647" s="6"/>
      <c r="KJ647" s="6"/>
      <c r="KK647" s="6"/>
      <c r="KL647" s="6"/>
      <c r="KM647" s="6"/>
      <c r="KN647" s="6"/>
      <c r="KO647" s="6"/>
      <c r="KP647" s="6"/>
      <c r="KQ647" s="6"/>
      <c r="KR647" s="6"/>
      <c r="KS647" s="6"/>
      <c r="KT647" s="6"/>
      <c r="KU647" s="6"/>
      <c r="KV647" s="6"/>
      <c r="KW647" s="6"/>
      <c r="KX647" s="6"/>
      <c r="KY647" s="6"/>
      <c r="KZ647" s="6"/>
      <c r="LA647" s="6"/>
      <c r="LB647" s="6"/>
      <c r="LC647" s="6"/>
      <c r="LD647" s="6"/>
      <c r="LE647" s="6"/>
      <c r="LF647" s="6"/>
      <c r="LG647" s="6"/>
      <c r="LH647" s="6"/>
      <c r="LI647" s="6"/>
      <c r="LJ647" s="6"/>
      <c r="LK647" s="6"/>
      <c r="LL647" s="6"/>
      <c r="LM647" s="6"/>
      <c r="LN647" s="6"/>
      <c r="LO647" s="6"/>
      <c r="LP647" s="6"/>
      <c r="LQ647" s="6"/>
      <c r="LR647" s="6"/>
      <c r="LS647" s="6"/>
      <c r="LT647" s="6"/>
      <c r="LU647" s="6"/>
      <c r="LV647" s="6"/>
      <c r="LW647" s="6"/>
      <c r="LX647" s="6"/>
      <c r="LY647" s="6"/>
      <c r="LZ647" s="6"/>
      <c r="MA647" s="6"/>
      <c r="MB647" s="6"/>
      <c r="MC647" s="6"/>
      <c r="MD647" s="6"/>
      <c r="ME647" s="6"/>
      <c r="MF647" s="6"/>
      <c r="MG647" s="6"/>
      <c r="MH647" s="6"/>
      <c r="MI647" s="6"/>
      <c r="MJ647" s="6"/>
      <c r="MK647" s="6"/>
      <c r="ML647" s="6"/>
      <c r="MM647" s="6"/>
      <c r="MN647" s="6"/>
      <c r="MO647" s="6"/>
      <c r="MP647" s="6"/>
      <c r="MQ647" s="6"/>
      <c r="MR647" s="6"/>
      <c r="MS647" s="6"/>
      <c r="MT647" s="6"/>
      <c r="MU647" s="6"/>
      <c r="MV647" s="6"/>
      <c r="MW647" s="6"/>
      <c r="MX647" s="6"/>
      <c r="MY647" s="6"/>
      <c r="MZ647" s="6"/>
      <c r="NA647" s="6"/>
      <c r="NB647" s="6"/>
      <c r="NC647" s="6"/>
      <c r="ND647" s="6"/>
      <c r="NE647" s="6"/>
      <c r="NF647" s="6"/>
      <c r="NG647" s="6"/>
      <c r="NH647" s="6"/>
      <c r="NI647" s="6"/>
      <c r="NJ647" s="6"/>
      <c r="NK647" s="6"/>
      <c r="NL647" s="6"/>
      <c r="NM647" s="6"/>
      <c r="NN647" s="6"/>
      <c r="NO647" s="6"/>
      <c r="NP647" s="6"/>
      <c r="NQ647" s="6"/>
      <c r="NR647" s="6"/>
      <c r="NS647" s="6"/>
      <c r="NT647" s="6"/>
      <c r="NU647" s="6"/>
      <c r="NV647" s="6"/>
    </row>
    <row r="648" spans="1:386" s="19" customFormat="1" ht="20.100000000000001" customHeight="1" x14ac:dyDescent="0.35">
      <c r="A648" s="1"/>
      <c r="B648" s="2"/>
      <c r="C648" s="3"/>
      <c r="D648" s="2"/>
      <c r="E648" s="2"/>
      <c r="F648" s="4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9"/>
      <c r="FL648" s="9"/>
      <c r="FM648" s="9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135"/>
      <c r="IK648" s="135"/>
      <c r="IL648" s="135"/>
      <c r="IN648" s="6"/>
      <c r="IO648" s="6"/>
      <c r="IP648" s="6"/>
      <c r="IQ648" s="6"/>
      <c r="IR648" s="6"/>
      <c r="IS648" s="6"/>
      <c r="IT648" s="6"/>
      <c r="IU648" s="6"/>
      <c r="IV648" s="6"/>
      <c r="IW648" s="6"/>
      <c r="IX648" s="6"/>
      <c r="IY648" s="6"/>
      <c r="IZ648" s="6"/>
      <c r="JA648" s="6"/>
      <c r="JB648" s="6"/>
      <c r="JC648" s="6"/>
      <c r="JD648" s="6"/>
      <c r="JE648" s="6"/>
      <c r="JF648" s="6"/>
      <c r="JG648" s="6"/>
      <c r="JH648" s="6"/>
      <c r="JI648" s="6"/>
      <c r="JJ648" s="6"/>
      <c r="JK648" s="6"/>
      <c r="JL648" s="6"/>
      <c r="JM648" s="6"/>
      <c r="JN648" s="6"/>
      <c r="JO648" s="6"/>
      <c r="JP648" s="6"/>
      <c r="JQ648" s="6"/>
      <c r="JR648" s="6"/>
      <c r="JS648" s="6"/>
      <c r="JT648" s="6"/>
      <c r="JU648" s="6"/>
      <c r="JV648" s="6"/>
      <c r="JW648" s="6"/>
      <c r="JX648" s="6"/>
      <c r="JY648" s="6"/>
      <c r="JZ648" s="6"/>
      <c r="KA648" s="6"/>
      <c r="KB648" s="6"/>
      <c r="KC648" s="6"/>
      <c r="KD648" s="6"/>
      <c r="KE648" s="6"/>
      <c r="KF648" s="6"/>
      <c r="KG648" s="6"/>
      <c r="KH648" s="6"/>
      <c r="KI648" s="6"/>
      <c r="KJ648" s="6"/>
      <c r="KK648" s="6"/>
      <c r="KL648" s="6"/>
      <c r="KM648" s="6"/>
      <c r="KN648" s="6"/>
      <c r="KO648" s="6"/>
      <c r="KP648" s="6"/>
      <c r="KQ648" s="6"/>
      <c r="KR648" s="6"/>
      <c r="KS648" s="6"/>
      <c r="KT648" s="6"/>
      <c r="KU648" s="6"/>
      <c r="KV648" s="6"/>
      <c r="KW648" s="6"/>
      <c r="KX648" s="6"/>
      <c r="KY648" s="6"/>
      <c r="KZ648" s="6"/>
      <c r="LA648" s="6"/>
      <c r="LB648" s="6"/>
      <c r="LC648" s="6"/>
      <c r="LD648" s="6"/>
      <c r="LE648" s="6"/>
      <c r="LF648" s="6"/>
      <c r="LG648" s="6"/>
      <c r="LH648" s="6"/>
      <c r="LI648" s="6"/>
      <c r="LJ648" s="6"/>
      <c r="LK648" s="6"/>
      <c r="LL648" s="6"/>
      <c r="LM648" s="6"/>
      <c r="LN648" s="6"/>
      <c r="LO648" s="6"/>
      <c r="LP648" s="6"/>
      <c r="LQ648" s="6"/>
      <c r="LR648" s="6"/>
      <c r="LS648" s="6"/>
      <c r="LT648" s="6"/>
      <c r="LU648" s="6"/>
      <c r="LV648" s="6"/>
      <c r="LW648" s="6"/>
      <c r="LX648" s="6"/>
      <c r="LY648" s="6"/>
      <c r="LZ648" s="6"/>
      <c r="MA648" s="6"/>
      <c r="MB648" s="6"/>
      <c r="MC648" s="6"/>
      <c r="MD648" s="6"/>
      <c r="ME648" s="6"/>
      <c r="MF648" s="6"/>
      <c r="MG648" s="6"/>
      <c r="MH648" s="6"/>
      <c r="MI648" s="6"/>
      <c r="MJ648" s="6"/>
      <c r="MK648" s="6"/>
      <c r="ML648" s="6"/>
      <c r="MM648" s="6"/>
      <c r="MN648" s="6"/>
      <c r="MO648" s="6"/>
      <c r="MP648" s="6"/>
      <c r="MQ648" s="6"/>
      <c r="MR648" s="6"/>
      <c r="MS648" s="6"/>
      <c r="MT648" s="6"/>
      <c r="MU648" s="6"/>
      <c r="MV648" s="6"/>
      <c r="MW648" s="6"/>
      <c r="MX648" s="6"/>
      <c r="MY648" s="6"/>
      <c r="MZ648" s="6"/>
      <c r="NA648" s="6"/>
      <c r="NB648" s="6"/>
      <c r="NC648" s="6"/>
      <c r="ND648" s="6"/>
      <c r="NE648" s="6"/>
      <c r="NF648" s="6"/>
      <c r="NG648" s="6"/>
      <c r="NH648" s="6"/>
      <c r="NI648" s="6"/>
      <c r="NJ648" s="6"/>
      <c r="NK648" s="6"/>
      <c r="NL648" s="6"/>
      <c r="NM648" s="6"/>
      <c r="NN648" s="6"/>
      <c r="NO648" s="6"/>
      <c r="NP648" s="6"/>
      <c r="NQ648" s="6"/>
      <c r="NR648" s="6"/>
      <c r="NS648" s="6"/>
      <c r="NT648" s="6"/>
      <c r="NU648" s="6"/>
      <c r="NV648" s="6"/>
    </row>
    <row r="649" spans="1:386" s="19" customFormat="1" ht="20.100000000000001" customHeight="1" x14ac:dyDescent="0.35">
      <c r="A649" s="1"/>
      <c r="B649" s="2"/>
      <c r="C649" s="3"/>
      <c r="D649" s="2"/>
      <c r="E649" s="2"/>
      <c r="F649" s="4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9"/>
      <c r="FL649" s="9"/>
      <c r="FM649" s="9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135"/>
      <c r="IK649" s="135"/>
      <c r="IL649" s="135"/>
      <c r="IN649" s="6"/>
      <c r="IO649" s="6"/>
      <c r="IP649" s="6"/>
      <c r="IQ649" s="6"/>
      <c r="IR649" s="6"/>
      <c r="IS649" s="6"/>
      <c r="IT649" s="6"/>
      <c r="IU649" s="6"/>
      <c r="IV649" s="6"/>
      <c r="IW649" s="6"/>
      <c r="IX649" s="6"/>
      <c r="IY649" s="6"/>
      <c r="IZ649" s="6"/>
      <c r="JA649" s="6"/>
      <c r="JB649" s="6"/>
      <c r="JC649" s="6"/>
      <c r="JD649" s="6"/>
      <c r="JE649" s="6"/>
      <c r="JF649" s="6"/>
      <c r="JG649" s="6"/>
      <c r="JH649" s="6"/>
      <c r="JI649" s="6"/>
      <c r="JJ649" s="6"/>
      <c r="JK649" s="6"/>
      <c r="JL649" s="6"/>
      <c r="JM649" s="6"/>
      <c r="JN649" s="6"/>
      <c r="JO649" s="6"/>
      <c r="JP649" s="6"/>
      <c r="JQ649" s="6"/>
      <c r="JR649" s="6"/>
      <c r="JS649" s="6"/>
      <c r="JT649" s="6"/>
      <c r="JU649" s="6"/>
      <c r="JV649" s="6"/>
      <c r="JW649" s="6"/>
      <c r="JX649" s="6"/>
      <c r="JY649" s="6"/>
      <c r="JZ649" s="6"/>
      <c r="KA649" s="6"/>
      <c r="KB649" s="6"/>
      <c r="KC649" s="6"/>
      <c r="KD649" s="6"/>
      <c r="KE649" s="6"/>
      <c r="KF649" s="6"/>
      <c r="KG649" s="6"/>
      <c r="KH649" s="6"/>
      <c r="KI649" s="6"/>
      <c r="KJ649" s="6"/>
      <c r="KK649" s="6"/>
      <c r="KL649" s="6"/>
      <c r="KM649" s="6"/>
      <c r="KN649" s="6"/>
      <c r="KO649" s="6"/>
      <c r="KP649" s="6"/>
      <c r="KQ649" s="6"/>
      <c r="KR649" s="6"/>
      <c r="KS649" s="6"/>
      <c r="KT649" s="6"/>
      <c r="KU649" s="6"/>
      <c r="KV649" s="6"/>
      <c r="KW649" s="6"/>
      <c r="KX649" s="6"/>
      <c r="KY649" s="6"/>
      <c r="KZ649" s="6"/>
      <c r="LA649" s="6"/>
      <c r="LB649" s="6"/>
      <c r="LC649" s="6"/>
      <c r="LD649" s="6"/>
      <c r="LE649" s="6"/>
      <c r="LF649" s="6"/>
      <c r="LG649" s="6"/>
      <c r="LH649" s="6"/>
      <c r="LI649" s="6"/>
      <c r="LJ649" s="6"/>
      <c r="LK649" s="6"/>
      <c r="LL649" s="6"/>
      <c r="LM649" s="6"/>
      <c r="LN649" s="6"/>
      <c r="LO649" s="6"/>
      <c r="LP649" s="6"/>
      <c r="LQ649" s="6"/>
      <c r="LR649" s="6"/>
      <c r="LS649" s="6"/>
      <c r="LT649" s="6"/>
      <c r="LU649" s="6"/>
      <c r="LV649" s="6"/>
      <c r="LW649" s="6"/>
      <c r="LX649" s="6"/>
      <c r="LY649" s="6"/>
      <c r="LZ649" s="6"/>
      <c r="MA649" s="6"/>
      <c r="MB649" s="6"/>
      <c r="MC649" s="6"/>
      <c r="MD649" s="6"/>
      <c r="ME649" s="6"/>
      <c r="MF649" s="6"/>
      <c r="MG649" s="6"/>
      <c r="MH649" s="6"/>
      <c r="MI649" s="6"/>
      <c r="MJ649" s="6"/>
      <c r="MK649" s="6"/>
      <c r="ML649" s="6"/>
      <c r="MM649" s="6"/>
      <c r="MN649" s="6"/>
      <c r="MO649" s="6"/>
      <c r="MP649" s="6"/>
      <c r="MQ649" s="6"/>
      <c r="MR649" s="6"/>
      <c r="MS649" s="6"/>
      <c r="MT649" s="6"/>
      <c r="MU649" s="6"/>
      <c r="MV649" s="6"/>
      <c r="MW649" s="6"/>
      <c r="MX649" s="6"/>
      <c r="MY649" s="6"/>
      <c r="MZ649" s="6"/>
      <c r="NA649" s="6"/>
      <c r="NB649" s="6"/>
      <c r="NC649" s="6"/>
      <c r="ND649" s="6"/>
      <c r="NE649" s="6"/>
      <c r="NF649" s="6"/>
      <c r="NG649" s="6"/>
      <c r="NH649" s="6"/>
      <c r="NI649" s="6"/>
      <c r="NJ649" s="6"/>
      <c r="NK649" s="6"/>
      <c r="NL649" s="6"/>
      <c r="NM649" s="6"/>
      <c r="NN649" s="6"/>
      <c r="NO649" s="6"/>
      <c r="NP649" s="6"/>
      <c r="NQ649" s="6"/>
      <c r="NR649" s="6"/>
      <c r="NS649" s="6"/>
      <c r="NT649" s="6"/>
      <c r="NU649" s="6"/>
      <c r="NV649" s="6"/>
    </row>
    <row r="650" spans="1:386" s="19" customFormat="1" ht="20.100000000000001" customHeight="1" x14ac:dyDescent="0.35">
      <c r="A650" s="1"/>
      <c r="B650" s="2"/>
      <c r="C650" s="3"/>
      <c r="D650" s="2"/>
      <c r="E650" s="2"/>
      <c r="F650" s="4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9"/>
      <c r="FL650" s="9"/>
      <c r="FM650" s="9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135"/>
      <c r="IK650" s="135"/>
      <c r="IL650" s="135"/>
      <c r="IN650" s="6"/>
      <c r="IO650" s="6"/>
      <c r="IP650" s="6"/>
      <c r="IQ650" s="6"/>
      <c r="IR650" s="6"/>
      <c r="IS650" s="6"/>
      <c r="IT650" s="6"/>
      <c r="IU650" s="6"/>
      <c r="IV650" s="6"/>
      <c r="IW650" s="6"/>
      <c r="IX650" s="6"/>
      <c r="IY650" s="6"/>
      <c r="IZ650" s="6"/>
      <c r="JA650" s="6"/>
      <c r="JB650" s="6"/>
      <c r="JC650" s="6"/>
      <c r="JD650" s="6"/>
      <c r="JE650" s="6"/>
      <c r="JF650" s="6"/>
      <c r="JG650" s="6"/>
      <c r="JH650" s="6"/>
      <c r="JI650" s="6"/>
      <c r="JJ650" s="6"/>
      <c r="JK650" s="6"/>
      <c r="JL650" s="6"/>
      <c r="JM650" s="6"/>
      <c r="JN650" s="6"/>
      <c r="JO650" s="6"/>
      <c r="JP650" s="6"/>
      <c r="JQ650" s="6"/>
      <c r="JR650" s="6"/>
      <c r="JS650" s="6"/>
      <c r="JT650" s="6"/>
      <c r="JU650" s="6"/>
      <c r="JV650" s="6"/>
      <c r="JW650" s="6"/>
      <c r="JX650" s="6"/>
      <c r="JY650" s="6"/>
      <c r="JZ650" s="6"/>
      <c r="KA650" s="6"/>
      <c r="KB650" s="6"/>
      <c r="KC650" s="6"/>
      <c r="KD650" s="6"/>
      <c r="KE650" s="6"/>
      <c r="KF650" s="6"/>
      <c r="KG650" s="6"/>
      <c r="KH650" s="6"/>
      <c r="KI650" s="6"/>
      <c r="KJ650" s="6"/>
      <c r="KK650" s="6"/>
      <c r="KL650" s="6"/>
      <c r="KM650" s="6"/>
      <c r="KN650" s="6"/>
      <c r="KO650" s="6"/>
      <c r="KP650" s="6"/>
      <c r="KQ650" s="6"/>
      <c r="KR650" s="6"/>
      <c r="KS650" s="6"/>
      <c r="KT650" s="6"/>
      <c r="KU650" s="6"/>
      <c r="KV650" s="6"/>
      <c r="KW650" s="6"/>
      <c r="KX650" s="6"/>
      <c r="KY650" s="6"/>
      <c r="KZ650" s="6"/>
      <c r="LA650" s="6"/>
      <c r="LB650" s="6"/>
      <c r="LC650" s="6"/>
      <c r="LD650" s="6"/>
      <c r="LE650" s="6"/>
      <c r="LF650" s="6"/>
      <c r="LG650" s="6"/>
      <c r="LH650" s="6"/>
      <c r="LI650" s="6"/>
      <c r="LJ650" s="6"/>
      <c r="LK650" s="6"/>
      <c r="LL650" s="6"/>
      <c r="LM650" s="6"/>
      <c r="LN650" s="6"/>
      <c r="LO650" s="6"/>
      <c r="LP650" s="6"/>
      <c r="LQ650" s="6"/>
      <c r="LR650" s="6"/>
      <c r="LS650" s="6"/>
      <c r="LT650" s="6"/>
      <c r="LU650" s="6"/>
      <c r="LV650" s="6"/>
      <c r="LW650" s="6"/>
      <c r="LX650" s="6"/>
      <c r="LY650" s="6"/>
      <c r="LZ650" s="6"/>
      <c r="MA650" s="6"/>
      <c r="MB650" s="6"/>
      <c r="MC650" s="6"/>
      <c r="MD650" s="6"/>
      <c r="ME650" s="6"/>
      <c r="MF650" s="6"/>
      <c r="MG650" s="6"/>
      <c r="MH650" s="6"/>
      <c r="MI650" s="6"/>
      <c r="MJ650" s="6"/>
      <c r="MK650" s="6"/>
      <c r="ML650" s="6"/>
      <c r="MM650" s="6"/>
      <c r="MN650" s="6"/>
      <c r="MO650" s="6"/>
      <c r="MP650" s="6"/>
      <c r="MQ650" s="6"/>
      <c r="MR650" s="6"/>
      <c r="MS650" s="6"/>
      <c r="MT650" s="6"/>
      <c r="MU650" s="6"/>
      <c r="MV650" s="6"/>
      <c r="MW650" s="6"/>
      <c r="MX650" s="6"/>
      <c r="MY650" s="6"/>
      <c r="MZ650" s="6"/>
      <c r="NA650" s="6"/>
      <c r="NB650" s="6"/>
      <c r="NC650" s="6"/>
      <c r="ND650" s="6"/>
      <c r="NE650" s="6"/>
      <c r="NF650" s="6"/>
      <c r="NG650" s="6"/>
      <c r="NH650" s="6"/>
      <c r="NI650" s="6"/>
      <c r="NJ650" s="6"/>
      <c r="NK650" s="6"/>
      <c r="NL650" s="6"/>
      <c r="NM650" s="6"/>
      <c r="NN650" s="6"/>
      <c r="NO650" s="6"/>
      <c r="NP650" s="6"/>
      <c r="NQ650" s="6"/>
      <c r="NR650" s="6"/>
      <c r="NS650" s="6"/>
      <c r="NT650" s="6"/>
      <c r="NU650" s="6"/>
      <c r="NV650" s="6"/>
    </row>
    <row r="651" spans="1:386" s="19" customFormat="1" ht="20.100000000000001" customHeight="1" x14ac:dyDescent="0.35">
      <c r="A651" s="1"/>
      <c r="B651" s="2"/>
      <c r="C651" s="3"/>
      <c r="D651" s="2"/>
      <c r="E651" s="2"/>
      <c r="F651" s="4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9"/>
      <c r="FL651" s="9"/>
      <c r="FM651" s="9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135"/>
      <c r="IK651" s="135"/>
      <c r="IL651" s="135"/>
      <c r="IN651" s="6"/>
      <c r="IO651" s="6"/>
      <c r="IP651" s="6"/>
      <c r="IQ651" s="6"/>
      <c r="IR651" s="6"/>
      <c r="IS651" s="6"/>
      <c r="IT651" s="6"/>
      <c r="IU651" s="6"/>
      <c r="IV651" s="6"/>
      <c r="IW651" s="6"/>
      <c r="IX651" s="6"/>
      <c r="IY651" s="6"/>
      <c r="IZ651" s="6"/>
      <c r="JA651" s="6"/>
      <c r="JB651" s="6"/>
      <c r="JC651" s="6"/>
      <c r="JD651" s="6"/>
      <c r="JE651" s="6"/>
      <c r="JF651" s="6"/>
      <c r="JG651" s="6"/>
      <c r="JH651" s="6"/>
      <c r="JI651" s="6"/>
      <c r="JJ651" s="6"/>
      <c r="JK651" s="6"/>
      <c r="JL651" s="6"/>
      <c r="JM651" s="6"/>
      <c r="JN651" s="6"/>
      <c r="JO651" s="6"/>
      <c r="JP651" s="6"/>
      <c r="JQ651" s="6"/>
      <c r="JR651" s="6"/>
      <c r="JS651" s="6"/>
      <c r="JT651" s="6"/>
      <c r="JU651" s="6"/>
      <c r="JV651" s="6"/>
      <c r="JW651" s="6"/>
      <c r="JX651" s="6"/>
      <c r="JY651" s="6"/>
      <c r="JZ651" s="6"/>
      <c r="KA651" s="6"/>
      <c r="KB651" s="6"/>
      <c r="KC651" s="6"/>
      <c r="KD651" s="6"/>
      <c r="KE651" s="6"/>
      <c r="KF651" s="6"/>
      <c r="KG651" s="6"/>
      <c r="KH651" s="6"/>
      <c r="KI651" s="6"/>
      <c r="KJ651" s="6"/>
      <c r="KK651" s="6"/>
      <c r="KL651" s="6"/>
      <c r="KM651" s="6"/>
      <c r="KN651" s="6"/>
      <c r="KO651" s="6"/>
      <c r="KP651" s="6"/>
      <c r="KQ651" s="6"/>
      <c r="KR651" s="6"/>
      <c r="KS651" s="6"/>
      <c r="KT651" s="6"/>
      <c r="KU651" s="6"/>
      <c r="KV651" s="6"/>
      <c r="KW651" s="6"/>
      <c r="KX651" s="6"/>
      <c r="KY651" s="6"/>
      <c r="KZ651" s="6"/>
      <c r="LA651" s="6"/>
      <c r="LB651" s="6"/>
      <c r="LC651" s="6"/>
      <c r="LD651" s="6"/>
      <c r="LE651" s="6"/>
      <c r="LF651" s="6"/>
      <c r="LG651" s="6"/>
      <c r="LH651" s="6"/>
      <c r="LI651" s="6"/>
      <c r="LJ651" s="6"/>
      <c r="LK651" s="6"/>
      <c r="LL651" s="6"/>
      <c r="LM651" s="6"/>
      <c r="LN651" s="6"/>
      <c r="LO651" s="6"/>
      <c r="LP651" s="6"/>
      <c r="LQ651" s="6"/>
      <c r="LR651" s="6"/>
      <c r="LS651" s="6"/>
      <c r="LT651" s="6"/>
      <c r="LU651" s="6"/>
      <c r="LV651" s="6"/>
      <c r="LW651" s="6"/>
      <c r="LX651" s="6"/>
      <c r="LY651" s="6"/>
      <c r="LZ651" s="6"/>
      <c r="MA651" s="6"/>
      <c r="MB651" s="6"/>
      <c r="MC651" s="6"/>
      <c r="MD651" s="6"/>
      <c r="ME651" s="6"/>
      <c r="MF651" s="6"/>
      <c r="MG651" s="6"/>
      <c r="MH651" s="6"/>
      <c r="MI651" s="6"/>
      <c r="MJ651" s="6"/>
      <c r="MK651" s="6"/>
      <c r="ML651" s="6"/>
      <c r="MM651" s="6"/>
      <c r="MN651" s="6"/>
      <c r="MO651" s="6"/>
      <c r="MP651" s="6"/>
      <c r="MQ651" s="6"/>
      <c r="MR651" s="6"/>
      <c r="MS651" s="6"/>
      <c r="MT651" s="6"/>
      <c r="MU651" s="6"/>
      <c r="MV651" s="6"/>
      <c r="MW651" s="6"/>
      <c r="MX651" s="6"/>
      <c r="MY651" s="6"/>
      <c r="MZ651" s="6"/>
      <c r="NA651" s="6"/>
      <c r="NB651" s="6"/>
      <c r="NC651" s="6"/>
      <c r="ND651" s="6"/>
      <c r="NE651" s="6"/>
      <c r="NF651" s="6"/>
      <c r="NG651" s="6"/>
      <c r="NH651" s="6"/>
      <c r="NI651" s="6"/>
      <c r="NJ651" s="6"/>
      <c r="NK651" s="6"/>
      <c r="NL651" s="6"/>
      <c r="NM651" s="6"/>
      <c r="NN651" s="6"/>
      <c r="NO651" s="6"/>
      <c r="NP651" s="6"/>
      <c r="NQ651" s="6"/>
      <c r="NR651" s="6"/>
      <c r="NS651" s="6"/>
      <c r="NT651" s="6"/>
      <c r="NU651" s="6"/>
      <c r="NV651" s="6"/>
    </row>
    <row r="652" spans="1:386" s="19" customFormat="1" ht="20.100000000000001" customHeight="1" x14ac:dyDescent="0.35">
      <c r="A652" s="1"/>
      <c r="B652" s="2"/>
      <c r="C652" s="3"/>
      <c r="D652" s="2"/>
      <c r="E652" s="2"/>
      <c r="F652" s="4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9"/>
      <c r="FL652" s="9"/>
      <c r="FM652" s="9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135"/>
      <c r="IK652" s="135"/>
      <c r="IL652" s="135"/>
      <c r="IN652" s="6"/>
      <c r="IO652" s="6"/>
      <c r="IP652" s="6"/>
      <c r="IQ652" s="6"/>
      <c r="IR652" s="6"/>
      <c r="IS652" s="6"/>
      <c r="IT652" s="6"/>
      <c r="IU652" s="6"/>
      <c r="IV652" s="6"/>
      <c r="IW652" s="6"/>
      <c r="IX652" s="6"/>
      <c r="IY652" s="6"/>
      <c r="IZ652" s="6"/>
      <c r="JA652" s="6"/>
      <c r="JB652" s="6"/>
      <c r="JC652" s="6"/>
      <c r="JD652" s="6"/>
      <c r="JE652" s="6"/>
      <c r="JF652" s="6"/>
      <c r="JG652" s="6"/>
      <c r="JH652" s="6"/>
      <c r="JI652" s="6"/>
      <c r="JJ652" s="6"/>
      <c r="JK652" s="6"/>
      <c r="JL652" s="6"/>
      <c r="JM652" s="6"/>
      <c r="JN652" s="6"/>
      <c r="JO652" s="6"/>
      <c r="JP652" s="6"/>
      <c r="JQ652" s="6"/>
      <c r="JR652" s="6"/>
      <c r="JS652" s="6"/>
      <c r="JT652" s="6"/>
      <c r="JU652" s="6"/>
      <c r="JV652" s="6"/>
      <c r="JW652" s="6"/>
      <c r="JX652" s="6"/>
      <c r="JY652" s="6"/>
      <c r="JZ652" s="6"/>
      <c r="KA652" s="6"/>
      <c r="KB652" s="6"/>
      <c r="KC652" s="6"/>
      <c r="KD652" s="6"/>
      <c r="KE652" s="6"/>
      <c r="KF652" s="6"/>
      <c r="KG652" s="6"/>
      <c r="KH652" s="6"/>
      <c r="KI652" s="6"/>
      <c r="KJ652" s="6"/>
      <c r="KK652" s="6"/>
      <c r="KL652" s="6"/>
      <c r="KM652" s="6"/>
      <c r="KN652" s="6"/>
      <c r="KO652" s="6"/>
      <c r="KP652" s="6"/>
      <c r="KQ652" s="6"/>
      <c r="KR652" s="6"/>
      <c r="KS652" s="6"/>
      <c r="KT652" s="6"/>
      <c r="KU652" s="6"/>
      <c r="KV652" s="6"/>
      <c r="KW652" s="6"/>
      <c r="KX652" s="6"/>
      <c r="KY652" s="6"/>
      <c r="KZ652" s="6"/>
      <c r="LA652" s="6"/>
      <c r="LB652" s="6"/>
      <c r="LC652" s="6"/>
      <c r="LD652" s="6"/>
      <c r="LE652" s="6"/>
      <c r="LF652" s="6"/>
      <c r="LG652" s="6"/>
      <c r="LH652" s="6"/>
      <c r="LI652" s="6"/>
      <c r="LJ652" s="6"/>
      <c r="LK652" s="6"/>
      <c r="LL652" s="6"/>
      <c r="LM652" s="6"/>
      <c r="LN652" s="6"/>
      <c r="LO652" s="6"/>
      <c r="LP652" s="6"/>
      <c r="LQ652" s="6"/>
      <c r="LR652" s="6"/>
      <c r="LS652" s="6"/>
      <c r="LT652" s="6"/>
      <c r="LU652" s="6"/>
      <c r="LV652" s="6"/>
      <c r="LW652" s="6"/>
      <c r="LX652" s="6"/>
      <c r="LY652" s="6"/>
      <c r="LZ652" s="6"/>
      <c r="MA652" s="6"/>
      <c r="MB652" s="6"/>
      <c r="MC652" s="6"/>
      <c r="MD652" s="6"/>
      <c r="ME652" s="6"/>
      <c r="MF652" s="6"/>
      <c r="MG652" s="6"/>
      <c r="MH652" s="6"/>
      <c r="MI652" s="6"/>
      <c r="MJ652" s="6"/>
      <c r="MK652" s="6"/>
      <c r="ML652" s="6"/>
      <c r="MM652" s="6"/>
      <c r="MN652" s="6"/>
      <c r="MO652" s="6"/>
      <c r="MP652" s="6"/>
      <c r="MQ652" s="6"/>
      <c r="MR652" s="6"/>
      <c r="MS652" s="6"/>
      <c r="MT652" s="6"/>
      <c r="MU652" s="6"/>
      <c r="MV652" s="6"/>
      <c r="MW652" s="6"/>
      <c r="MX652" s="6"/>
      <c r="MY652" s="6"/>
      <c r="MZ652" s="6"/>
      <c r="NA652" s="6"/>
      <c r="NB652" s="6"/>
      <c r="NC652" s="6"/>
      <c r="ND652" s="6"/>
      <c r="NE652" s="6"/>
      <c r="NF652" s="6"/>
      <c r="NG652" s="6"/>
      <c r="NH652" s="6"/>
      <c r="NI652" s="6"/>
      <c r="NJ652" s="6"/>
      <c r="NK652" s="6"/>
      <c r="NL652" s="6"/>
      <c r="NM652" s="6"/>
      <c r="NN652" s="6"/>
      <c r="NO652" s="6"/>
      <c r="NP652" s="6"/>
      <c r="NQ652" s="6"/>
      <c r="NR652" s="6"/>
      <c r="NS652" s="6"/>
      <c r="NT652" s="6"/>
      <c r="NU652" s="6"/>
      <c r="NV652" s="6"/>
    </row>
    <row r="653" spans="1:386" s="19" customFormat="1" ht="20.100000000000001" customHeight="1" x14ac:dyDescent="0.35">
      <c r="A653" s="1"/>
      <c r="B653" s="2"/>
      <c r="C653" s="3"/>
      <c r="D653" s="2"/>
      <c r="E653" s="2"/>
      <c r="F653" s="4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7"/>
      <c r="AR653" s="304"/>
      <c r="AS653" s="7"/>
      <c r="AT653" s="7"/>
      <c r="AU653" s="7"/>
      <c r="AV653" s="7"/>
      <c r="AW653" s="304"/>
      <c r="AX653" s="7"/>
      <c r="AY653" s="7"/>
      <c r="AZ653" s="7"/>
      <c r="BA653" s="304"/>
      <c r="BB653" s="304"/>
      <c r="BC653" s="304"/>
      <c r="BD653" s="304"/>
      <c r="BE653" s="304"/>
      <c r="BF653" s="304"/>
      <c r="BG653" s="304"/>
      <c r="BH653" s="304"/>
      <c r="BI653" s="304"/>
      <c r="BJ653" s="304"/>
      <c r="BK653" s="304"/>
      <c r="BL653" s="304"/>
      <c r="BM653" s="304"/>
      <c r="BN653" s="304"/>
      <c r="BO653" s="304"/>
      <c r="BP653" s="304"/>
      <c r="BQ653" s="304"/>
      <c r="BR653" s="304"/>
      <c r="BS653" s="304"/>
      <c r="BT653" s="304"/>
      <c r="BU653" s="304"/>
      <c r="BV653" s="304"/>
      <c r="BW653" s="304"/>
      <c r="BX653" s="304"/>
      <c r="BY653" s="304"/>
      <c r="BZ653" s="304"/>
      <c r="CA653" s="304"/>
      <c r="CB653" s="304"/>
      <c r="CC653" s="304"/>
      <c r="CD653" s="304"/>
      <c r="CE653" s="304"/>
      <c r="CF653" s="304"/>
      <c r="CG653" s="304"/>
      <c r="CH653" s="304"/>
      <c r="CI653" s="304"/>
      <c r="CJ653" s="304"/>
      <c r="CK653" s="304"/>
      <c r="CL653" s="304"/>
      <c r="CM653" s="304"/>
      <c r="CN653" s="304"/>
      <c r="CO653" s="304"/>
      <c r="CP653" s="304"/>
      <c r="CQ653" s="304"/>
      <c r="CR653" s="304"/>
      <c r="CS653" s="304"/>
      <c r="CT653" s="304"/>
      <c r="CU653" s="304"/>
      <c r="CV653" s="304"/>
      <c r="CW653" s="304"/>
      <c r="CX653" s="304"/>
      <c r="CY653" s="304"/>
      <c r="CZ653" s="304"/>
      <c r="DA653" s="304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9"/>
      <c r="FL653" s="9"/>
      <c r="FM653" s="9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135"/>
      <c r="IK653" s="135"/>
      <c r="IL653" s="135"/>
      <c r="IN653" s="6"/>
      <c r="IO653" s="6"/>
      <c r="IP653" s="6"/>
      <c r="IQ653" s="6"/>
      <c r="IR653" s="6"/>
      <c r="IS653" s="6"/>
      <c r="IT653" s="6"/>
      <c r="IU653" s="6"/>
      <c r="IV653" s="6"/>
      <c r="IW653" s="6"/>
      <c r="IX653" s="6"/>
      <c r="IY653" s="6"/>
      <c r="IZ653" s="6"/>
      <c r="JA653" s="6"/>
      <c r="JB653" s="6"/>
      <c r="JC653" s="6"/>
      <c r="JD653" s="6"/>
      <c r="JE653" s="6"/>
      <c r="JF653" s="6"/>
      <c r="JG653" s="6"/>
      <c r="JH653" s="6"/>
      <c r="JI653" s="6"/>
      <c r="JJ653" s="6"/>
      <c r="JK653" s="6"/>
      <c r="JL653" s="6"/>
      <c r="JM653" s="6"/>
      <c r="JN653" s="6"/>
      <c r="JO653" s="6"/>
      <c r="JP653" s="6"/>
      <c r="JQ653" s="6"/>
      <c r="JR653" s="6"/>
      <c r="JS653" s="6"/>
      <c r="JT653" s="6"/>
      <c r="JU653" s="6"/>
      <c r="JV653" s="6"/>
      <c r="JW653" s="6"/>
      <c r="JX653" s="6"/>
      <c r="JY653" s="6"/>
      <c r="JZ653" s="6"/>
      <c r="KA653" s="6"/>
      <c r="KB653" s="6"/>
      <c r="KC653" s="6"/>
      <c r="KD653" s="6"/>
      <c r="KE653" s="6"/>
      <c r="KF653" s="6"/>
      <c r="KG653" s="6"/>
      <c r="KH653" s="6"/>
      <c r="KI653" s="6"/>
      <c r="KJ653" s="6"/>
      <c r="KK653" s="6"/>
      <c r="KL653" s="6"/>
      <c r="KM653" s="6"/>
      <c r="KN653" s="6"/>
      <c r="KO653" s="6"/>
      <c r="KP653" s="6"/>
      <c r="KQ653" s="6"/>
      <c r="KR653" s="6"/>
      <c r="KS653" s="6"/>
      <c r="KT653" s="6"/>
      <c r="KU653" s="6"/>
      <c r="KV653" s="6"/>
      <c r="KW653" s="6"/>
      <c r="KX653" s="6"/>
      <c r="KY653" s="6"/>
      <c r="KZ653" s="6"/>
      <c r="LA653" s="6"/>
      <c r="LB653" s="6"/>
      <c r="LC653" s="6"/>
      <c r="LD653" s="6"/>
      <c r="LE653" s="6"/>
      <c r="LF653" s="6"/>
      <c r="LG653" s="6"/>
      <c r="LH653" s="6"/>
      <c r="LI653" s="6"/>
      <c r="LJ653" s="6"/>
      <c r="LK653" s="6"/>
      <c r="LL653" s="6"/>
      <c r="LM653" s="6"/>
      <c r="LN653" s="6"/>
      <c r="LO653" s="6"/>
      <c r="LP653" s="6"/>
      <c r="LQ653" s="6"/>
      <c r="LR653" s="6"/>
      <c r="LS653" s="6"/>
      <c r="LT653" s="6"/>
      <c r="LU653" s="6"/>
      <c r="LV653" s="6"/>
      <c r="LW653" s="6"/>
      <c r="LX653" s="6"/>
      <c r="LY653" s="6"/>
      <c r="LZ653" s="6"/>
      <c r="MA653" s="6"/>
      <c r="MB653" s="6"/>
      <c r="MC653" s="6"/>
      <c r="MD653" s="6"/>
      <c r="ME653" s="6"/>
      <c r="MF653" s="6"/>
      <c r="MG653" s="6"/>
      <c r="MH653" s="6"/>
      <c r="MI653" s="6"/>
      <c r="MJ653" s="6"/>
      <c r="MK653" s="6"/>
      <c r="ML653" s="6"/>
      <c r="MM653" s="6"/>
      <c r="MN653" s="6"/>
      <c r="MO653" s="6"/>
      <c r="MP653" s="6"/>
      <c r="MQ653" s="6"/>
      <c r="MR653" s="6"/>
      <c r="MS653" s="6"/>
      <c r="MT653" s="6"/>
      <c r="MU653" s="6"/>
      <c r="MV653" s="6"/>
      <c r="MW653" s="6"/>
      <c r="MX653" s="6"/>
      <c r="MY653" s="6"/>
      <c r="MZ653" s="6"/>
      <c r="NA653" s="6"/>
      <c r="NB653" s="6"/>
      <c r="NC653" s="6"/>
      <c r="ND653" s="6"/>
      <c r="NE653" s="6"/>
      <c r="NF653" s="6"/>
      <c r="NG653" s="6"/>
      <c r="NH653" s="6"/>
      <c r="NI653" s="6"/>
      <c r="NJ653" s="6"/>
      <c r="NK653" s="6"/>
      <c r="NL653" s="6"/>
      <c r="NM653" s="6"/>
      <c r="NN653" s="6"/>
      <c r="NO653" s="6"/>
      <c r="NP653" s="6"/>
      <c r="NQ653" s="6"/>
      <c r="NR653" s="6"/>
      <c r="NS653" s="6"/>
      <c r="NT653" s="6"/>
      <c r="NU653" s="6"/>
      <c r="NV653" s="6"/>
    </row>
    <row r="654" spans="1:386" s="19" customFormat="1" ht="20.100000000000001" customHeight="1" x14ac:dyDescent="0.35">
      <c r="A654" s="1"/>
      <c r="B654" s="2"/>
      <c r="C654" s="3"/>
      <c r="D654" s="2"/>
      <c r="E654" s="2"/>
      <c r="F654" s="4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7"/>
      <c r="AR654" s="304"/>
      <c r="AS654" s="7"/>
      <c r="AT654" s="7"/>
      <c r="AU654" s="7"/>
      <c r="AV654" s="7"/>
      <c r="AW654" s="304"/>
      <c r="AX654" s="7"/>
      <c r="AY654" s="7"/>
      <c r="AZ654" s="7"/>
      <c r="BA654" s="304"/>
      <c r="BB654" s="304"/>
      <c r="BC654" s="304"/>
      <c r="BD654" s="304"/>
      <c r="BE654" s="304"/>
      <c r="BF654" s="304"/>
      <c r="BG654" s="304"/>
      <c r="BH654" s="304"/>
      <c r="BI654" s="304"/>
      <c r="BJ654" s="304"/>
      <c r="BK654" s="304"/>
      <c r="BL654" s="304"/>
      <c r="BM654" s="304"/>
      <c r="BN654" s="304"/>
      <c r="BO654" s="304"/>
      <c r="BP654" s="304"/>
      <c r="BQ654" s="304"/>
      <c r="BR654" s="304"/>
      <c r="BS654" s="304"/>
      <c r="BT654" s="304"/>
      <c r="BU654" s="304"/>
      <c r="BV654" s="304"/>
      <c r="BW654" s="304"/>
      <c r="BX654" s="304"/>
      <c r="BY654" s="304"/>
      <c r="BZ654" s="304"/>
      <c r="CA654" s="304"/>
      <c r="CB654" s="304"/>
      <c r="CC654" s="304"/>
      <c r="CD654" s="304"/>
      <c r="CE654" s="304"/>
      <c r="CF654" s="304"/>
      <c r="CG654" s="304"/>
      <c r="CH654" s="304"/>
      <c r="CI654" s="304"/>
      <c r="CJ654" s="304"/>
      <c r="CK654" s="304"/>
      <c r="CL654" s="304"/>
      <c r="CM654" s="304"/>
      <c r="CN654" s="304"/>
      <c r="CO654" s="304"/>
      <c r="CP654" s="304"/>
      <c r="CQ654" s="304"/>
      <c r="CR654" s="304"/>
      <c r="CS654" s="304"/>
      <c r="CT654" s="304"/>
      <c r="CU654" s="304"/>
      <c r="CV654" s="304"/>
      <c r="CW654" s="304"/>
      <c r="CX654" s="304"/>
      <c r="CY654" s="304"/>
      <c r="CZ654" s="304"/>
      <c r="DA654" s="304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9"/>
      <c r="FL654" s="9"/>
      <c r="FM654" s="9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135"/>
      <c r="IK654" s="135"/>
      <c r="IL654" s="135"/>
      <c r="IN654" s="6"/>
      <c r="IO654" s="6"/>
      <c r="IP654" s="6"/>
      <c r="IQ654" s="6"/>
      <c r="IR654" s="6"/>
      <c r="IS654" s="6"/>
      <c r="IT654" s="6"/>
      <c r="IU654" s="6"/>
      <c r="IV654" s="6"/>
      <c r="IW654" s="6"/>
      <c r="IX654" s="6"/>
      <c r="IY654" s="6"/>
      <c r="IZ654" s="6"/>
      <c r="JA654" s="6"/>
      <c r="JB654" s="6"/>
      <c r="JC654" s="6"/>
      <c r="JD654" s="6"/>
      <c r="JE654" s="6"/>
      <c r="JF654" s="6"/>
      <c r="JG654" s="6"/>
      <c r="JH654" s="6"/>
      <c r="JI654" s="6"/>
      <c r="JJ654" s="6"/>
      <c r="JK654" s="6"/>
      <c r="JL654" s="6"/>
      <c r="JM654" s="6"/>
      <c r="JN654" s="6"/>
      <c r="JO654" s="6"/>
      <c r="JP654" s="6"/>
      <c r="JQ654" s="6"/>
      <c r="JR654" s="6"/>
      <c r="JS654" s="6"/>
      <c r="JT654" s="6"/>
      <c r="JU654" s="6"/>
      <c r="JV654" s="6"/>
      <c r="JW654" s="6"/>
      <c r="JX654" s="6"/>
      <c r="JY654" s="6"/>
      <c r="JZ654" s="6"/>
      <c r="KA654" s="6"/>
      <c r="KB654" s="6"/>
      <c r="KC654" s="6"/>
      <c r="KD654" s="6"/>
      <c r="KE654" s="6"/>
      <c r="KF654" s="6"/>
      <c r="KG654" s="6"/>
      <c r="KH654" s="6"/>
      <c r="KI654" s="6"/>
      <c r="KJ654" s="6"/>
      <c r="KK654" s="6"/>
      <c r="KL654" s="6"/>
      <c r="KM654" s="6"/>
      <c r="KN654" s="6"/>
      <c r="KO654" s="6"/>
      <c r="KP654" s="6"/>
      <c r="KQ654" s="6"/>
      <c r="KR654" s="6"/>
      <c r="KS654" s="6"/>
      <c r="KT654" s="6"/>
      <c r="KU654" s="6"/>
      <c r="KV654" s="6"/>
      <c r="KW654" s="6"/>
      <c r="KX654" s="6"/>
      <c r="KY654" s="6"/>
      <c r="KZ654" s="6"/>
      <c r="LA654" s="6"/>
      <c r="LB654" s="6"/>
      <c r="LC654" s="6"/>
      <c r="LD654" s="6"/>
      <c r="LE654" s="6"/>
      <c r="LF654" s="6"/>
      <c r="LG654" s="6"/>
      <c r="LH654" s="6"/>
      <c r="LI654" s="6"/>
      <c r="LJ654" s="6"/>
      <c r="LK654" s="6"/>
      <c r="LL654" s="6"/>
      <c r="LM654" s="6"/>
      <c r="LN654" s="6"/>
      <c r="LO654" s="6"/>
      <c r="LP654" s="6"/>
      <c r="LQ654" s="6"/>
      <c r="LR654" s="6"/>
      <c r="LS654" s="6"/>
      <c r="LT654" s="6"/>
      <c r="LU654" s="6"/>
      <c r="LV654" s="6"/>
      <c r="LW654" s="6"/>
      <c r="LX654" s="6"/>
      <c r="LY654" s="6"/>
      <c r="LZ654" s="6"/>
      <c r="MA654" s="6"/>
      <c r="MB654" s="6"/>
      <c r="MC654" s="6"/>
      <c r="MD654" s="6"/>
      <c r="ME654" s="6"/>
      <c r="MF654" s="6"/>
      <c r="MG654" s="6"/>
      <c r="MH654" s="6"/>
      <c r="MI654" s="6"/>
      <c r="MJ654" s="6"/>
      <c r="MK654" s="6"/>
      <c r="ML654" s="6"/>
      <c r="MM654" s="6"/>
      <c r="MN654" s="6"/>
      <c r="MO654" s="6"/>
      <c r="MP654" s="6"/>
      <c r="MQ654" s="6"/>
      <c r="MR654" s="6"/>
      <c r="MS654" s="6"/>
      <c r="MT654" s="6"/>
      <c r="MU654" s="6"/>
      <c r="MV654" s="6"/>
      <c r="MW654" s="6"/>
      <c r="MX654" s="6"/>
      <c r="MY654" s="6"/>
      <c r="MZ654" s="6"/>
      <c r="NA654" s="6"/>
      <c r="NB654" s="6"/>
      <c r="NC654" s="6"/>
      <c r="ND654" s="6"/>
      <c r="NE654" s="6"/>
      <c r="NF654" s="6"/>
      <c r="NG654" s="6"/>
      <c r="NH654" s="6"/>
      <c r="NI654" s="6"/>
      <c r="NJ654" s="6"/>
      <c r="NK654" s="6"/>
      <c r="NL654" s="6"/>
      <c r="NM654" s="6"/>
      <c r="NN654" s="6"/>
      <c r="NO654" s="6"/>
      <c r="NP654" s="6"/>
      <c r="NQ654" s="6"/>
      <c r="NR654" s="6"/>
      <c r="NS654" s="6"/>
      <c r="NT654" s="6"/>
      <c r="NU654" s="6"/>
      <c r="NV654" s="6"/>
    </row>
    <row r="655" spans="1:386" s="19" customFormat="1" ht="20.100000000000001" customHeight="1" x14ac:dyDescent="0.35">
      <c r="A655" s="1"/>
      <c r="B655" s="2"/>
      <c r="C655" s="3"/>
      <c r="D655" s="2"/>
      <c r="E655" s="2"/>
      <c r="F655" s="4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7"/>
      <c r="AR655" s="304"/>
      <c r="AS655" s="7"/>
      <c r="AT655" s="7"/>
      <c r="AU655" s="7"/>
      <c r="AV655" s="7"/>
      <c r="AW655" s="304"/>
      <c r="AX655" s="7"/>
      <c r="AY655" s="7"/>
      <c r="AZ655" s="7"/>
      <c r="BA655" s="304"/>
      <c r="BB655" s="304"/>
      <c r="BC655" s="304"/>
      <c r="BD655" s="304"/>
      <c r="BE655" s="304"/>
      <c r="BF655" s="304"/>
      <c r="BG655" s="304"/>
      <c r="BH655" s="304"/>
      <c r="BI655" s="304"/>
      <c r="BJ655" s="304"/>
      <c r="BK655" s="304"/>
      <c r="BL655" s="304"/>
      <c r="BM655" s="304"/>
      <c r="BN655" s="304"/>
      <c r="BO655" s="304"/>
      <c r="BP655" s="304"/>
      <c r="BQ655" s="304"/>
      <c r="BR655" s="304"/>
      <c r="BS655" s="304"/>
      <c r="BT655" s="304"/>
      <c r="BU655" s="304"/>
      <c r="BV655" s="304"/>
      <c r="BW655" s="304"/>
      <c r="BX655" s="304"/>
      <c r="BY655" s="304"/>
      <c r="BZ655" s="304"/>
      <c r="CA655" s="304"/>
      <c r="CB655" s="304"/>
      <c r="CC655" s="304"/>
      <c r="CD655" s="304"/>
      <c r="CE655" s="304"/>
      <c r="CF655" s="304"/>
      <c r="CG655" s="304"/>
      <c r="CH655" s="304"/>
      <c r="CI655" s="304"/>
      <c r="CJ655" s="304"/>
      <c r="CK655" s="304"/>
      <c r="CL655" s="304"/>
      <c r="CM655" s="304"/>
      <c r="CN655" s="304"/>
      <c r="CO655" s="304"/>
      <c r="CP655" s="304"/>
      <c r="CQ655" s="304"/>
      <c r="CR655" s="304"/>
      <c r="CS655" s="304"/>
      <c r="CT655" s="304"/>
      <c r="CU655" s="304"/>
      <c r="CV655" s="304"/>
      <c r="CW655" s="304"/>
      <c r="CX655" s="304"/>
      <c r="CY655" s="304"/>
      <c r="CZ655" s="304"/>
      <c r="DA655" s="304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9"/>
      <c r="FL655" s="9"/>
      <c r="FM655" s="9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135"/>
      <c r="IK655" s="135"/>
      <c r="IL655" s="135"/>
      <c r="IN655" s="6"/>
      <c r="IO655" s="6"/>
      <c r="IP655" s="6"/>
      <c r="IQ655" s="6"/>
      <c r="IR655" s="6"/>
      <c r="IS655" s="6"/>
      <c r="IT655" s="6"/>
      <c r="IU655" s="6"/>
      <c r="IV655" s="6"/>
      <c r="IW655" s="6"/>
      <c r="IX655" s="6"/>
      <c r="IY655" s="6"/>
      <c r="IZ655" s="6"/>
      <c r="JA655" s="6"/>
      <c r="JB655" s="6"/>
      <c r="JC655" s="6"/>
      <c r="JD655" s="6"/>
      <c r="JE655" s="6"/>
      <c r="JF655" s="6"/>
      <c r="JG655" s="6"/>
      <c r="JH655" s="6"/>
      <c r="JI655" s="6"/>
      <c r="JJ655" s="6"/>
      <c r="JK655" s="6"/>
      <c r="JL655" s="6"/>
      <c r="JM655" s="6"/>
      <c r="JN655" s="6"/>
      <c r="JO655" s="6"/>
      <c r="JP655" s="6"/>
      <c r="JQ655" s="6"/>
      <c r="JR655" s="6"/>
      <c r="JS655" s="6"/>
      <c r="JT655" s="6"/>
      <c r="JU655" s="6"/>
      <c r="JV655" s="6"/>
      <c r="JW655" s="6"/>
      <c r="JX655" s="6"/>
      <c r="JY655" s="6"/>
      <c r="JZ655" s="6"/>
      <c r="KA655" s="6"/>
      <c r="KB655" s="6"/>
      <c r="KC655" s="6"/>
      <c r="KD655" s="6"/>
      <c r="KE655" s="6"/>
      <c r="KF655" s="6"/>
      <c r="KG655" s="6"/>
      <c r="KH655" s="6"/>
      <c r="KI655" s="6"/>
      <c r="KJ655" s="6"/>
      <c r="KK655" s="6"/>
      <c r="KL655" s="6"/>
      <c r="KM655" s="6"/>
      <c r="KN655" s="6"/>
      <c r="KO655" s="6"/>
      <c r="KP655" s="6"/>
      <c r="KQ655" s="6"/>
      <c r="KR655" s="6"/>
      <c r="KS655" s="6"/>
      <c r="KT655" s="6"/>
      <c r="KU655" s="6"/>
      <c r="KV655" s="6"/>
      <c r="KW655" s="6"/>
      <c r="KX655" s="6"/>
      <c r="KY655" s="6"/>
      <c r="KZ655" s="6"/>
      <c r="LA655" s="6"/>
      <c r="LB655" s="6"/>
      <c r="LC655" s="6"/>
      <c r="LD655" s="6"/>
      <c r="LE655" s="6"/>
      <c r="LF655" s="6"/>
      <c r="LG655" s="6"/>
      <c r="LH655" s="6"/>
      <c r="LI655" s="6"/>
      <c r="LJ655" s="6"/>
      <c r="LK655" s="6"/>
      <c r="LL655" s="6"/>
      <c r="LM655" s="6"/>
      <c r="LN655" s="6"/>
      <c r="LO655" s="6"/>
      <c r="LP655" s="6"/>
      <c r="LQ655" s="6"/>
      <c r="LR655" s="6"/>
      <c r="LS655" s="6"/>
      <c r="LT655" s="6"/>
      <c r="LU655" s="6"/>
      <c r="LV655" s="6"/>
      <c r="LW655" s="6"/>
      <c r="LX655" s="6"/>
      <c r="LY655" s="6"/>
      <c r="LZ655" s="6"/>
      <c r="MA655" s="6"/>
      <c r="MB655" s="6"/>
      <c r="MC655" s="6"/>
      <c r="MD655" s="6"/>
      <c r="ME655" s="6"/>
      <c r="MF655" s="6"/>
      <c r="MG655" s="6"/>
      <c r="MH655" s="6"/>
      <c r="MI655" s="6"/>
      <c r="MJ655" s="6"/>
      <c r="MK655" s="6"/>
      <c r="ML655" s="6"/>
      <c r="MM655" s="6"/>
      <c r="MN655" s="6"/>
      <c r="MO655" s="6"/>
      <c r="MP655" s="6"/>
      <c r="MQ655" s="6"/>
      <c r="MR655" s="6"/>
      <c r="MS655" s="6"/>
      <c r="MT655" s="6"/>
      <c r="MU655" s="6"/>
      <c r="MV655" s="6"/>
      <c r="MW655" s="6"/>
      <c r="MX655" s="6"/>
      <c r="MY655" s="6"/>
      <c r="MZ655" s="6"/>
      <c r="NA655" s="6"/>
      <c r="NB655" s="6"/>
      <c r="NC655" s="6"/>
      <c r="ND655" s="6"/>
      <c r="NE655" s="6"/>
      <c r="NF655" s="6"/>
      <c r="NG655" s="6"/>
      <c r="NH655" s="6"/>
      <c r="NI655" s="6"/>
      <c r="NJ655" s="6"/>
      <c r="NK655" s="6"/>
      <c r="NL655" s="6"/>
      <c r="NM655" s="6"/>
      <c r="NN655" s="6"/>
      <c r="NO655" s="6"/>
      <c r="NP655" s="6"/>
      <c r="NQ655" s="6"/>
      <c r="NR655" s="6"/>
      <c r="NS655" s="6"/>
      <c r="NT655" s="6"/>
      <c r="NU655" s="6"/>
      <c r="NV655" s="6"/>
    </row>
    <row r="656" spans="1:386" s="19" customFormat="1" ht="20.100000000000001" customHeight="1" x14ac:dyDescent="0.35">
      <c r="A656" s="1"/>
      <c r="B656" s="2"/>
      <c r="C656" s="3"/>
      <c r="D656" s="2"/>
      <c r="E656" s="2"/>
      <c r="F656" s="4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7"/>
      <c r="AR656" s="304"/>
      <c r="AS656" s="7"/>
      <c r="AT656" s="7"/>
      <c r="AU656" s="7"/>
      <c r="AV656" s="7"/>
      <c r="AW656" s="304"/>
      <c r="AX656" s="7"/>
      <c r="AY656" s="7"/>
      <c r="AZ656" s="7"/>
      <c r="BA656" s="304"/>
      <c r="BB656" s="304"/>
      <c r="BC656" s="304"/>
      <c r="BD656" s="304"/>
      <c r="BE656" s="304"/>
      <c r="BF656" s="304"/>
      <c r="BG656" s="304"/>
      <c r="BH656" s="304"/>
      <c r="BI656" s="304"/>
      <c r="BJ656" s="304"/>
      <c r="BK656" s="304"/>
      <c r="BL656" s="304"/>
      <c r="BM656" s="304"/>
      <c r="BN656" s="304"/>
      <c r="BO656" s="304"/>
      <c r="BP656" s="304"/>
      <c r="BQ656" s="304"/>
      <c r="BR656" s="304"/>
      <c r="BS656" s="304"/>
      <c r="BT656" s="304"/>
      <c r="BU656" s="304"/>
      <c r="BV656" s="304"/>
      <c r="BW656" s="304"/>
      <c r="BX656" s="304"/>
      <c r="BY656" s="304"/>
      <c r="BZ656" s="304"/>
      <c r="CA656" s="304"/>
      <c r="CB656" s="304"/>
      <c r="CC656" s="304"/>
      <c r="CD656" s="304"/>
      <c r="CE656" s="304"/>
      <c r="CF656" s="304"/>
      <c r="CG656" s="304"/>
      <c r="CH656" s="304"/>
      <c r="CI656" s="304"/>
      <c r="CJ656" s="304"/>
      <c r="CK656" s="304"/>
      <c r="CL656" s="304"/>
      <c r="CM656" s="304"/>
      <c r="CN656" s="304"/>
      <c r="CO656" s="304"/>
      <c r="CP656" s="304"/>
      <c r="CQ656" s="304"/>
      <c r="CR656" s="304"/>
      <c r="CS656" s="304"/>
      <c r="CT656" s="304"/>
      <c r="CU656" s="304"/>
      <c r="CV656" s="304"/>
      <c r="CW656" s="304"/>
      <c r="CX656" s="304"/>
      <c r="CY656" s="304"/>
      <c r="CZ656" s="304"/>
      <c r="DA656" s="304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9"/>
      <c r="FL656" s="9"/>
      <c r="FM656" s="9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135"/>
      <c r="IK656" s="135"/>
      <c r="IL656" s="135"/>
      <c r="IN656" s="6"/>
      <c r="IO656" s="6"/>
      <c r="IP656" s="6"/>
      <c r="IQ656" s="6"/>
      <c r="IR656" s="6"/>
      <c r="IS656" s="6"/>
      <c r="IT656" s="6"/>
      <c r="IU656" s="6"/>
      <c r="IV656" s="6"/>
      <c r="IW656" s="6"/>
      <c r="IX656" s="6"/>
      <c r="IY656" s="6"/>
      <c r="IZ656" s="6"/>
      <c r="JA656" s="6"/>
      <c r="JB656" s="6"/>
      <c r="JC656" s="6"/>
      <c r="JD656" s="6"/>
      <c r="JE656" s="6"/>
      <c r="JF656" s="6"/>
      <c r="JG656" s="6"/>
      <c r="JH656" s="6"/>
      <c r="JI656" s="6"/>
      <c r="JJ656" s="6"/>
      <c r="JK656" s="6"/>
      <c r="JL656" s="6"/>
      <c r="JM656" s="6"/>
      <c r="JN656" s="6"/>
      <c r="JO656" s="6"/>
      <c r="JP656" s="6"/>
      <c r="JQ656" s="6"/>
      <c r="JR656" s="6"/>
      <c r="JS656" s="6"/>
      <c r="JT656" s="6"/>
      <c r="JU656" s="6"/>
      <c r="JV656" s="6"/>
      <c r="JW656" s="6"/>
      <c r="JX656" s="6"/>
      <c r="JY656" s="6"/>
      <c r="JZ656" s="6"/>
      <c r="KA656" s="6"/>
      <c r="KB656" s="6"/>
      <c r="KC656" s="6"/>
      <c r="KD656" s="6"/>
      <c r="KE656" s="6"/>
      <c r="KF656" s="6"/>
      <c r="KG656" s="6"/>
      <c r="KH656" s="6"/>
      <c r="KI656" s="6"/>
      <c r="KJ656" s="6"/>
      <c r="KK656" s="6"/>
      <c r="KL656" s="6"/>
      <c r="KM656" s="6"/>
      <c r="KN656" s="6"/>
      <c r="KO656" s="6"/>
      <c r="KP656" s="6"/>
      <c r="KQ656" s="6"/>
      <c r="KR656" s="6"/>
      <c r="KS656" s="6"/>
      <c r="KT656" s="6"/>
      <c r="KU656" s="6"/>
      <c r="KV656" s="6"/>
      <c r="KW656" s="6"/>
      <c r="KX656" s="6"/>
      <c r="KY656" s="6"/>
      <c r="KZ656" s="6"/>
      <c r="LA656" s="6"/>
      <c r="LB656" s="6"/>
      <c r="LC656" s="6"/>
      <c r="LD656" s="6"/>
      <c r="LE656" s="6"/>
      <c r="LF656" s="6"/>
      <c r="LG656" s="6"/>
      <c r="LH656" s="6"/>
      <c r="LI656" s="6"/>
      <c r="LJ656" s="6"/>
      <c r="LK656" s="6"/>
      <c r="LL656" s="6"/>
      <c r="LM656" s="6"/>
      <c r="LN656" s="6"/>
      <c r="LO656" s="6"/>
      <c r="LP656" s="6"/>
      <c r="LQ656" s="6"/>
      <c r="LR656" s="6"/>
      <c r="LS656" s="6"/>
      <c r="LT656" s="6"/>
      <c r="LU656" s="6"/>
      <c r="LV656" s="6"/>
      <c r="LW656" s="6"/>
      <c r="LX656" s="6"/>
      <c r="LY656" s="6"/>
      <c r="LZ656" s="6"/>
      <c r="MA656" s="6"/>
      <c r="MB656" s="6"/>
      <c r="MC656" s="6"/>
      <c r="MD656" s="6"/>
      <c r="ME656" s="6"/>
      <c r="MF656" s="6"/>
      <c r="MG656" s="6"/>
      <c r="MH656" s="6"/>
      <c r="MI656" s="6"/>
      <c r="MJ656" s="6"/>
      <c r="MK656" s="6"/>
      <c r="ML656" s="6"/>
      <c r="MM656" s="6"/>
      <c r="MN656" s="6"/>
      <c r="MO656" s="6"/>
      <c r="MP656" s="6"/>
      <c r="MQ656" s="6"/>
      <c r="MR656" s="6"/>
      <c r="MS656" s="6"/>
      <c r="MT656" s="6"/>
      <c r="MU656" s="6"/>
      <c r="MV656" s="6"/>
      <c r="MW656" s="6"/>
      <c r="MX656" s="6"/>
      <c r="MY656" s="6"/>
      <c r="MZ656" s="6"/>
      <c r="NA656" s="6"/>
      <c r="NB656" s="6"/>
      <c r="NC656" s="6"/>
      <c r="ND656" s="6"/>
      <c r="NE656" s="6"/>
      <c r="NF656" s="6"/>
      <c r="NG656" s="6"/>
      <c r="NH656" s="6"/>
      <c r="NI656" s="6"/>
      <c r="NJ656" s="6"/>
      <c r="NK656" s="6"/>
      <c r="NL656" s="6"/>
      <c r="NM656" s="6"/>
      <c r="NN656" s="6"/>
      <c r="NO656" s="6"/>
      <c r="NP656" s="6"/>
      <c r="NQ656" s="6"/>
      <c r="NR656" s="6"/>
      <c r="NS656" s="6"/>
      <c r="NT656" s="6"/>
      <c r="NU656" s="6"/>
      <c r="NV656" s="6"/>
    </row>
    <row r="657" spans="1:386" s="19" customFormat="1" ht="20.100000000000001" customHeight="1" x14ac:dyDescent="0.35">
      <c r="A657" s="1"/>
      <c r="B657" s="2"/>
      <c r="C657" s="3"/>
      <c r="D657" s="2"/>
      <c r="E657" s="2"/>
      <c r="F657" s="4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7"/>
      <c r="AR657" s="304"/>
      <c r="AS657" s="7"/>
      <c r="AT657" s="7"/>
      <c r="AU657" s="7"/>
      <c r="AV657" s="7"/>
      <c r="AW657" s="304"/>
      <c r="AX657" s="7"/>
      <c r="AY657" s="7"/>
      <c r="AZ657" s="7"/>
      <c r="BA657" s="304"/>
      <c r="BB657" s="304"/>
      <c r="BC657" s="304"/>
      <c r="BD657" s="304"/>
      <c r="BE657" s="304"/>
      <c r="BF657" s="304"/>
      <c r="BG657" s="304"/>
      <c r="BH657" s="304"/>
      <c r="BI657" s="304"/>
      <c r="BJ657" s="304"/>
      <c r="BK657" s="304"/>
      <c r="BL657" s="304"/>
      <c r="BM657" s="304"/>
      <c r="BN657" s="304"/>
      <c r="BO657" s="304"/>
      <c r="BP657" s="304"/>
      <c r="BQ657" s="304"/>
      <c r="BR657" s="304"/>
      <c r="BS657" s="304"/>
      <c r="BT657" s="304"/>
      <c r="BU657" s="304"/>
      <c r="BV657" s="304"/>
      <c r="BW657" s="304"/>
      <c r="BX657" s="304"/>
      <c r="BY657" s="304"/>
      <c r="BZ657" s="304"/>
      <c r="CA657" s="304"/>
      <c r="CB657" s="304"/>
      <c r="CC657" s="304"/>
      <c r="CD657" s="304"/>
      <c r="CE657" s="304"/>
      <c r="CF657" s="304"/>
      <c r="CG657" s="304"/>
      <c r="CH657" s="304"/>
      <c r="CI657" s="304"/>
      <c r="CJ657" s="304"/>
      <c r="CK657" s="304"/>
      <c r="CL657" s="304"/>
      <c r="CM657" s="304"/>
      <c r="CN657" s="304"/>
      <c r="CO657" s="304"/>
      <c r="CP657" s="304"/>
      <c r="CQ657" s="304"/>
      <c r="CR657" s="304"/>
      <c r="CS657" s="304"/>
      <c r="CT657" s="304"/>
      <c r="CU657" s="304"/>
      <c r="CV657" s="304"/>
      <c r="CW657" s="304"/>
      <c r="CX657" s="304"/>
      <c r="CY657" s="304"/>
      <c r="CZ657" s="304"/>
      <c r="DA657" s="304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9"/>
      <c r="FL657" s="9"/>
      <c r="FM657" s="9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135"/>
      <c r="IK657" s="135"/>
      <c r="IL657" s="135"/>
      <c r="IN657" s="6"/>
      <c r="IO657" s="6"/>
      <c r="IP657" s="6"/>
      <c r="IQ657" s="6"/>
      <c r="IR657" s="6"/>
      <c r="IS657" s="6"/>
      <c r="IT657" s="6"/>
      <c r="IU657" s="6"/>
      <c r="IV657" s="6"/>
      <c r="IW657" s="6"/>
      <c r="IX657" s="6"/>
      <c r="IY657" s="6"/>
      <c r="IZ657" s="6"/>
      <c r="JA657" s="6"/>
      <c r="JB657" s="6"/>
      <c r="JC657" s="6"/>
      <c r="JD657" s="6"/>
      <c r="JE657" s="6"/>
      <c r="JF657" s="6"/>
      <c r="JG657" s="6"/>
      <c r="JH657" s="6"/>
      <c r="JI657" s="6"/>
      <c r="JJ657" s="6"/>
      <c r="JK657" s="6"/>
      <c r="JL657" s="6"/>
      <c r="JM657" s="6"/>
      <c r="JN657" s="6"/>
      <c r="JO657" s="6"/>
      <c r="JP657" s="6"/>
      <c r="JQ657" s="6"/>
      <c r="JR657" s="6"/>
      <c r="JS657" s="6"/>
      <c r="JT657" s="6"/>
      <c r="JU657" s="6"/>
      <c r="JV657" s="6"/>
      <c r="JW657" s="6"/>
      <c r="JX657" s="6"/>
      <c r="JY657" s="6"/>
      <c r="JZ657" s="6"/>
      <c r="KA657" s="6"/>
      <c r="KB657" s="6"/>
      <c r="KC657" s="6"/>
      <c r="KD657" s="6"/>
      <c r="KE657" s="6"/>
      <c r="KF657" s="6"/>
      <c r="KG657" s="6"/>
      <c r="KH657" s="6"/>
      <c r="KI657" s="6"/>
      <c r="KJ657" s="6"/>
      <c r="KK657" s="6"/>
      <c r="KL657" s="6"/>
      <c r="KM657" s="6"/>
      <c r="KN657" s="6"/>
      <c r="KO657" s="6"/>
      <c r="KP657" s="6"/>
      <c r="KQ657" s="6"/>
      <c r="KR657" s="6"/>
      <c r="KS657" s="6"/>
      <c r="KT657" s="6"/>
      <c r="KU657" s="6"/>
      <c r="KV657" s="6"/>
      <c r="KW657" s="6"/>
      <c r="KX657" s="6"/>
      <c r="KY657" s="6"/>
      <c r="KZ657" s="6"/>
      <c r="LA657" s="6"/>
      <c r="LB657" s="6"/>
      <c r="LC657" s="6"/>
      <c r="LD657" s="6"/>
      <c r="LE657" s="6"/>
      <c r="LF657" s="6"/>
      <c r="LG657" s="6"/>
      <c r="LH657" s="6"/>
      <c r="LI657" s="6"/>
      <c r="LJ657" s="6"/>
      <c r="LK657" s="6"/>
      <c r="LL657" s="6"/>
      <c r="LM657" s="6"/>
      <c r="LN657" s="6"/>
      <c r="LO657" s="6"/>
      <c r="LP657" s="6"/>
      <c r="LQ657" s="6"/>
      <c r="LR657" s="6"/>
      <c r="LS657" s="6"/>
      <c r="LT657" s="6"/>
      <c r="LU657" s="6"/>
      <c r="LV657" s="6"/>
      <c r="LW657" s="6"/>
      <c r="LX657" s="6"/>
      <c r="LY657" s="6"/>
      <c r="LZ657" s="6"/>
      <c r="MA657" s="6"/>
      <c r="MB657" s="6"/>
      <c r="MC657" s="6"/>
      <c r="MD657" s="6"/>
      <c r="ME657" s="6"/>
      <c r="MF657" s="6"/>
      <c r="MG657" s="6"/>
      <c r="MH657" s="6"/>
      <c r="MI657" s="6"/>
      <c r="MJ657" s="6"/>
      <c r="MK657" s="6"/>
      <c r="ML657" s="6"/>
      <c r="MM657" s="6"/>
      <c r="MN657" s="6"/>
      <c r="MO657" s="6"/>
      <c r="MP657" s="6"/>
      <c r="MQ657" s="6"/>
      <c r="MR657" s="6"/>
      <c r="MS657" s="6"/>
      <c r="MT657" s="6"/>
      <c r="MU657" s="6"/>
      <c r="MV657" s="6"/>
      <c r="MW657" s="6"/>
      <c r="MX657" s="6"/>
      <c r="MY657" s="6"/>
      <c r="MZ657" s="6"/>
      <c r="NA657" s="6"/>
      <c r="NB657" s="6"/>
      <c r="NC657" s="6"/>
      <c r="ND657" s="6"/>
      <c r="NE657" s="6"/>
      <c r="NF657" s="6"/>
      <c r="NG657" s="6"/>
      <c r="NH657" s="6"/>
      <c r="NI657" s="6"/>
      <c r="NJ657" s="6"/>
      <c r="NK657" s="6"/>
      <c r="NL657" s="6"/>
      <c r="NM657" s="6"/>
      <c r="NN657" s="6"/>
      <c r="NO657" s="6"/>
      <c r="NP657" s="6"/>
      <c r="NQ657" s="6"/>
      <c r="NR657" s="6"/>
      <c r="NS657" s="6"/>
      <c r="NT657" s="6"/>
      <c r="NU657" s="6"/>
      <c r="NV657" s="6"/>
    </row>
    <row r="658" spans="1:386" s="19" customFormat="1" ht="20.100000000000001" customHeight="1" x14ac:dyDescent="0.35">
      <c r="A658" s="1"/>
      <c r="B658" s="2"/>
      <c r="C658" s="3"/>
      <c r="D658" s="2"/>
      <c r="E658" s="2"/>
      <c r="F658" s="4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7"/>
      <c r="AR658" s="304"/>
      <c r="AS658" s="7"/>
      <c r="AT658" s="7"/>
      <c r="AU658" s="7"/>
      <c r="AV658" s="7"/>
      <c r="AW658" s="304"/>
      <c r="AX658" s="7"/>
      <c r="AY658" s="7"/>
      <c r="AZ658" s="7"/>
      <c r="BA658" s="304"/>
      <c r="BB658" s="304"/>
      <c r="BC658" s="304"/>
      <c r="BD658" s="304"/>
      <c r="BE658" s="304"/>
      <c r="BF658" s="304"/>
      <c r="BG658" s="304"/>
      <c r="BH658" s="304"/>
      <c r="BI658" s="304"/>
      <c r="BJ658" s="304"/>
      <c r="BK658" s="304"/>
      <c r="BL658" s="304"/>
      <c r="BM658" s="304"/>
      <c r="BN658" s="304"/>
      <c r="BO658" s="304"/>
      <c r="BP658" s="304"/>
      <c r="BQ658" s="304"/>
      <c r="BR658" s="304"/>
      <c r="BS658" s="304"/>
      <c r="BT658" s="304"/>
      <c r="BU658" s="304"/>
      <c r="BV658" s="304"/>
      <c r="BW658" s="304"/>
      <c r="BX658" s="304"/>
      <c r="BY658" s="304"/>
      <c r="BZ658" s="304"/>
      <c r="CA658" s="304"/>
      <c r="CB658" s="304"/>
      <c r="CC658" s="304"/>
      <c r="CD658" s="304"/>
      <c r="CE658" s="304"/>
      <c r="CF658" s="304"/>
      <c r="CG658" s="304"/>
      <c r="CH658" s="304"/>
      <c r="CI658" s="304"/>
      <c r="CJ658" s="304"/>
      <c r="CK658" s="304"/>
      <c r="CL658" s="304"/>
      <c r="CM658" s="304"/>
      <c r="CN658" s="304"/>
      <c r="CO658" s="304"/>
      <c r="CP658" s="304"/>
      <c r="CQ658" s="304"/>
      <c r="CR658" s="304"/>
      <c r="CS658" s="304"/>
      <c r="CT658" s="304"/>
      <c r="CU658" s="304"/>
      <c r="CV658" s="304"/>
      <c r="CW658" s="304"/>
      <c r="CX658" s="304"/>
      <c r="CY658" s="304"/>
      <c r="CZ658" s="304"/>
      <c r="DA658" s="304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9"/>
      <c r="FL658" s="9"/>
      <c r="FM658" s="9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135"/>
      <c r="IK658" s="135"/>
      <c r="IL658" s="135"/>
      <c r="IN658" s="6"/>
      <c r="IO658" s="6"/>
      <c r="IP658" s="6"/>
      <c r="IQ658" s="6"/>
      <c r="IR658" s="6"/>
      <c r="IS658" s="6"/>
      <c r="IT658" s="6"/>
      <c r="IU658" s="6"/>
      <c r="IV658" s="6"/>
      <c r="IW658" s="6"/>
      <c r="IX658" s="6"/>
      <c r="IY658" s="6"/>
      <c r="IZ658" s="6"/>
      <c r="JA658" s="6"/>
      <c r="JB658" s="6"/>
      <c r="JC658" s="6"/>
      <c r="JD658" s="6"/>
      <c r="JE658" s="6"/>
      <c r="JF658" s="6"/>
      <c r="JG658" s="6"/>
      <c r="JH658" s="6"/>
      <c r="JI658" s="6"/>
      <c r="JJ658" s="6"/>
      <c r="JK658" s="6"/>
      <c r="JL658" s="6"/>
      <c r="JM658" s="6"/>
      <c r="JN658" s="6"/>
      <c r="JO658" s="6"/>
      <c r="JP658" s="6"/>
      <c r="JQ658" s="6"/>
      <c r="JR658" s="6"/>
      <c r="JS658" s="6"/>
      <c r="JT658" s="6"/>
      <c r="JU658" s="6"/>
      <c r="JV658" s="6"/>
      <c r="JW658" s="6"/>
      <c r="JX658" s="6"/>
      <c r="JY658" s="6"/>
      <c r="JZ658" s="6"/>
      <c r="KA658" s="6"/>
      <c r="KB658" s="6"/>
      <c r="KC658" s="6"/>
      <c r="KD658" s="6"/>
      <c r="KE658" s="6"/>
      <c r="KF658" s="6"/>
      <c r="KG658" s="6"/>
      <c r="KH658" s="6"/>
      <c r="KI658" s="6"/>
      <c r="KJ658" s="6"/>
      <c r="KK658" s="6"/>
      <c r="KL658" s="6"/>
      <c r="KM658" s="6"/>
      <c r="KN658" s="6"/>
      <c r="KO658" s="6"/>
      <c r="KP658" s="6"/>
      <c r="KQ658" s="6"/>
      <c r="KR658" s="6"/>
      <c r="KS658" s="6"/>
      <c r="KT658" s="6"/>
      <c r="KU658" s="6"/>
      <c r="KV658" s="6"/>
      <c r="KW658" s="6"/>
      <c r="KX658" s="6"/>
      <c r="KY658" s="6"/>
      <c r="KZ658" s="6"/>
      <c r="LA658" s="6"/>
      <c r="LB658" s="6"/>
      <c r="LC658" s="6"/>
      <c r="LD658" s="6"/>
      <c r="LE658" s="6"/>
      <c r="LF658" s="6"/>
      <c r="LG658" s="6"/>
      <c r="LH658" s="6"/>
      <c r="LI658" s="6"/>
      <c r="LJ658" s="6"/>
      <c r="LK658" s="6"/>
      <c r="LL658" s="6"/>
      <c r="LM658" s="6"/>
      <c r="LN658" s="6"/>
      <c r="LO658" s="6"/>
      <c r="LP658" s="6"/>
      <c r="LQ658" s="6"/>
      <c r="LR658" s="6"/>
      <c r="LS658" s="6"/>
      <c r="LT658" s="6"/>
      <c r="LU658" s="6"/>
      <c r="LV658" s="6"/>
      <c r="LW658" s="6"/>
      <c r="LX658" s="6"/>
      <c r="LY658" s="6"/>
      <c r="LZ658" s="6"/>
      <c r="MA658" s="6"/>
      <c r="MB658" s="6"/>
      <c r="MC658" s="6"/>
      <c r="MD658" s="6"/>
      <c r="ME658" s="6"/>
      <c r="MF658" s="6"/>
      <c r="MG658" s="6"/>
      <c r="MH658" s="6"/>
      <c r="MI658" s="6"/>
      <c r="MJ658" s="6"/>
      <c r="MK658" s="6"/>
      <c r="ML658" s="6"/>
      <c r="MM658" s="6"/>
      <c r="MN658" s="6"/>
      <c r="MO658" s="6"/>
      <c r="MP658" s="6"/>
      <c r="MQ658" s="6"/>
      <c r="MR658" s="6"/>
      <c r="MS658" s="6"/>
      <c r="MT658" s="6"/>
      <c r="MU658" s="6"/>
      <c r="MV658" s="6"/>
      <c r="MW658" s="6"/>
      <c r="MX658" s="6"/>
      <c r="MY658" s="6"/>
      <c r="MZ658" s="6"/>
      <c r="NA658" s="6"/>
      <c r="NB658" s="6"/>
      <c r="NC658" s="6"/>
      <c r="ND658" s="6"/>
      <c r="NE658" s="6"/>
      <c r="NF658" s="6"/>
      <c r="NG658" s="6"/>
      <c r="NH658" s="6"/>
      <c r="NI658" s="6"/>
      <c r="NJ658" s="6"/>
      <c r="NK658" s="6"/>
      <c r="NL658" s="6"/>
      <c r="NM658" s="6"/>
      <c r="NN658" s="6"/>
      <c r="NO658" s="6"/>
      <c r="NP658" s="6"/>
      <c r="NQ658" s="6"/>
      <c r="NR658" s="6"/>
      <c r="NS658" s="6"/>
      <c r="NT658" s="6"/>
      <c r="NU658" s="6"/>
      <c r="NV658" s="6"/>
    </row>
    <row r="659" spans="1:386" s="19" customFormat="1" ht="20.100000000000001" customHeight="1" x14ac:dyDescent="0.35">
      <c r="A659" s="1"/>
      <c r="B659" s="2"/>
      <c r="C659" s="3"/>
      <c r="D659" s="2"/>
      <c r="E659" s="2"/>
      <c r="F659" s="4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7"/>
      <c r="AR659" s="304"/>
      <c r="AS659" s="7"/>
      <c r="AT659" s="7"/>
      <c r="AU659" s="7"/>
      <c r="AV659" s="7"/>
      <c r="AW659" s="304"/>
      <c r="AX659" s="7"/>
      <c r="AY659" s="7"/>
      <c r="AZ659" s="7"/>
      <c r="BA659" s="304"/>
      <c r="BB659" s="304"/>
      <c r="BC659" s="304"/>
      <c r="BD659" s="304"/>
      <c r="BE659" s="304"/>
      <c r="BF659" s="304"/>
      <c r="BG659" s="304"/>
      <c r="BH659" s="304"/>
      <c r="BI659" s="304"/>
      <c r="BJ659" s="304"/>
      <c r="BK659" s="304"/>
      <c r="BL659" s="304"/>
      <c r="BM659" s="304"/>
      <c r="BN659" s="304"/>
      <c r="BO659" s="304"/>
      <c r="BP659" s="304"/>
      <c r="BQ659" s="304"/>
      <c r="BR659" s="304"/>
      <c r="BS659" s="304"/>
      <c r="BT659" s="304"/>
      <c r="BU659" s="304"/>
      <c r="BV659" s="304"/>
      <c r="BW659" s="304"/>
      <c r="BX659" s="304"/>
      <c r="BY659" s="304"/>
      <c r="BZ659" s="304"/>
      <c r="CA659" s="304"/>
      <c r="CB659" s="304"/>
      <c r="CC659" s="304"/>
      <c r="CD659" s="304"/>
      <c r="CE659" s="304"/>
      <c r="CF659" s="304"/>
      <c r="CG659" s="304"/>
      <c r="CH659" s="304"/>
      <c r="CI659" s="304"/>
      <c r="CJ659" s="304"/>
      <c r="CK659" s="304"/>
      <c r="CL659" s="304"/>
      <c r="CM659" s="304"/>
      <c r="CN659" s="304"/>
      <c r="CO659" s="304"/>
      <c r="CP659" s="304"/>
      <c r="CQ659" s="304"/>
      <c r="CR659" s="304"/>
      <c r="CS659" s="304"/>
      <c r="CT659" s="304"/>
      <c r="CU659" s="304"/>
      <c r="CV659" s="304"/>
      <c r="CW659" s="304"/>
      <c r="CX659" s="304"/>
      <c r="CY659" s="304"/>
      <c r="CZ659" s="304"/>
      <c r="DA659" s="304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9"/>
      <c r="FL659" s="9"/>
      <c r="FM659" s="9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135"/>
      <c r="IK659" s="135"/>
      <c r="IL659" s="135"/>
      <c r="IN659" s="6"/>
      <c r="IO659" s="6"/>
      <c r="IP659" s="6"/>
      <c r="IQ659" s="6"/>
      <c r="IR659" s="6"/>
      <c r="IS659" s="6"/>
      <c r="IT659" s="6"/>
      <c r="IU659" s="6"/>
      <c r="IV659" s="6"/>
      <c r="IW659" s="6"/>
      <c r="IX659" s="6"/>
      <c r="IY659" s="6"/>
      <c r="IZ659" s="6"/>
      <c r="JA659" s="6"/>
      <c r="JB659" s="6"/>
      <c r="JC659" s="6"/>
      <c r="JD659" s="6"/>
      <c r="JE659" s="6"/>
      <c r="JF659" s="6"/>
      <c r="JG659" s="6"/>
      <c r="JH659" s="6"/>
      <c r="JI659" s="6"/>
      <c r="JJ659" s="6"/>
      <c r="JK659" s="6"/>
      <c r="JL659" s="6"/>
      <c r="JM659" s="6"/>
      <c r="JN659" s="6"/>
      <c r="JO659" s="6"/>
      <c r="JP659" s="6"/>
      <c r="JQ659" s="6"/>
      <c r="JR659" s="6"/>
      <c r="JS659" s="6"/>
      <c r="JT659" s="6"/>
      <c r="JU659" s="6"/>
      <c r="JV659" s="6"/>
      <c r="JW659" s="6"/>
      <c r="JX659" s="6"/>
      <c r="JY659" s="6"/>
      <c r="JZ659" s="6"/>
      <c r="KA659" s="6"/>
      <c r="KB659" s="6"/>
      <c r="KC659" s="6"/>
      <c r="KD659" s="6"/>
      <c r="KE659" s="6"/>
      <c r="KF659" s="6"/>
      <c r="KG659" s="6"/>
      <c r="KH659" s="6"/>
      <c r="KI659" s="6"/>
      <c r="KJ659" s="6"/>
      <c r="KK659" s="6"/>
      <c r="KL659" s="6"/>
      <c r="KM659" s="6"/>
      <c r="KN659" s="6"/>
      <c r="KO659" s="6"/>
      <c r="KP659" s="6"/>
      <c r="KQ659" s="6"/>
      <c r="KR659" s="6"/>
      <c r="KS659" s="6"/>
      <c r="KT659" s="6"/>
      <c r="KU659" s="6"/>
      <c r="KV659" s="6"/>
      <c r="KW659" s="6"/>
      <c r="KX659" s="6"/>
      <c r="KY659" s="6"/>
      <c r="KZ659" s="6"/>
      <c r="LA659" s="6"/>
      <c r="LB659" s="6"/>
      <c r="LC659" s="6"/>
      <c r="LD659" s="6"/>
      <c r="LE659" s="6"/>
      <c r="LF659" s="6"/>
      <c r="LG659" s="6"/>
      <c r="LH659" s="6"/>
      <c r="LI659" s="6"/>
      <c r="LJ659" s="6"/>
      <c r="LK659" s="6"/>
      <c r="LL659" s="6"/>
      <c r="LM659" s="6"/>
      <c r="LN659" s="6"/>
      <c r="LO659" s="6"/>
      <c r="LP659" s="6"/>
      <c r="LQ659" s="6"/>
      <c r="LR659" s="6"/>
      <c r="LS659" s="6"/>
      <c r="LT659" s="6"/>
      <c r="LU659" s="6"/>
      <c r="LV659" s="6"/>
      <c r="LW659" s="6"/>
      <c r="LX659" s="6"/>
      <c r="LY659" s="6"/>
      <c r="LZ659" s="6"/>
      <c r="MA659" s="6"/>
      <c r="MB659" s="6"/>
      <c r="MC659" s="6"/>
      <c r="MD659" s="6"/>
      <c r="ME659" s="6"/>
      <c r="MF659" s="6"/>
      <c r="MG659" s="6"/>
      <c r="MH659" s="6"/>
      <c r="MI659" s="6"/>
      <c r="MJ659" s="6"/>
      <c r="MK659" s="6"/>
      <c r="ML659" s="6"/>
      <c r="MM659" s="6"/>
      <c r="MN659" s="6"/>
      <c r="MO659" s="6"/>
      <c r="MP659" s="6"/>
      <c r="MQ659" s="6"/>
      <c r="MR659" s="6"/>
      <c r="MS659" s="6"/>
      <c r="MT659" s="6"/>
      <c r="MU659" s="6"/>
      <c r="MV659" s="6"/>
      <c r="MW659" s="6"/>
      <c r="MX659" s="6"/>
      <c r="MY659" s="6"/>
      <c r="MZ659" s="6"/>
      <c r="NA659" s="6"/>
      <c r="NB659" s="6"/>
      <c r="NC659" s="6"/>
      <c r="ND659" s="6"/>
      <c r="NE659" s="6"/>
      <c r="NF659" s="6"/>
      <c r="NG659" s="6"/>
      <c r="NH659" s="6"/>
      <c r="NI659" s="6"/>
      <c r="NJ659" s="6"/>
      <c r="NK659" s="6"/>
      <c r="NL659" s="6"/>
      <c r="NM659" s="6"/>
      <c r="NN659" s="6"/>
      <c r="NO659" s="6"/>
      <c r="NP659" s="6"/>
      <c r="NQ659" s="6"/>
      <c r="NR659" s="6"/>
      <c r="NS659" s="6"/>
      <c r="NT659" s="6"/>
      <c r="NU659" s="6"/>
      <c r="NV659" s="6"/>
    </row>
    <row r="660" spans="1:386" s="19" customFormat="1" ht="20.100000000000001" customHeight="1" x14ac:dyDescent="0.35">
      <c r="A660" s="1"/>
      <c r="B660" s="2"/>
      <c r="C660" s="3"/>
      <c r="D660" s="2"/>
      <c r="E660" s="2"/>
      <c r="F660" s="4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7"/>
      <c r="AR660" s="304"/>
      <c r="AS660" s="7"/>
      <c r="AT660" s="7"/>
      <c r="AU660" s="7"/>
      <c r="AV660" s="7"/>
      <c r="AW660" s="304"/>
      <c r="AX660" s="7"/>
      <c r="AY660" s="7"/>
      <c r="AZ660" s="7"/>
      <c r="BA660" s="304"/>
      <c r="BB660" s="304"/>
      <c r="BC660" s="304"/>
      <c r="BD660" s="304"/>
      <c r="BE660" s="304"/>
      <c r="BF660" s="304"/>
      <c r="BG660" s="304"/>
      <c r="BH660" s="304"/>
      <c r="BI660" s="304"/>
      <c r="BJ660" s="304"/>
      <c r="BK660" s="304"/>
      <c r="BL660" s="304"/>
      <c r="BM660" s="304"/>
      <c r="BN660" s="304"/>
      <c r="BO660" s="304"/>
      <c r="BP660" s="304"/>
      <c r="BQ660" s="304"/>
      <c r="BR660" s="304"/>
      <c r="BS660" s="304"/>
      <c r="BT660" s="304"/>
      <c r="BU660" s="304"/>
      <c r="BV660" s="304"/>
      <c r="BW660" s="304"/>
      <c r="BX660" s="304"/>
      <c r="BY660" s="304"/>
      <c r="BZ660" s="304"/>
      <c r="CA660" s="304"/>
      <c r="CB660" s="304"/>
      <c r="CC660" s="304"/>
      <c r="CD660" s="304"/>
      <c r="CE660" s="304"/>
      <c r="CF660" s="304"/>
      <c r="CG660" s="304"/>
      <c r="CH660" s="304"/>
      <c r="CI660" s="304"/>
      <c r="CJ660" s="304"/>
      <c r="CK660" s="304"/>
      <c r="CL660" s="304"/>
      <c r="CM660" s="304"/>
      <c r="CN660" s="304"/>
      <c r="CO660" s="304"/>
      <c r="CP660" s="304"/>
      <c r="CQ660" s="304"/>
      <c r="CR660" s="304"/>
      <c r="CS660" s="304"/>
      <c r="CT660" s="304"/>
      <c r="CU660" s="304"/>
      <c r="CV660" s="304"/>
      <c r="CW660" s="304"/>
      <c r="CX660" s="304"/>
      <c r="CY660" s="304"/>
      <c r="CZ660" s="304"/>
      <c r="DA660" s="304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9"/>
      <c r="FL660" s="9"/>
      <c r="FM660" s="9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135"/>
      <c r="IK660" s="135"/>
      <c r="IL660" s="135"/>
      <c r="IN660" s="6"/>
      <c r="IO660" s="6"/>
      <c r="IP660" s="6"/>
      <c r="IQ660" s="6"/>
      <c r="IR660" s="6"/>
      <c r="IS660" s="6"/>
      <c r="IT660" s="6"/>
      <c r="IU660" s="6"/>
      <c r="IV660" s="6"/>
      <c r="IW660" s="6"/>
      <c r="IX660" s="6"/>
      <c r="IY660" s="6"/>
      <c r="IZ660" s="6"/>
      <c r="JA660" s="6"/>
      <c r="JB660" s="6"/>
      <c r="JC660" s="6"/>
      <c r="JD660" s="6"/>
      <c r="JE660" s="6"/>
      <c r="JF660" s="6"/>
      <c r="JG660" s="6"/>
      <c r="JH660" s="6"/>
      <c r="JI660" s="6"/>
      <c r="JJ660" s="6"/>
      <c r="JK660" s="6"/>
      <c r="JL660" s="6"/>
      <c r="JM660" s="6"/>
      <c r="JN660" s="6"/>
      <c r="JO660" s="6"/>
      <c r="JP660" s="6"/>
      <c r="JQ660" s="6"/>
      <c r="JR660" s="6"/>
      <c r="JS660" s="6"/>
      <c r="JT660" s="6"/>
      <c r="JU660" s="6"/>
      <c r="JV660" s="6"/>
      <c r="JW660" s="6"/>
      <c r="JX660" s="6"/>
      <c r="JY660" s="6"/>
      <c r="JZ660" s="6"/>
      <c r="KA660" s="6"/>
      <c r="KB660" s="6"/>
      <c r="KC660" s="6"/>
      <c r="KD660" s="6"/>
      <c r="KE660" s="6"/>
      <c r="KF660" s="6"/>
      <c r="KG660" s="6"/>
      <c r="KH660" s="6"/>
      <c r="KI660" s="6"/>
      <c r="KJ660" s="6"/>
      <c r="KK660" s="6"/>
      <c r="KL660" s="6"/>
      <c r="KM660" s="6"/>
      <c r="KN660" s="6"/>
      <c r="KO660" s="6"/>
      <c r="KP660" s="6"/>
      <c r="KQ660" s="6"/>
      <c r="KR660" s="6"/>
      <c r="KS660" s="6"/>
      <c r="KT660" s="6"/>
      <c r="KU660" s="6"/>
      <c r="KV660" s="6"/>
      <c r="KW660" s="6"/>
      <c r="KX660" s="6"/>
      <c r="KY660" s="6"/>
      <c r="KZ660" s="6"/>
      <c r="LA660" s="6"/>
      <c r="LB660" s="6"/>
      <c r="LC660" s="6"/>
      <c r="LD660" s="6"/>
      <c r="LE660" s="6"/>
      <c r="LF660" s="6"/>
      <c r="LG660" s="6"/>
      <c r="LH660" s="6"/>
      <c r="LI660" s="6"/>
      <c r="LJ660" s="6"/>
      <c r="LK660" s="6"/>
      <c r="LL660" s="6"/>
      <c r="LM660" s="6"/>
      <c r="LN660" s="6"/>
      <c r="LO660" s="6"/>
      <c r="LP660" s="6"/>
      <c r="LQ660" s="6"/>
      <c r="LR660" s="6"/>
      <c r="LS660" s="6"/>
      <c r="LT660" s="6"/>
      <c r="LU660" s="6"/>
      <c r="LV660" s="6"/>
      <c r="LW660" s="6"/>
      <c r="LX660" s="6"/>
      <c r="LY660" s="6"/>
      <c r="LZ660" s="6"/>
      <c r="MA660" s="6"/>
      <c r="MB660" s="6"/>
      <c r="MC660" s="6"/>
      <c r="MD660" s="6"/>
      <c r="ME660" s="6"/>
      <c r="MF660" s="6"/>
      <c r="MG660" s="6"/>
      <c r="MH660" s="6"/>
      <c r="MI660" s="6"/>
      <c r="MJ660" s="6"/>
      <c r="MK660" s="6"/>
      <c r="ML660" s="6"/>
      <c r="MM660" s="6"/>
      <c r="MN660" s="6"/>
      <c r="MO660" s="6"/>
      <c r="MP660" s="6"/>
      <c r="MQ660" s="6"/>
      <c r="MR660" s="6"/>
      <c r="MS660" s="6"/>
      <c r="MT660" s="6"/>
      <c r="MU660" s="6"/>
      <c r="MV660" s="6"/>
      <c r="MW660" s="6"/>
      <c r="MX660" s="6"/>
      <c r="MY660" s="6"/>
      <c r="MZ660" s="6"/>
      <c r="NA660" s="6"/>
      <c r="NB660" s="6"/>
      <c r="NC660" s="6"/>
      <c r="ND660" s="6"/>
      <c r="NE660" s="6"/>
      <c r="NF660" s="6"/>
      <c r="NG660" s="6"/>
      <c r="NH660" s="6"/>
      <c r="NI660" s="6"/>
      <c r="NJ660" s="6"/>
      <c r="NK660" s="6"/>
      <c r="NL660" s="6"/>
      <c r="NM660" s="6"/>
      <c r="NN660" s="6"/>
      <c r="NO660" s="6"/>
      <c r="NP660" s="6"/>
      <c r="NQ660" s="6"/>
      <c r="NR660" s="6"/>
      <c r="NS660" s="6"/>
      <c r="NT660" s="6"/>
      <c r="NU660" s="6"/>
      <c r="NV660" s="6"/>
    </row>
    <row r="661" spans="1:386" s="19" customFormat="1" ht="20.100000000000001" customHeight="1" x14ac:dyDescent="0.35">
      <c r="A661" s="1"/>
      <c r="B661" s="2"/>
      <c r="C661" s="3"/>
      <c r="D661" s="2"/>
      <c r="E661" s="2"/>
      <c r="F661" s="4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7"/>
      <c r="AR661" s="304"/>
      <c r="AS661" s="7"/>
      <c r="AT661" s="7"/>
      <c r="AU661" s="7"/>
      <c r="AV661" s="7"/>
      <c r="AW661" s="304"/>
      <c r="AX661" s="7"/>
      <c r="AY661" s="7"/>
      <c r="AZ661" s="7"/>
      <c r="BA661" s="304"/>
      <c r="BB661" s="304"/>
      <c r="BC661" s="304"/>
      <c r="BD661" s="304"/>
      <c r="BE661" s="304"/>
      <c r="BF661" s="304"/>
      <c r="BG661" s="304"/>
      <c r="BH661" s="304"/>
      <c r="BI661" s="304"/>
      <c r="BJ661" s="304"/>
      <c r="BK661" s="304"/>
      <c r="BL661" s="304"/>
      <c r="BM661" s="304"/>
      <c r="BN661" s="304"/>
      <c r="BO661" s="304"/>
      <c r="BP661" s="304"/>
      <c r="BQ661" s="304"/>
      <c r="BR661" s="304"/>
      <c r="BS661" s="304"/>
      <c r="BT661" s="304"/>
      <c r="BU661" s="304"/>
      <c r="BV661" s="304"/>
      <c r="BW661" s="304"/>
      <c r="BX661" s="304"/>
      <c r="BY661" s="304"/>
      <c r="BZ661" s="304"/>
      <c r="CA661" s="304"/>
      <c r="CB661" s="304"/>
      <c r="CC661" s="304"/>
      <c r="CD661" s="304"/>
      <c r="CE661" s="304"/>
      <c r="CF661" s="304"/>
      <c r="CG661" s="304"/>
      <c r="CH661" s="304"/>
      <c r="CI661" s="304"/>
      <c r="CJ661" s="304"/>
      <c r="CK661" s="304"/>
      <c r="CL661" s="304"/>
      <c r="CM661" s="304"/>
      <c r="CN661" s="304"/>
      <c r="CO661" s="304"/>
      <c r="CP661" s="304"/>
      <c r="CQ661" s="304"/>
      <c r="CR661" s="304"/>
      <c r="CS661" s="304"/>
      <c r="CT661" s="304"/>
      <c r="CU661" s="304"/>
      <c r="CV661" s="304"/>
      <c r="CW661" s="304"/>
      <c r="CX661" s="304"/>
      <c r="CY661" s="304"/>
      <c r="CZ661" s="304"/>
      <c r="DA661" s="304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9"/>
      <c r="FL661" s="9"/>
      <c r="FM661" s="9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135"/>
      <c r="IK661" s="135"/>
      <c r="IL661" s="135"/>
      <c r="IN661" s="6"/>
      <c r="IO661" s="6"/>
      <c r="IP661" s="6"/>
      <c r="IQ661" s="6"/>
      <c r="IR661" s="6"/>
      <c r="IS661" s="6"/>
      <c r="IT661" s="6"/>
      <c r="IU661" s="6"/>
      <c r="IV661" s="6"/>
      <c r="IW661" s="6"/>
      <c r="IX661" s="6"/>
      <c r="IY661" s="6"/>
      <c r="IZ661" s="6"/>
      <c r="JA661" s="6"/>
      <c r="JB661" s="6"/>
      <c r="JC661" s="6"/>
      <c r="JD661" s="6"/>
      <c r="JE661" s="6"/>
      <c r="JF661" s="6"/>
      <c r="JG661" s="6"/>
      <c r="JH661" s="6"/>
      <c r="JI661" s="6"/>
      <c r="JJ661" s="6"/>
      <c r="JK661" s="6"/>
      <c r="JL661" s="6"/>
      <c r="JM661" s="6"/>
      <c r="JN661" s="6"/>
      <c r="JO661" s="6"/>
      <c r="JP661" s="6"/>
      <c r="JQ661" s="6"/>
      <c r="JR661" s="6"/>
      <c r="JS661" s="6"/>
      <c r="JT661" s="6"/>
      <c r="JU661" s="6"/>
      <c r="JV661" s="6"/>
      <c r="JW661" s="6"/>
      <c r="JX661" s="6"/>
      <c r="JY661" s="6"/>
      <c r="JZ661" s="6"/>
      <c r="KA661" s="6"/>
      <c r="KB661" s="6"/>
      <c r="KC661" s="6"/>
      <c r="KD661" s="6"/>
      <c r="KE661" s="6"/>
      <c r="KF661" s="6"/>
      <c r="KG661" s="6"/>
      <c r="KH661" s="6"/>
      <c r="KI661" s="6"/>
      <c r="KJ661" s="6"/>
      <c r="KK661" s="6"/>
      <c r="KL661" s="6"/>
      <c r="KM661" s="6"/>
      <c r="KN661" s="6"/>
      <c r="KO661" s="6"/>
      <c r="KP661" s="6"/>
      <c r="KQ661" s="6"/>
      <c r="KR661" s="6"/>
      <c r="KS661" s="6"/>
      <c r="KT661" s="6"/>
      <c r="KU661" s="6"/>
      <c r="KV661" s="6"/>
      <c r="KW661" s="6"/>
      <c r="KX661" s="6"/>
      <c r="KY661" s="6"/>
      <c r="KZ661" s="6"/>
      <c r="LA661" s="6"/>
      <c r="LB661" s="6"/>
      <c r="LC661" s="6"/>
      <c r="LD661" s="6"/>
      <c r="LE661" s="6"/>
      <c r="LF661" s="6"/>
      <c r="LG661" s="6"/>
      <c r="LH661" s="6"/>
      <c r="LI661" s="6"/>
      <c r="LJ661" s="6"/>
      <c r="LK661" s="6"/>
      <c r="LL661" s="6"/>
      <c r="LM661" s="6"/>
      <c r="LN661" s="6"/>
      <c r="LO661" s="6"/>
      <c r="LP661" s="6"/>
      <c r="LQ661" s="6"/>
      <c r="LR661" s="6"/>
      <c r="LS661" s="6"/>
      <c r="LT661" s="6"/>
      <c r="LU661" s="6"/>
      <c r="LV661" s="6"/>
      <c r="LW661" s="6"/>
      <c r="LX661" s="6"/>
      <c r="LY661" s="6"/>
      <c r="LZ661" s="6"/>
      <c r="MA661" s="6"/>
      <c r="MB661" s="6"/>
      <c r="MC661" s="6"/>
      <c r="MD661" s="6"/>
      <c r="ME661" s="6"/>
      <c r="MF661" s="6"/>
      <c r="MG661" s="6"/>
      <c r="MH661" s="6"/>
      <c r="MI661" s="6"/>
      <c r="MJ661" s="6"/>
      <c r="MK661" s="6"/>
      <c r="ML661" s="6"/>
      <c r="MM661" s="6"/>
      <c r="MN661" s="6"/>
      <c r="MO661" s="6"/>
      <c r="MP661" s="6"/>
      <c r="MQ661" s="6"/>
      <c r="MR661" s="6"/>
      <c r="MS661" s="6"/>
      <c r="MT661" s="6"/>
      <c r="MU661" s="6"/>
      <c r="MV661" s="6"/>
      <c r="MW661" s="6"/>
      <c r="MX661" s="6"/>
      <c r="MY661" s="6"/>
      <c r="MZ661" s="6"/>
      <c r="NA661" s="6"/>
      <c r="NB661" s="6"/>
      <c r="NC661" s="6"/>
      <c r="ND661" s="6"/>
      <c r="NE661" s="6"/>
      <c r="NF661" s="6"/>
      <c r="NG661" s="6"/>
      <c r="NH661" s="6"/>
      <c r="NI661" s="6"/>
      <c r="NJ661" s="6"/>
      <c r="NK661" s="6"/>
      <c r="NL661" s="6"/>
      <c r="NM661" s="6"/>
      <c r="NN661" s="6"/>
      <c r="NO661" s="6"/>
      <c r="NP661" s="6"/>
      <c r="NQ661" s="6"/>
      <c r="NR661" s="6"/>
      <c r="NS661" s="6"/>
      <c r="NT661" s="6"/>
      <c r="NU661" s="6"/>
      <c r="NV661" s="6"/>
    </row>
    <row r="662" spans="1:386" s="19" customFormat="1" ht="20.100000000000001" customHeight="1" x14ac:dyDescent="0.35">
      <c r="A662" s="1"/>
      <c r="B662" s="2"/>
      <c r="C662" s="3"/>
      <c r="D662" s="2"/>
      <c r="E662" s="2"/>
      <c r="F662" s="4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7"/>
      <c r="AR662" s="304"/>
      <c r="AS662" s="7"/>
      <c r="AT662" s="7"/>
      <c r="AU662" s="7"/>
      <c r="AV662" s="7"/>
      <c r="AW662" s="304"/>
      <c r="AX662" s="7"/>
      <c r="AY662" s="7"/>
      <c r="AZ662" s="7"/>
      <c r="BA662" s="304"/>
      <c r="BB662" s="304"/>
      <c r="BC662" s="304"/>
      <c r="BD662" s="304"/>
      <c r="BE662" s="304"/>
      <c r="BF662" s="304"/>
      <c r="BG662" s="304"/>
      <c r="BH662" s="304"/>
      <c r="BI662" s="304"/>
      <c r="BJ662" s="304"/>
      <c r="BK662" s="304"/>
      <c r="BL662" s="304"/>
      <c r="BM662" s="304"/>
      <c r="BN662" s="304"/>
      <c r="BO662" s="304"/>
      <c r="BP662" s="304"/>
      <c r="BQ662" s="304"/>
      <c r="BR662" s="304"/>
      <c r="BS662" s="304"/>
      <c r="BT662" s="304"/>
      <c r="BU662" s="304"/>
      <c r="BV662" s="304"/>
      <c r="BW662" s="304"/>
      <c r="BX662" s="304"/>
      <c r="BY662" s="304"/>
      <c r="BZ662" s="304"/>
      <c r="CA662" s="304"/>
      <c r="CB662" s="304"/>
      <c r="CC662" s="304"/>
      <c r="CD662" s="304"/>
      <c r="CE662" s="304"/>
      <c r="CF662" s="304"/>
      <c r="CG662" s="304"/>
      <c r="CH662" s="304"/>
      <c r="CI662" s="304"/>
      <c r="CJ662" s="304"/>
      <c r="CK662" s="304"/>
      <c r="CL662" s="304"/>
      <c r="CM662" s="304"/>
      <c r="CN662" s="304"/>
      <c r="CO662" s="304"/>
      <c r="CP662" s="304"/>
      <c r="CQ662" s="304"/>
      <c r="CR662" s="304"/>
      <c r="CS662" s="304"/>
      <c r="CT662" s="304"/>
      <c r="CU662" s="304"/>
      <c r="CV662" s="304"/>
      <c r="CW662" s="304"/>
      <c r="CX662" s="304"/>
      <c r="CY662" s="304"/>
      <c r="CZ662" s="304"/>
      <c r="DA662" s="304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9"/>
      <c r="FL662" s="9"/>
      <c r="FM662" s="9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135"/>
      <c r="IK662" s="135"/>
      <c r="IL662" s="135"/>
      <c r="IN662" s="6"/>
      <c r="IO662" s="6"/>
      <c r="IP662" s="6"/>
      <c r="IQ662" s="6"/>
      <c r="IR662" s="6"/>
      <c r="IS662" s="6"/>
      <c r="IT662" s="6"/>
      <c r="IU662" s="6"/>
      <c r="IV662" s="6"/>
      <c r="IW662" s="6"/>
      <c r="IX662" s="6"/>
      <c r="IY662" s="6"/>
      <c r="IZ662" s="6"/>
      <c r="JA662" s="6"/>
      <c r="JB662" s="6"/>
      <c r="JC662" s="6"/>
      <c r="JD662" s="6"/>
      <c r="JE662" s="6"/>
      <c r="JF662" s="6"/>
      <c r="JG662" s="6"/>
      <c r="JH662" s="6"/>
      <c r="JI662" s="6"/>
      <c r="JJ662" s="6"/>
      <c r="JK662" s="6"/>
      <c r="JL662" s="6"/>
      <c r="JM662" s="6"/>
      <c r="JN662" s="6"/>
      <c r="JO662" s="6"/>
      <c r="JP662" s="6"/>
      <c r="JQ662" s="6"/>
      <c r="JR662" s="6"/>
      <c r="JS662" s="6"/>
      <c r="JT662" s="6"/>
      <c r="JU662" s="6"/>
      <c r="JV662" s="6"/>
      <c r="JW662" s="6"/>
      <c r="JX662" s="6"/>
      <c r="JY662" s="6"/>
      <c r="JZ662" s="6"/>
      <c r="KA662" s="6"/>
      <c r="KB662" s="6"/>
      <c r="KC662" s="6"/>
      <c r="KD662" s="6"/>
      <c r="KE662" s="6"/>
      <c r="KF662" s="6"/>
      <c r="KG662" s="6"/>
      <c r="KH662" s="6"/>
      <c r="KI662" s="6"/>
      <c r="KJ662" s="6"/>
      <c r="KK662" s="6"/>
      <c r="KL662" s="6"/>
      <c r="KM662" s="6"/>
      <c r="KN662" s="6"/>
      <c r="KO662" s="6"/>
      <c r="KP662" s="6"/>
      <c r="KQ662" s="6"/>
      <c r="KR662" s="6"/>
      <c r="KS662" s="6"/>
      <c r="KT662" s="6"/>
      <c r="KU662" s="6"/>
      <c r="KV662" s="6"/>
      <c r="KW662" s="6"/>
      <c r="KX662" s="6"/>
      <c r="KY662" s="6"/>
      <c r="KZ662" s="6"/>
      <c r="LA662" s="6"/>
      <c r="LB662" s="6"/>
      <c r="LC662" s="6"/>
      <c r="LD662" s="6"/>
      <c r="LE662" s="6"/>
      <c r="LF662" s="6"/>
      <c r="LG662" s="6"/>
      <c r="LH662" s="6"/>
      <c r="LI662" s="6"/>
      <c r="LJ662" s="6"/>
      <c r="LK662" s="6"/>
      <c r="LL662" s="6"/>
      <c r="LM662" s="6"/>
      <c r="LN662" s="6"/>
      <c r="LO662" s="6"/>
      <c r="LP662" s="6"/>
      <c r="LQ662" s="6"/>
      <c r="LR662" s="6"/>
      <c r="LS662" s="6"/>
      <c r="LT662" s="6"/>
      <c r="LU662" s="6"/>
      <c r="LV662" s="6"/>
      <c r="LW662" s="6"/>
      <c r="LX662" s="6"/>
      <c r="LY662" s="6"/>
      <c r="LZ662" s="6"/>
      <c r="MA662" s="6"/>
      <c r="MB662" s="6"/>
      <c r="MC662" s="6"/>
      <c r="MD662" s="6"/>
      <c r="ME662" s="6"/>
      <c r="MF662" s="6"/>
      <c r="MG662" s="6"/>
      <c r="MH662" s="6"/>
      <c r="MI662" s="6"/>
      <c r="MJ662" s="6"/>
      <c r="MK662" s="6"/>
      <c r="ML662" s="6"/>
      <c r="MM662" s="6"/>
      <c r="MN662" s="6"/>
      <c r="MO662" s="6"/>
      <c r="MP662" s="6"/>
      <c r="MQ662" s="6"/>
      <c r="MR662" s="6"/>
      <c r="MS662" s="6"/>
      <c r="MT662" s="6"/>
      <c r="MU662" s="6"/>
      <c r="MV662" s="6"/>
      <c r="MW662" s="6"/>
      <c r="MX662" s="6"/>
      <c r="MY662" s="6"/>
      <c r="MZ662" s="6"/>
      <c r="NA662" s="6"/>
      <c r="NB662" s="6"/>
      <c r="NC662" s="6"/>
      <c r="ND662" s="6"/>
      <c r="NE662" s="6"/>
      <c r="NF662" s="6"/>
      <c r="NG662" s="6"/>
      <c r="NH662" s="6"/>
      <c r="NI662" s="6"/>
      <c r="NJ662" s="6"/>
      <c r="NK662" s="6"/>
      <c r="NL662" s="6"/>
      <c r="NM662" s="6"/>
      <c r="NN662" s="6"/>
      <c r="NO662" s="6"/>
      <c r="NP662" s="6"/>
      <c r="NQ662" s="6"/>
      <c r="NR662" s="6"/>
      <c r="NS662" s="6"/>
      <c r="NT662" s="6"/>
      <c r="NU662" s="6"/>
      <c r="NV662" s="6"/>
    </row>
    <row r="663" spans="1:386" s="19" customFormat="1" ht="20.100000000000001" customHeight="1" x14ac:dyDescent="0.35">
      <c r="A663" s="1"/>
      <c r="B663" s="2"/>
      <c r="C663" s="3"/>
      <c r="D663" s="2"/>
      <c r="E663" s="2"/>
      <c r="F663" s="4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7"/>
      <c r="AR663" s="304"/>
      <c r="AS663" s="7"/>
      <c r="AT663" s="7"/>
      <c r="AU663" s="7"/>
      <c r="AV663" s="7"/>
      <c r="AW663" s="304"/>
      <c r="AX663" s="7"/>
      <c r="AY663" s="7"/>
      <c r="AZ663" s="7"/>
      <c r="BA663" s="304"/>
      <c r="BB663" s="304"/>
      <c r="BC663" s="304"/>
      <c r="BD663" s="304"/>
      <c r="BE663" s="304"/>
      <c r="BF663" s="304"/>
      <c r="BG663" s="304"/>
      <c r="BH663" s="304"/>
      <c r="BI663" s="304"/>
      <c r="BJ663" s="304"/>
      <c r="BK663" s="304"/>
      <c r="BL663" s="304"/>
      <c r="BM663" s="304"/>
      <c r="BN663" s="304"/>
      <c r="BO663" s="304"/>
      <c r="BP663" s="304"/>
      <c r="BQ663" s="304"/>
      <c r="BR663" s="304"/>
      <c r="BS663" s="304"/>
      <c r="BT663" s="304"/>
      <c r="BU663" s="304"/>
      <c r="BV663" s="304"/>
      <c r="BW663" s="304"/>
      <c r="BX663" s="304"/>
      <c r="BY663" s="304"/>
      <c r="BZ663" s="304"/>
      <c r="CA663" s="304"/>
      <c r="CB663" s="304"/>
      <c r="CC663" s="304"/>
      <c r="CD663" s="304"/>
      <c r="CE663" s="304"/>
      <c r="CF663" s="304"/>
      <c r="CG663" s="304"/>
      <c r="CH663" s="304"/>
      <c r="CI663" s="304"/>
      <c r="CJ663" s="304"/>
      <c r="CK663" s="304"/>
      <c r="CL663" s="304"/>
      <c r="CM663" s="304"/>
      <c r="CN663" s="304"/>
      <c r="CO663" s="304"/>
      <c r="CP663" s="304"/>
      <c r="CQ663" s="304"/>
      <c r="CR663" s="304"/>
      <c r="CS663" s="304"/>
      <c r="CT663" s="304"/>
      <c r="CU663" s="304"/>
      <c r="CV663" s="304"/>
      <c r="CW663" s="304"/>
      <c r="CX663" s="304"/>
      <c r="CY663" s="304"/>
      <c r="CZ663" s="304"/>
      <c r="DA663" s="304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9"/>
      <c r="FL663" s="9"/>
      <c r="FM663" s="9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135"/>
      <c r="IK663" s="135"/>
      <c r="IL663" s="135"/>
      <c r="IN663" s="6"/>
      <c r="IO663" s="6"/>
      <c r="IP663" s="6"/>
      <c r="IQ663" s="6"/>
      <c r="IR663" s="6"/>
      <c r="IS663" s="6"/>
      <c r="IT663" s="6"/>
      <c r="IU663" s="6"/>
      <c r="IV663" s="6"/>
      <c r="IW663" s="6"/>
      <c r="IX663" s="6"/>
      <c r="IY663" s="6"/>
      <c r="IZ663" s="6"/>
      <c r="JA663" s="6"/>
      <c r="JB663" s="6"/>
      <c r="JC663" s="6"/>
      <c r="JD663" s="6"/>
      <c r="JE663" s="6"/>
      <c r="JF663" s="6"/>
      <c r="JG663" s="6"/>
      <c r="JH663" s="6"/>
      <c r="JI663" s="6"/>
      <c r="JJ663" s="6"/>
      <c r="JK663" s="6"/>
      <c r="JL663" s="6"/>
      <c r="JM663" s="6"/>
      <c r="JN663" s="6"/>
      <c r="JO663" s="6"/>
      <c r="JP663" s="6"/>
      <c r="JQ663" s="6"/>
      <c r="JR663" s="6"/>
      <c r="JS663" s="6"/>
      <c r="JT663" s="6"/>
      <c r="JU663" s="6"/>
      <c r="JV663" s="6"/>
      <c r="JW663" s="6"/>
      <c r="JX663" s="6"/>
      <c r="JY663" s="6"/>
      <c r="JZ663" s="6"/>
      <c r="KA663" s="6"/>
      <c r="KB663" s="6"/>
      <c r="KC663" s="6"/>
      <c r="KD663" s="6"/>
      <c r="KE663" s="6"/>
      <c r="KF663" s="6"/>
      <c r="KG663" s="6"/>
      <c r="KH663" s="6"/>
      <c r="KI663" s="6"/>
      <c r="KJ663" s="6"/>
      <c r="KK663" s="6"/>
      <c r="KL663" s="6"/>
      <c r="KM663" s="6"/>
      <c r="KN663" s="6"/>
      <c r="KO663" s="6"/>
      <c r="KP663" s="6"/>
      <c r="KQ663" s="6"/>
      <c r="KR663" s="6"/>
      <c r="KS663" s="6"/>
      <c r="KT663" s="6"/>
      <c r="KU663" s="6"/>
      <c r="KV663" s="6"/>
      <c r="KW663" s="6"/>
      <c r="KX663" s="6"/>
      <c r="KY663" s="6"/>
      <c r="KZ663" s="6"/>
      <c r="LA663" s="6"/>
      <c r="LB663" s="6"/>
      <c r="LC663" s="6"/>
      <c r="LD663" s="6"/>
      <c r="LE663" s="6"/>
      <c r="LF663" s="6"/>
      <c r="LG663" s="6"/>
      <c r="LH663" s="6"/>
      <c r="LI663" s="6"/>
      <c r="LJ663" s="6"/>
      <c r="LK663" s="6"/>
      <c r="LL663" s="6"/>
      <c r="LM663" s="6"/>
      <c r="LN663" s="6"/>
      <c r="LO663" s="6"/>
      <c r="LP663" s="6"/>
      <c r="LQ663" s="6"/>
      <c r="LR663" s="6"/>
      <c r="LS663" s="6"/>
      <c r="LT663" s="6"/>
      <c r="LU663" s="6"/>
      <c r="LV663" s="6"/>
      <c r="LW663" s="6"/>
      <c r="LX663" s="6"/>
      <c r="LY663" s="6"/>
      <c r="LZ663" s="6"/>
      <c r="MA663" s="6"/>
      <c r="MB663" s="6"/>
      <c r="MC663" s="6"/>
      <c r="MD663" s="6"/>
      <c r="ME663" s="6"/>
      <c r="MF663" s="6"/>
      <c r="MG663" s="6"/>
      <c r="MH663" s="6"/>
      <c r="MI663" s="6"/>
      <c r="MJ663" s="6"/>
      <c r="MK663" s="6"/>
      <c r="ML663" s="6"/>
      <c r="MM663" s="6"/>
      <c r="MN663" s="6"/>
      <c r="MO663" s="6"/>
      <c r="MP663" s="6"/>
      <c r="MQ663" s="6"/>
      <c r="MR663" s="6"/>
      <c r="MS663" s="6"/>
      <c r="MT663" s="6"/>
      <c r="MU663" s="6"/>
      <c r="MV663" s="6"/>
      <c r="MW663" s="6"/>
      <c r="MX663" s="6"/>
      <c r="MY663" s="6"/>
      <c r="MZ663" s="6"/>
      <c r="NA663" s="6"/>
      <c r="NB663" s="6"/>
      <c r="NC663" s="6"/>
      <c r="ND663" s="6"/>
      <c r="NE663" s="6"/>
      <c r="NF663" s="6"/>
      <c r="NG663" s="6"/>
      <c r="NH663" s="6"/>
      <c r="NI663" s="6"/>
      <c r="NJ663" s="6"/>
      <c r="NK663" s="6"/>
      <c r="NL663" s="6"/>
      <c r="NM663" s="6"/>
      <c r="NN663" s="6"/>
      <c r="NO663" s="6"/>
      <c r="NP663" s="6"/>
      <c r="NQ663" s="6"/>
      <c r="NR663" s="6"/>
      <c r="NS663" s="6"/>
      <c r="NT663" s="6"/>
      <c r="NU663" s="6"/>
      <c r="NV663" s="6"/>
    </row>
    <row r="664" spans="1:386" s="19" customFormat="1" ht="20.100000000000001" customHeight="1" x14ac:dyDescent="0.35">
      <c r="A664" s="1"/>
      <c r="B664" s="2"/>
      <c r="C664" s="3"/>
      <c r="D664" s="2"/>
      <c r="E664" s="2"/>
      <c r="F664" s="4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7"/>
      <c r="AR664" s="304"/>
      <c r="AS664" s="7"/>
      <c r="AT664" s="7"/>
      <c r="AU664" s="7"/>
      <c r="AV664" s="7"/>
      <c r="AW664" s="304"/>
      <c r="AX664" s="7"/>
      <c r="AY664" s="7"/>
      <c r="AZ664" s="7"/>
      <c r="BA664" s="304"/>
      <c r="BB664" s="304"/>
      <c r="BC664" s="304"/>
      <c r="BD664" s="304"/>
      <c r="BE664" s="304"/>
      <c r="BF664" s="304"/>
      <c r="BG664" s="304"/>
      <c r="BH664" s="304"/>
      <c r="BI664" s="304"/>
      <c r="BJ664" s="304"/>
      <c r="BK664" s="304"/>
      <c r="BL664" s="304"/>
      <c r="BM664" s="304"/>
      <c r="BN664" s="304"/>
      <c r="BO664" s="304"/>
      <c r="BP664" s="304"/>
      <c r="BQ664" s="304"/>
      <c r="BR664" s="304"/>
      <c r="BS664" s="304"/>
      <c r="BT664" s="304"/>
      <c r="BU664" s="304"/>
      <c r="BV664" s="304"/>
      <c r="BW664" s="304"/>
      <c r="BX664" s="304"/>
      <c r="BY664" s="304"/>
      <c r="BZ664" s="304"/>
      <c r="CA664" s="304"/>
      <c r="CB664" s="304"/>
      <c r="CC664" s="304"/>
      <c r="CD664" s="304"/>
      <c r="CE664" s="304"/>
      <c r="CF664" s="304"/>
      <c r="CG664" s="304"/>
      <c r="CH664" s="304"/>
      <c r="CI664" s="304"/>
      <c r="CJ664" s="304"/>
      <c r="CK664" s="304"/>
      <c r="CL664" s="304"/>
      <c r="CM664" s="304"/>
      <c r="CN664" s="304"/>
      <c r="CO664" s="304"/>
      <c r="CP664" s="304"/>
      <c r="CQ664" s="304"/>
      <c r="CR664" s="304"/>
      <c r="CS664" s="304"/>
      <c r="CT664" s="304"/>
      <c r="CU664" s="304"/>
      <c r="CV664" s="304"/>
      <c r="CW664" s="304"/>
      <c r="CX664" s="304"/>
      <c r="CY664" s="304"/>
      <c r="CZ664" s="304"/>
      <c r="DA664" s="304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9"/>
      <c r="FL664" s="9"/>
      <c r="FM664" s="9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135"/>
      <c r="IK664" s="135"/>
      <c r="IL664" s="135"/>
      <c r="IN664" s="6"/>
      <c r="IO664" s="6"/>
      <c r="IP664" s="6"/>
      <c r="IQ664" s="6"/>
      <c r="IR664" s="6"/>
      <c r="IS664" s="6"/>
      <c r="IT664" s="6"/>
      <c r="IU664" s="6"/>
      <c r="IV664" s="6"/>
      <c r="IW664" s="6"/>
      <c r="IX664" s="6"/>
      <c r="IY664" s="6"/>
      <c r="IZ664" s="6"/>
      <c r="JA664" s="6"/>
      <c r="JB664" s="6"/>
      <c r="JC664" s="6"/>
      <c r="JD664" s="6"/>
      <c r="JE664" s="6"/>
      <c r="JF664" s="6"/>
      <c r="JG664" s="6"/>
      <c r="JH664" s="6"/>
      <c r="JI664" s="6"/>
      <c r="JJ664" s="6"/>
      <c r="JK664" s="6"/>
      <c r="JL664" s="6"/>
      <c r="JM664" s="6"/>
      <c r="JN664" s="6"/>
      <c r="JO664" s="6"/>
      <c r="JP664" s="6"/>
      <c r="JQ664" s="6"/>
      <c r="JR664" s="6"/>
      <c r="JS664" s="6"/>
      <c r="JT664" s="6"/>
      <c r="JU664" s="6"/>
      <c r="JV664" s="6"/>
      <c r="JW664" s="6"/>
      <c r="JX664" s="6"/>
      <c r="JY664" s="6"/>
      <c r="JZ664" s="6"/>
      <c r="KA664" s="6"/>
      <c r="KB664" s="6"/>
      <c r="KC664" s="6"/>
      <c r="KD664" s="6"/>
      <c r="KE664" s="6"/>
      <c r="KF664" s="6"/>
      <c r="KG664" s="6"/>
      <c r="KH664" s="6"/>
      <c r="KI664" s="6"/>
      <c r="KJ664" s="6"/>
      <c r="KK664" s="6"/>
      <c r="KL664" s="6"/>
      <c r="KM664" s="6"/>
      <c r="KN664" s="6"/>
      <c r="KO664" s="6"/>
      <c r="KP664" s="6"/>
      <c r="KQ664" s="6"/>
      <c r="KR664" s="6"/>
      <c r="KS664" s="6"/>
      <c r="KT664" s="6"/>
      <c r="KU664" s="6"/>
      <c r="KV664" s="6"/>
      <c r="KW664" s="6"/>
      <c r="KX664" s="6"/>
      <c r="KY664" s="6"/>
      <c r="KZ664" s="6"/>
      <c r="LA664" s="6"/>
      <c r="LB664" s="6"/>
      <c r="LC664" s="6"/>
      <c r="LD664" s="6"/>
      <c r="LE664" s="6"/>
      <c r="LF664" s="6"/>
      <c r="LG664" s="6"/>
      <c r="LH664" s="6"/>
      <c r="LI664" s="6"/>
      <c r="LJ664" s="6"/>
      <c r="LK664" s="6"/>
      <c r="LL664" s="6"/>
      <c r="LM664" s="6"/>
      <c r="LN664" s="6"/>
      <c r="LO664" s="6"/>
      <c r="LP664" s="6"/>
      <c r="LQ664" s="6"/>
      <c r="LR664" s="6"/>
      <c r="LS664" s="6"/>
      <c r="LT664" s="6"/>
      <c r="LU664" s="6"/>
      <c r="LV664" s="6"/>
      <c r="LW664" s="6"/>
      <c r="LX664" s="6"/>
      <c r="LY664" s="6"/>
      <c r="LZ664" s="6"/>
      <c r="MA664" s="6"/>
      <c r="MB664" s="6"/>
      <c r="MC664" s="6"/>
      <c r="MD664" s="6"/>
      <c r="ME664" s="6"/>
      <c r="MF664" s="6"/>
      <c r="MG664" s="6"/>
      <c r="MH664" s="6"/>
      <c r="MI664" s="6"/>
      <c r="MJ664" s="6"/>
      <c r="MK664" s="6"/>
      <c r="ML664" s="6"/>
      <c r="MM664" s="6"/>
      <c r="MN664" s="6"/>
      <c r="MO664" s="6"/>
      <c r="MP664" s="6"/>
      <c r="MQ664" s="6"/>
      <c r="MR664" s="6"/>
      <c r="MS664" s="6"/>
      <c r="MT664" s="6"/>
      <c r="MU664" s="6"/>
      <c r="MV664" s="6"/>
      <c r="MW664" s="6"/>
      <c r="MX664" s="6"/>
      <c r="MY664" s="6"/>
      <c r="MZ664" s="6"/>
      <c r="NA664" s="6"/>
      <c r="NB664" s="6"/>
      <c r="NC664" s="6"/>
      <c r="ND664" s="6"/>
      <c r="NE664" s="6"/>
      <c r="NF664" s="6"/>
      <c r="NG664" s="6"/>
      <c r="NH664" s="6"/>
      <c r="NI664" s="6"/>
      <c r="NJ664" s="6"/>
      <c r="NK664" s="6"/>
      <c r="NL664" s="6"/>
      <c r="NM664" s="6"/>
      <c r="NN664" s="6"/>
      <c r="NO664" s="6"/>
      <c r="NP664" s="6"/>
      <c r="NQ664" s="6"/>
      <c r="NR664" s="6"/>
      <c r="NS664" s="6"/>
      <c r="NT664" s="6"/>
      <c r="NU664" s="6"/>
      <c r="NV664" s="6"/>
    </row>
    <row r="665" spans="1:386" s="19" customFormat="1" ht="20.100000000000001" customHeight="1" x14ac:dyDescent="0.35">
      <c r="A665" s="1"/>
      <c r="B665" s="2"/>
      <c r="C665" s="3"/>
      <c r="D665" s="2"/>
      <c r="E665" s="2"/>
      <c r="F665" s="4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7"/>
      <c r="AR665" s="304"/>
      <c r="AS665" s="7"/>
      <c r="AT665" s="7"/>
      <c r="AU665" s="7"/>
      <c r="AV665" s="7"/>
      <c r="AW665" s="304"/>
      <c r="AX665" s="7"/>
      <c r="AY665" s="7"/>
      <c r="AZ665" s="7"/>
      <c r="BA665" s="304"/>
      <c r="BB665" s="304"/>
      <c r="BC665" s="304"/>
      <c r="BD665" s="304"/>
      <c r="BE665" s="304"/>
      <c r="BF665" s="304"/>
      <c r="BG665" s="304"/>
      <c r="BH665" s="304"/>
      <c r="BI665" s="304"/>
      <c r="BJ665" s="304"/>
      <c r="BK665" s="304"/>
      <c r="BL665" s="304"/>
      <c r="BM665" s="304"/>
      <c r="BN665" s="304"/>
      <c r="BO665" s="304"/>
      <c r="BP665" s="304"/>
      <c r="BQ665" s="304"/>
      <c r="BR665" s="304"/>
      <c r="BS665" s="304"/>
      <c r="BT665" s="304"/>
      <c r="BU665" s="304"/>
      <c r="BV665" s="304"/>
      <c r="BW665" s="304"/>
      <c r="BX665" s="304"/>
      <c r="BY665" s="304"/>
      <c r="BZ665" s="304"/>
      <c r="CA665" s="304"/>
      <c r="CB665" s="304"/>
      <c r="CC665" s="304"/>
      <c r="CD665" s="304"/>
      <c r="CE665" s="304"/>
      <c r="CF665" s="304"/>
      <c r="CG665" s="304"/>
      <c r="CH665" s="304"/>
      <c r="CI665" s="304"/>
      <c r="CJ665" s="304"/>
      <c r="CK665" s="304"/>
      <c r="CL665" s="304"/>
      <c r="CM665" s="304"/>
      <c r="CN665" s="304"/>
      <c r="CO665" s="304"/>
      <c r="CP665" s="304"/>
      <c r="CQ665" s="304"/>
      <c r="CR665" s="304"/>
      <c r="CS665" s="304"/>
      <c r="CT665" s="304"/>
      <c r="CU665" s="304"/>
      <c r="CV665" s="304"/>
      <c r="CW665" s="304"/>
      <c r="CX665" s="304"/>
      <c r="CY665" s="304"/>
      <c r="CZ665" s="304"/>
      <c r="DA665" s="304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9"/>
      <c r="FL665" s="9"/>
      <c r="FM665" s="9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135"/>
      <c r="IK665" s="135"/>
      <c r="IL665" s="135"/>
      <c r="IN665" s="6"/>
      <c r="IO665" s="6"/>
      <c r="IP665" s="6"/>
      <c r="IQ665" s="6"/>
      <c r="IR665" s="6"/>
      <c r="IS665" s="6"/>
      <c r="IT665" s="6"/>
      <c r="IU665" s="6"/>
      <c r="IV665" s="6"/>
      <c r="IW665" s="6"/>
      <c r="IX665" s="6"/>
      <c r="IY665" s="6"/>
      <c r="IZ665" s="6"/>
      <c r="JA665" s="6"/>
      <c r="JB665" s="6"/>
      <c r="JC665" s="6"/>
      <c r="JD665" s="6"/>
      <c r="JE665" s="6"/>
      <c r="JF665" s="6"/>
      <c r="JG665" s="6"/>
      <c r="JH665" s="6"/>
      <c r="JI665" s="6"/>
      <c r="JJ665" s="6"/>
      <c r="JK665" s="6"/>
      <c r="JL665" s="6"/>
      <c r="JM665" s="6"/>
      <c r="JN665" s="6"/>
      <c r="JO665" s="6"/>
      <c r="JP665" s="6"/>
      <c r="JQ665" s="6"/>
      <c r="JR665" s="6"/>
      <c r="JS665" s="6"/>
      <c r="JT665" s="6"/>
      <c r="JU665" s="6"/>
      <c r="JV665" s="6"/>
      <c r="JW665" s="6"/>
      <c r="JX665" s="6"/>
      <c r="JY665" s="6"/>
      <c r="JZ665" s="6"/>
      <c r="KA665" s="6"/>
      <c r="KB665" s="6"/>
      <c r="KC665" s="6"/>
      <c r="KD665" s="6"/>
      <c r="KE665" s="6"/>
      <c r="KF665" s="6"/>
      <c r="KG665" s="6"/>
      <c r="KH665" s="6"/>
      <c r="KI665" s="6"/>
      <c r="KJ665" s="6"/>
      <c r="KK665" s="6"/>
      <c r="KL665" s="6"/>
      <c r="KM665" s="6"/>
      <c r="KN665" s="6"/>
      <c r="KO665" s="6"/>
      <c r="KP665" s="6"/>
      <c r="KQ665" s="6"/>
      <c r="KR665" s="6"/>
      <c r="KS665" s="6"/>
      <c r="KT665" s="6"/>
      <c r="KU665" s="6"/>
      <c r="KV665" s="6"/>
      <c r="KW665" s="6"/>
      <c r="KX665" s="6"/>
      <c r="KY665" s="6"/>
      <c r="KZ665" s="6"/>
      <c r="LA665" s="6"/>
      <c r="LB665" s="6"/>
      <c r="LC665" s="6"/>
      <c r="LD665" s="6"/>
      <c r="LE665" s="6"/>
      <c r="LF665" s="6"/>
      <c r="LG665" s="6"/>
      <c r="LH665" s="6"/>
      <c r="LI665" s="6"/>
      <c r="LJ665" s="6"/>
      <c r="LK665" s="6"/>
      <c r="LL665" s="6"/>
      <c r="LM665" s="6"/>
      <c r="LN665" s="6"/>
      <c r="LO665" s="6"/>
      <c r="LP665" s="6"/>
      <c r="LQ665" s="6"/>
      <c r="LR665" s="6"/>
      <c r="LS665" s="6"/>
      <c r="LT665" s="6"/>
      <c r="LU665" s="6"/>
      <c r="LV665" s="6"/>
      <c r="LW665" s="6"/>
      <c r="LX665" s="6"/>
      <c r="LY665" s="6"/>
      <c r="LZ665" s="6"/>
      <c r="MA665" s="6"/>
      <c r="MB665" s="6"/>
      <c r="MC665" s="6"/>
      <c r="MD665" s="6"/>
      <c r="ME665" s="6"/>
      <c r="MF665" s="6"/>
      <c r="MG665" s="6"/>
      <c r="MH665" s="6"/>
      <c r="MI665" s="6"/>
      <c r="MJ665" s="6"/>
      <c r="MK665" s="6"/>
      <c r="ML665" s="6"/>
      <c r="MM665" s="6"/>
      <c r="MN665" s="6"/>
      <c r="MO665" s="6"/>
      <c r="MP665" s="6"/>
      <c r="MQ665" s="6"/>
      <c r="MR665" s="6"/>
      <c r="MS665" s="6"/>
      <c r="MT665" s="6"/>
      <c r="MU665" s="6"/>
      <c r="MV665" s="6"/>
      <c r="MW665" s="6"/>
      <c r="MX665" s="6"/>
      <c r="MY665" s="6"/>
      <c r="MZ665" s="6"/>
      <c r="NA665" s="6"/>
      <c r="NB665" s="6"/>
      <c r="NC665" s="6"/>
      <c r="ND665" s="6"/>
      <c r="NE665" s="6"/>
      <c r="NF665" s="6"/>
      <c r="NG665" s="6"/>
      <c r="NH665" s="6"/>
      <c r="NI665" s="6"/>
      <c r="NJ665" s="6"/>
      <c r="NK665" s="6"/>
      <c r="NL665" s="6"/>
      <c r="NM665" s="6"/>
      <c r="NN665" s="6"/>
      <c r="NO665" s="6"/>
      <c r="NP665" s="6"/>
      <c r="NQ665" s="6"/>
      <c r="NR665" s="6"/>
      <c r="NS665" s="6"/>
      <c r="NT665" s="6"/>
      <c r="NU665" s="6"/>
      <c r="NV665" s="6"/>
    </row>
  </sheetData>
  <mergeCells count="45">
    <mergeCell ref="IH5:II5"/>
    <mergeCell ref="A83:F83"/>
    <mergeCell ref="IJ91:IJ92"/>
    <mergeCell ref="C92:C93"/>
    <mergeCell ref="IN77:IN80"/>
    <mergeCell ref="A78:C78"/>
    <mergeCell ref="A79:C79"/>
    <mergeCell ref="A80:C80"/>
    <mergeCell ref="A81:C81"/>
    <mergeCell ref="A82:C82"/>
    <mergeCell ref="IM82:IN82"/>
    <mergeCell ref="A73:E73"/>
    <mergeCell ref="IJ73:IM73"/>
    <mergeCell ref="A75:C75"/>
    <mergeCell ref="A76:C76"/>
    <mergeCell ref="A77:C77"/>
    <mergeCell ref="IL77:IL80"/>
    <mergeCell ref="IJ65:IM65"/>
    <mergeCell ref="IJ5:IJ6"/>
    <mergeCell ref="IK5:IK6"/>
    <mergeCell ref="IL5:IL6"/>
    <mergeCell ref="IM5:IM6"/>
    <mergeCell ref="IJ11:IM11"/>
    <mergeCell ref="A6:A10"/>
    <mergeCell ref="B6:B10"/>
    <mergeCell ref="C6:C10"/>
    <mergeCell ref="D6:D10"/>
    <mergeCell ref="E6:E10"/>
    <mergeCell ref="F6:F10"/>
    <mergeCell ref="AQ5:BI5"/>
    <mergeCell ref="BJ5:BR5"/>
    <mergeCell ref="CY5:EQ5"/>
    <mergeCell ref="G6:G7"/>
    <mergeCell ref="H6:H7"/>
    <mergeCell ref="G8:G10"/>
    <mergeCell ref="H8:H10"/>
    <mergeCell ref="BS5:CX5"/>
    <mergeCell ref="ER5:GK5"/>
    <mergeCell ref="GL5:IG5"/>
    <mergeCell ref="A3:F3"/>
    <mergeCell ref="I5:K5"/>
    <mergeCell ref="L5:N5"/>
    <mergeCell ref="O5:Q5"/>
    <mergeCell ref="R5:U5"/>
    <mergeCell ref="V5:AP5"/>
  </mergeCells>
  <phoneticPr fontId="3" type="noConversion"/>
  <conditionalFormatting sqref="D12:D62 D66:D72">
    <cfRule type="containsText" dxfId="13" priority="5" operator="containsText" text="씨티">
      <formula>NOT(ISERROR(SEARCH("씨티",D12)))</formula>
    </cfRule>
    <cfRule type="containsText" dxfId="12" priority="6" operator="containsText" text="달러">
      <formula>NOT(ISERROR(SEARCH("달러",D12)))</formula>
    </cfRule>
    <cfRule type="containsText" dxfId="11" priority="7" operator="containsText" text="카드">
      <formula>NOT(ISERROR(SEARCH("카드",D12)))</formula>
    </cfRule>
    <cfRule type="containsText" dxfId="10" priority="8" operator="containsText" text="장치">
      <formula>NOT(ISERROR(SEARCH("장치",D12)))</formula>
    </cfRule>
  </conditionalFormatting>
  <conditionalFormatting sqref="E13:E62 E67:E71">
    <cfRule type="cellIs" dxfId="9" priority="10" operator="equal">
      <formula>0</formula>
    </cfRule>
    <cfRule type="cellIs" priority="11" operator="equal">
      <formula>2</formula>
    </cfRule>
    <cfRule type="cellIs" dxfId="8" priority="12" operator="equal">
      <formula>1</formula>
    </cfRule>
    <cfRule type="containsBlanks" dxfId="7" priority="14">
      <formula>LEN(TRIM(E13))=0</formula>
    </cfRule>
  </conditionalFormatting>
  <conditionalFormatting sqref="E76:E81">
    <cfRule type="containsText" dxfId="6" priority="9" operator="containsText" text=".">
      <formula>NOT(ISERROR(SEARCH(".",E76)))</formula>
    </cfRule>
  </conditionalFormatting>
  <conditionalFormatting sqref="F13:F62">
    <cfRule type="containsBlanks" dxfId="5" priority="2">
      <formula>LEN(TRIM(F13))=0</formula>
    </cfRule>
  </conditionalFormatting>
  <conditionalFormatting sqref="F67:F71">
    <cfRule type="containsBlanks" dxfId="4" priority="1">
      <formula>LEN(TRIM(F67))=0</formula>
    </cfRule>
  </conditionalFormatting>
  <conditionalFormatting sqref="I11:II11 I73:II73 I63:II65 I75:II75">
    <cfRule type="cellIs" dxfId="3" priority="3" operator="greaterThan">
      <formula>0</formula>
    </cfRule>
  </conditionalFormatting>
  <conditionalFormatting sqref="I73:II73">
    <cfRule type="cellIs" dxfId="2" priority="4" operator="greaterThan">
      <formula>0</formula>
    </cfRule>
  </conditionalFormatting>
  <conditionalFormatting sqref="IK13:IL62 IK67:IL71">
    <cfRule type="containsBlanks" dxfId="1" priority="13">
      <formula>LEN(TRIM(IK13))=0</formula>
    </cfRule>
  </conditionalFormatting>
  <printOptions horizontalCentered="1"/>
  <pageMargins left="0.23622047244094491" right="0.23622047244094491" top="0.39370078740157483" bottom="0.39370078740157483" header="0.31496062992125984" footer="0.31496062992125984"/>
  <pageSetup paperSize="9" scale="18" fitToHeight="0" orientation="landscape" r:id="rId1"/>
  <headerFooter alignWithMargins="0"/>
  <rowBreaks count="1" manualBreakCount="1">
    <brk id="73" max="16383" man="1"/>
  </rowBreaks>
  <colBreaks count="1" manualBreakCount="1">
    <brk id="2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AB73-C0C1-4C75-8A9B-B3DFF5B0FEA0}">
  <sheetPr>
    <pageSetUpPr fitToPage="1"/>
  </sheetPr>
  <dimension ref="A1:Q37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24" sqref="E24:M24"/>
    </sheetView>
  </sheetViews>
  <sheetFormatPr defaultRowHeight="18.95" customHeight="1" x14ac:dyDescent="0.15"/>
  <cols>
    <col min="1" max="1" width="4.33203125" style="305" customWidth="1"/>
    <col min="2" max="2" width="15.77734375" style="305" customWidth="1"/>
    <col min="3" max="3" width="11.77734375" style="305" customWidth="1"/>
    <col min="4" max="4" width="27.33203125" style="305" customWidth="1"/>
    <col min="5" max="5" width="15.77734375" style="305" customWidth="1"/>
    <col min="6" max="6" width="11.77734375" style="305" customWidth="1"/>
    <col min="7" max="10" width="11.77734375" style="343" customWidth="1"/>
    <col min="11" max="11" width="11.77734375" style="344" customWidth="1"/>
    <col min="12" max="13" width="11.77734375" style="343" customWidth="1"/>
    <col min="14" max="14" width="9.6640625" style="307" customWidth="1"/>
    <col min="15" max="15" width="5.77734375" style="307" customWidth="1"/>
    <col min="16" max="16" width="8.88671875" style="307" customWidth="1"/>
    <col min="17" max="17" width="5.77734375" style="307" customWidth="1"/>
    <col min="18" max="18" width="13.33203125" style="308" bestFit="1" customWidth="1"/>
    <col min="19" max="259" width="8.88671875" style="308"/>
    <col min="260" max="260" width="4.33203125" style="308" customWidth="1"/>
    <col min="261" max="261" width="15.77734375" style="308" customWidth="1"/>
    <col min="262" max="262" width="13.109375" style="308" customWidth="1"/>
    <col min="263" max="263" width="27.33203125" style="308" customWidth="1"/>
    <col min="264" max="264" width="19.88671875" style="308" bestFit="1" customWidth="1"/>
    <col min="265" max="265" width="13.88671875" style="308" customWidth="1"/>
    <col min="266" max="266" width="11.77734375" style="308" customWidth="1"/>
    <col min="267" max="267" width="10.5546875" style="308" customWidth="1"/>
    <col min="268" max="268" width="14.77734375" style="308" bestFit="1" customWidth="1"/>
    <col min="269" max="270" width="0" style="308" hidden="1" customWidth="1"/>
    <col min="271" max="271" width="12.5546875" style="308" customWidth="1"/>
    <col min="272" max="273" width="8.88671875" style="308"/>
    <col min="274" max="274" width="13.33203125" style="308" bestFit="1" customWidth="1"/>
    <col min="275" max="515" width="8.88671875" style="308"/>
    <col min="516" max="516" width="4.33203125" style="308" customWidth="1"/>
    <col min="517" max="517" width="15.77734375" style="308" customWidth="1"/>
    <col min="518" max="518" width="13.109375" style="308" customWidth="1"/>
    <col min="519" max="519" width="27.33203125" style="308" customWidth="1"/>
    <col min="520" max="520" width="19.88671875" style="308" bestFit="1" customWidth="1"/>
    <col min="521" max="521" width="13.88671875" style="308" customWidth="1"/>
    <col min="522" max="522" width="11.77734375" style="308" customWidth="1"/>
    <col min="523" max="523" width="10.5546875" style="308" customWidth="1"/>
    <col min="524" max="524" width="14.77734375" style="308" bestFit="1" customWidth="1"/>
    <col min="525" max="526" width="0" style="308" hidden="1" customWidth="1"/>
    <col min="527" max="527" width="12.5546875" style="308" customWidth="1"/>
    <col min="528" max="529" width="8.88671875" style="308"/>
    <col min="530" max="530" width="13.33203125" style="308" bestFit="1" customWidth="1"/>
    <col min="531" max="771" width="8.88671875" style="308"/>
    <col min="772" max="772" width="4.33203125" style="308" customWidth="1"/>
    <col min="773" max="773" width="15.77734375" style="308" customWidth="1"/>
    <col min="774" max="774" width="13.109375" style="308" customWidth="1"/>
    <col min="775" max="775" width="27.33203125" style="308" customWidth="1"/>
    <col min="776" max="776" width="19.88671875" style="308" bestFit="1" customWidth="1"/>
    <col min="777" max="777" width="13.88671875" style="308" customWidth="1"/>
    <col min="778" max="778" width="11.77734375" style="308" customWidth="1"/>
    <col min="779" max="779" width="10.5546875" style="308" customWidth="1"/>
    <col min="780" max="780" width="14.77734375" style="308" bestFit="1" customWidth="1"/>
    <col min="781" max="782" width="0" style="308" hidden="1" customWidth="1"/>
    <col min="783" max="783" width="12.5546875" style="308" customWidth="1"/>
    <col min="784" max="785" width="8.88671875" style="308"/>
    <col min="786" max="786" width="13.33203125" style="308" bestFit="1" customWidth="1"/>
    <col min="787" max="1027" width="8.88671875" style="308"/>
    <col min="1028" max="1028" width="4.33203125" style="308" customWidth="1"/>
    <col min="1029" max="1029" width="15.77734375" style="308" customWidth="1"/>
    <col min="1030" max="1030" width="13.109375" style="308" customWidth="1"/>
    <col min="1031" max="1031" width="27.33203125" style="308" customWidth="1"/>
    <col min="1032" max="1032" width="19.88671875" style="308" bestFit="1" customWidth="1"/>
    <col min="1033" max="1033" width="13.88671875" style="308" customWidth="1"/>
    <col min="1034" max="1034" width="11.77734375" style="308" customWidth="1"/>
    <col min="1035" max="1035" width="10.5546875" style="308" customWidth="1"/>
    <col min="1036" max="1036" width="14.77734375" style="308" bestFit="1" customWidth="1"/>
    <col min="1037" max="1038" width="0" style="308" hidden="1" customWidth="1"/>
    <col min="1039" max="1039" width="12.5546875" style="308" customWidth="1"/>
    <col min="1040" max="1041" width="8.88671875" style="308"/>
    <col min="1042" max="1042" width="13.33203125" style="308" bestFit="1" customWidth="1"/>
    <col min="1043" max="1283" width="8.88671875" style="308"/>
    <col min="1284" max="1284" width="4.33203125" style="308" customWidth="1"/>
    <col min="1285" max="1285" width="15.77734375" style="308" customWidth="1"/>
    <col min="1286" max="1286" width="13.109375" style="308" customWidth="1"/>
    <col min="1287" max="1287" width="27.33203125" style="308" customWidth="1"/>
    <col min="1288" max="1288" width="19.88671875" style="308" bestFit="1" customWidth="1"/>
    <col min="1289" max="1289" width="13.88671875" style="308" customWidth="1"/>
    <col min="1290" max="1290" width="11.77734375" style="308" customWidth="1"/>
    <col min="1291" max="1291" width="10.5546875" style="308" customWidth="1"/>
    <col min="1292" max="1292" width="14.77734375" style="308" bestFit="1" customWidth="1"/>
    <col min="1293" max="1294" width="0" style="308" hidden="1" customWidth="1"/>
    <col min="1295" max="1295" width="12.5546875" style="308" customWidth="1"/>
    <col min="1296" max="1297" width="8.88671875" style="308"/>
    <col min="1298" max="1298" width="13.33203125" style="308" bestFit="1" customWidth="1"/>
    <col min="1299" max="1539" width="8.88671875" style="308"/>
    <col min="1540" max="1540" width="4.33203125" style="308" customWidth="1"/>
    <col min="1541" max="1541" width="15.77734375" style="308" customWidth="1"/>
    <col min="1542" max="1542" width="13.109375" style="308" customWidth="1"/>
    <col min="1543" max="1543" width="27.33203125" style="308" customWidth="1"/>
    <col min="1544" max="1544" width="19.88671875" style="308" bestFit="1" customWidth="1"/>
    <col min="1545" max="1545" width="13.88671875" style="308" customWidth="1"/>
    <col min="1546" max="1546" width="11.77734375" style="308" customWidth="1"/>
    <col min="1547" max="1547" width="10.5546875" style="308" customWidth="1"/>
    <col min="1548" max="1548" width="14.77734375" style="308" bestFit="1" customWidth="1"/>
    <col min="1549" max="1550" width="0" style="308" hidden="1" customWidth="1"/>
    <col min="1551" max="1551" width="12.5546875" style="308" customWidth="1"/>
    <col min="1552" max="1553" width="8.88671875" style="308"/>
    <col min="1554" max="1554" width="13.33203125" style="308" bestFit="1" customWidth="1"/>
    <col min="1555" max="1795" width="8.88671875" style="308"/>
    <col min="1796" max="1796" width="4.33203125" style="308" customWidth="1"/>
    <col min="1797" max="1797" width="15.77734375" style="308" customWidth="1"/>
    <col min="1798" max="1798" width="13.109375" style="308" customWidth="1"/>
    <col min="1799" max="1799" width="27.33203125" style="308" customWidth="1"/>
    <col min="1800" max="1800" width="19.88671875" style="308" bestFit="1" customWidth="1"/>
    <col min="1801" max="1801" width="13.88671875" style="308" customWidth="1"/>
    <col min="1802" max="1802" width="11.77734375" style="308" customWidth="1"/>
    <col min="1803" max="1803" width="10.5546875" style="308" customWidth="1"/>
    <col min="1804" max="1804" width="14.77734375" style="308" bestFit="1" customWidth="1"/>
    <col min="1805" max="1806" width="0" style="308" hidden="1" customWidth="1"/>
    <col min="1807" max="1807" width="12.5546875" style="308" customWidth="1"/>
    <col min="1808" max="1809" width="8.88671875" style="308"/>
    <col min="1810" max="1810" width="13.33203125" style="308" bestFit="1" customWidth="1"/>
    <col min="1811" max="2051" width="8.88671875" style="308"/>
    <col min="2052" max="2052" width="4.33203125" style="308" customWidth="1"/>
    <col min="2053" max="2053" width="15.77734375" style="308" customWidth="1"/>
    <col min="2054" max="2054" width="13.109375" style="308" customWidth="1"/>
    <col min="2055" max="2055" width="27.33203125" style="308" customWidth="1"/>
    <col min="2056" max="2056" width="19.88671875" style="308" bestFit="1" customWidth="1"/>
    <col min="2057" max="2057" width="13.88671875" style="308" customWidth="1"/>
    <col min="2058" max="2058" width="11.77734375" style="308" customWidth="1"/>
    <col min="2059" max="2059" width="10.5546875" style="308" customWidth="1"/>
    <col min="2060" max="2060" width="14.77734375" style="308" bestFit="1" customWidth="1"/>
    <col min="2061" max="2062" width="0" style="308" hidden="1" customWidth="1"/>
    <col min="2063" max="2063" width="12.5546875" style="308" customWidth="1"/>
    <col min="2064" max="2065" width="8.88671875" style="308"/>
    <col min="2066" max="2066" width="13.33203125" style="308" bestFit="1" customWidth="1"/>
    <col min="2067" max="2307" width="8.88671875" style="308"/>
    <col min="2308" max="2308" width="4.33203125" style="308" customWidth="1"/>
    <col min="2309" max="2309" width="15.77734375" style="308" customWidth="1"/>
    <col min="2310" max="2310" width="13.109375" style="308" customWidth="1"/>
    <col min="2311" max="2311" width="27.33203125" style="308" customWidth="1"/>
    <col min="2312" max="2312" width="19.88671875" style="308" bestFit="1" customWidth="1"/>
    <col min="2313" max="2313" width="13.88671875" style="308" customWidth="1"/>
    <col min="2314" max="2314" width="11.77734375" style="308" customWidth="1"/>
    <col min="2315" max="2315" width="10.5546875" style="308" customWidth="1"/>
    <col min="2316" max="2316" width="14.77734375" style="308" bestFit="1" customWidth="1"/>
    <col min="2317" max="2318" width="0" style="308" hidden="1" customWidth="1"/>
    <col min="2319" max="2319" width="12.5546875" style="308" customWidth="1"/>
    <col min="2320" max="2321" width="8.88671875" style="308"/>
    <col min="2322" max="2322" width="13.33203125" style="308" bestFit="1" customWidth="1"/>
    <col min="2323" max="2563" width="8.88671875" style="308"/>
    <col min="2564" max="2564" width="4.33203125" style="308" customWidth="1"/>
    <col min="2565" max="2565" width="15.77734375" style="308" customWidth="1"/>
    <col min="2566" max="2566" width="13.109375" style="308" customWidth="1"/>
    <col min="2567" max="2567" width="27.33203125" style="308" customWidth="1"/>
    <col min="2568" max="2568" width="19.88671875" style="308" bestFit="1" customWidth="1"/>
    <col min="2569" max="2569" width="13.88671875" style="308" customWidth="1"/>
    <col min="2570" max="2570" width="11.77734375" style="308" customWidth="1"/>
    <col min="2571" max="2571" width="10.5546875" style="308" customWidth="1"/>
    <col min="2572" max="2572" width="14.77734375" style="308" bestFit="1" customWidth="1"/>
    <col min="2573" max="2574" width="0" style="308" hidden="1" customWidth="1"/>
    <col min="2575" max="2575" width="12.5546875" style="308" customWidth="1"/>
    <col min="2576" max="2577" width="8.88671875" style="308"/>
    <col min="2578" max="2578" width="13.33203125" style="308" bestFit="1" customWidth="1"/>
    <col min="2579" max="2819" width="8.88671875" style="308"/>
    <col min="2820" max="2820" width="4.33203125" style="308" customWidth="1"/>
    <col min="2821" max="2821" width="15.77734375" style="308" customWidth="1"/>
    <col min="2822" max="2822" width="13.109375" style="308" customWidth="1"/>
    <col min="2823" max="2823" width="27.33203125" style="308" customWidth="1"/>
    <col min="2824" max="2824" width="19.88671875" style="308" bestFit="1" customWidth="1"/>
    <col min="2825" max="2825" width="13.88671875" style="308" customWidth="1"/>
    <col min="2826" max="2826" width="11.77734375" style="308" customWidth="1"/>
    <col min="2827" max="2827" width="10.5546875" style="308" customWidth="1"/>
    <col min="2828" max="2828" width="14.77734375" style="308" bestFit="1" customWidth="1"/>
    <col min="2829" max="2830" width="0" style="308" hidden="1" customWidth="1"/>
    <col min="2831" max="2831" width="12.5546875" style="308" customWidth="1"/>
    <col min="2832" max="2833" width="8.88671875" style="308"/>
    <col min="2834" max="2834" width="13.33203125" style="308" bestFit="1" customWidth="1"/>
    <col min="2835" max="3075" width="8.88671875" style="308"/>
    <col min="3076" max="3076" width="4.33203125" style="308" customWidth="1"/>
    <col min="3077" max="3077" width="15.77734375" style="308" customWidth="1"/>
    <col min="3078" max="3078" width="13.109375" style="308" customWidth="1"/>
    <col min="3079" max="3079" width="27.33203125" style="308" customWidth="1"/>
    <col min="3080" max="3080" width="19.88671875" style="308" bestFit="1" customWidth="1"/>
    <col min="3081" max="3081" width="13.88671875" style="308" customWidth="1"/>
    <col min="3082" max="3082" width="11.77734375" style="308" customWidth="1"/>
    <col min="3083" max="3083" width="10.5546875" style="308" customWidth="1"/>
    <col min="3084" max="3084" width="14.77734375" style="308" bestFit="1" customWidth="1"/>
    <col min="3085" max="3086" width="0" style="308" hidden="1" customWidth="1"/>
    <col min="3087" max="3087" width="12.5546875" style="308" customWidth="1"/>
    <col min="3088" max="3089" width="8.88671875" style="308"/>
    <col min="3090" max="3090" width="13.33203125" style="308" bestFit="1" customWidth="1"/>
    <col min="3091" max="3331" width="8.88671875" style="308"/>
    <col min="3332" max="3332" width="4.33203125" style="308" customWidth="1"/>
    <col min="3333" max="3333" width="15.77734375" style="308" customWidth="1"/>
    <col min="3334" max="3334" width="13.109375" style="308" customWidth="1"/>
    <col min="3335" max="3335" width="27.33203125" style="308" customWidth="1"/>
    <col min="3336" max="3336" width="19.88671875" style="308" bestFit="1" customWidth="1"/>
    <col min="3337" max="3337" width="13.88671875" style="308" customWidth="1"/>
    <col min="3338" max="3338" width="11.77734375" style="308" customWidth="1"/>
    <col min="3339" max="3339" width="10.5546875" style="308" customWidth="1"/>
    <col min="3340" max="3340" width="14.77734375" style="308" bestFit="1" customWidth="1"/>
    <col min="3341" max="3342" width="0" style="308" hidden="1" customWidth="1"/>
    <col min="3343" max="3343" width="12.5546875" style="308" customWidth="1"/>
    <col min="3344" max="3345" width="8.88671875" style="308"/>
    <col min="3346" max="3346" width="13.33203125" style="308" bestFit="1" customWidth="1"/>
    <col min="3347" max="3587" width="8.88671875" style="308"/>
    <col min="3588" max="3588" width="4.33203125" style="308" customWidth="1"/>
    <col min="3589" max="3589" width="15.77734375" style="308" customWidth="1"/>
    <col min="3590" max="3590" width="13.109375" style="308" customWidth="1"/>
    <col min="3591" max="3591" width="27.33203125" style="308" customWidth="1"/>
    <col min="3592" max="3592" width="19.88671875" style="308" bestFit="1" customWidth="1"/>
    <col min="3593" max="3593" width="13.88671875" style="308" customWidth="1"/>
    <col min="3594" max="3594" width="11.77734375" style="308" customWidth="1"/>
    <col min="3595" max="3595" width="10.5546875" style="308" customWidth="1"/>
    <col min="3596" max="3596" width="14.77734375" style="308" bestFit="1" customWidth="1"/>
    <col min="3597" max="3598" width="0" style="308" hidden="1" customWidth="1"/>
    <col min="3599" max="3599" width="12.5546875" style="308" customWidth="1"/>
    <col min="3600" max="3601" width="8.88671875" style="308"/>
    <col min="3602" max="3602" width="13.33203125" style="308" bestFit="1" customWidth="1"/>
    <col min="3603" max="3843" width="8.88671875" style="308"/>
    <col min="3844" max="3844" width="4.33203125" style="308" customWidth="1"/>
    <col min="3845" max="3845" width="15.77734375" style="308" customWidth="1"/>
    <col min="3846" max="3846" width="13.109375" style="308" customWidth="1"/>
    <col min="3847" max="3847" width="27.33203125" style="308" customWidth="1"/>
    <col min="3848" max="3848" width="19.88671875" style="308" bestFit="1" customWidth="1"/>
    <col min="3849" max="3849" width="13.88671875" style="308" customWidth="1"/>
    <col min="3850" max="3850" width="11.77734375" style="308" customWidth="1"/>
    <col min="3851" max="3851" width="10.5546875" style="308" customWidth="1"/>
    <col min="3852" max="3852" width="14.77734375" style="308" bestFit="1" customWidth="1"/>
    <col min="3853" max="3854" width="0" style="308" hidden="1" customWidth="1"/>
    <col min="3855" max="3855" width="12.5546875" style="308" customWidth="1"/>
    <col min="3856" max="3857" width="8.88671875" style="308"/>
    <col min="3858" max="3858" width="13.33203125" style="308" bestFit="1" customWidth="1"/>
    <col min="3859" max="4099" width="8.88671875" style="308"/>
    <col min="4100" max="4100" width="4.33203125" style="308" customWidth="1"/>
    <col min="4101" max="4101" width="15.77734375" style="308" customWidth="1"/>
    <col min="4102" max="4102" width="13.109375" style="308" customWidth="1"/>
    <col min="4103" max="4103" width="27.33203125" style="308" customWidth="1"/>
    <col min="4104" max="4104" width="19.88671875" style="308" bestFit="1" customWidth="1"/>
    <col min="4105" max="4105" width="13.88671875" style="308" customWidth="1"/>
    <col min="4106" max="4106" width="11.77734375" style="308" customWidth="1"/>
    <col min="4107" max="4107" width="10.5546875" style="308" customWidth="1"/>
    <col min="4108" max="4108" width="14.77734375" style="308" bestFit="1" customWidth="1"/>
    <col min="4109" max="4110" width="0" style="308" hidden="1" customWidth="1"/>
    <col min="4111" max="4111" width="12.5546875" style="308" customWidth="1"/>
    <col min="4112" max="4113" width="8.88671875" style="308"/>
    <col min="4114" max="4114" width="13.33203125" style="308" bestFit="1" customWidth="1"/>
    <col min="4115" max="4355" width="8.88671875" style="308"/>
    <col min="4356" max="4356" width="4.33203125" style="308" customWidth="1"/>
    <col min="4357" max="4357" width="15.77734375" style="308" customWidth="1"/>
    <col min="4358" max="4358" width="13.109375" style="308" customWidth="1"/>
    <col min="4359" max="4359" width="27.33203125" style="308" customWidth="1"/>
    <col min="4360" max="4360" width="19.88671875" style="308" bestFit="1" customWidth="1"/>
    <col min="4361" max="4361" width="13.88671875" style="308" customWidth="1"/>
    <col min="4362" max="4362" width="11.77734375" style="308" customWidth="1"/>
    <col min="4363" max="4363" width="10.5546875" style="308" customWidth="1"/>
    <col min="4364" max="4364" width="14.77734375" style="308" bestFit="1" customWidth="1"/>
    <col min="4365" max="4366" width="0" style="308" hidden="1" customWidth="1"/>
    <col min="4367" max="4367" width="12.5546875" style="308" customWidth="1"/>
    <col min="4368" max="4369" width="8.88671875" style="308"/>
    <col min="4370" max="4370" width="13.33203125" style="308" bestFit="1" customWidth="1"/>
    <col min="4371" max="4611" width="8.88671875" style="308"/>
    <col min="4612" max="4612" width="4.33203125" style="308" customWidth="1"/>
    <col min="4613" max="4613" width="15.77734375" style="308" customWidth="1"/>
    <col min="4614" max="4614" width="13.109375" style="308" customWidth="1"/>
    <col min="4615" max="4615" width="27.33203125" style="308" customWidth="1"/>
    <col min="4616" max="4616" width="19.88671875" style="308" bestFit="1" customWidth="1"/>
    <col min="4617" max="4617" width="13.88671875" style="308" customWidth="1"/>
    <col min="4618" max="4618" width="11.77734375" style="308" customWidth="1"/>
    <col min="4619" max="4619" width="10.5546875" style="308" customWidth="1"/>
    <col min="4620" max="4620" width="14.77734375" style="308" bestFit="1" customWidth="1"/>
    <col min="4621" max="4622" width="0" style="308" hidden="1" customWidth="1"/>
    <col min="4623" max="4623" width="12.5546875" style="308" customWidth="1"/>
    <col min="4624" max="4625" width="8.88671875" style="308"/>
    <col min="4626" max="4626" width="13.33203125" style="308" bestFit="1" customWidth="1"/>
    <col min="4627" max="4867" width="8.88671875" style="308"/>
    <col min="4868" max="4868" width="4.33203125" style="308" customWidth="1"/>
    <col min="4869" max="4869" width="15.77734375" style="308" customWidth="1"/>
    <col min="4870" max="4870" width="13.109375" style="308" customWidth="1"/>
    <col min="4871" max="4871" width="27.33203125" style="308" customWidth="1"/>
    <col min="4872" max="4872" width="19.88671875" style="308" bestFit="1" customWidth="1"/>
    <col min="4873" max="4873" width="13.88671875" style="308" customWidth="1"/>
    <col min="4874" max="4874" width="11.77734375" style="308" customWidth="1"/>
    <col min="4875" max="4875" width="10.5546875" style="308" customWidth="1"/>
    <col min="4876" max="4876" width="14.77734375" style="308" bestFit="1" customWidth="1"/>
    <col min="4877" max="4878" width="0" style="308" hidden="1" customWidth="1"/>
    <col min="4879" max="4879" width="12.5546875" style="308" customWidth="1"/>
    <col min="4880" max="4881" width="8.88671875" style="308"/>
    <col min="4882" max="4882" width="13.33203125" style="308" bestFit="1" customWidth="1"/>
    <col min="4883" max="5123" width="8.88671875" style="308"/>
    <col min="5124" max="5124" width="4.33203125" style="308" customWidth="1"/>
    <col min="5125" max="5125" width="15.77734375" style="308" customWidth="1"/>
    <col min="5126" max="5126" width="13.109375" style="308" customWidth="1"/>
    <col min="5127" max="5127" width="27.33203125" style="308" customWidth="1"/>
    <col min="5128" max="5128" width="19.88671875" style="308" bestFit="1" customWidth="1"/>
    <col min="5129" max="5129" width="13.88671875" style="308" customWidth="1"/>
    <col min="5130" max="5130" width="11.77734375" style="308" customWidth="1"/>
    <col min="5131" max="5131" width="10.5546875" style="308" customWidth="1"/>
    <col min="5132" max="5132" width="14.77734375" style="308" bestFit="1" customWidth="1"/>
    <col min="5133" max="5134" width="0" style="308" hidden="1" customWidth="1"/>
    <col min="5135" max="5135" width="12.5546875" style="308" customWidth="1"/>
    <col min="5136" max="5137" width="8.88671875" style="308"/>
    <col min="5138" max="5138" width="13.33203125" style="308" bestFit="1" customWidth="1"/>
    <col min="5139" max="5379" width="8.88671875" style="308"/>
    <col min="5380" max="5380" width="4.33203125" style="308" customWidth="1"/>
    <col min="5381" max="5381" width="15.77734375" style="308" customWidth="1"/>
    <col min="5382" max="5382" width="13.109375" style="308" customWidth="1"/>
    <col min="5383" max="5383" width="27.33203125" style="308" customWidth="1"/>
    <col min="5384" max="5384" width="19.88671875" style="308" bestFit="1" customWidth="1"/>
    <col min="5385" max="5385" width="13.88671875" style="308" customWidth="1"/>
    <col min="5386" max="5386" width="11.77734375" style="308" customWidth="1"/>
    <col min="5387" max="5387" width="10.5546875" style="308" customWidth="1"/>
    <col min="5388" max="5388" width="14.77734375" style="308" bestFit="1" customWidth="1"/>
    <col min="5389" max="5390" width="0" style="308" hidden="1" customWidth="1"/>
    <col min="5391" max="5391" width="12.5546875" style="308" customWidth="1"/>
    <col min="5392" max="5393" width="8.88671875" style="308"/>
    <col min="5394" max="5394" width="13.33203125" style="308" bestFit="1" customWidth="1"/>
    <col min="5395" max="5635" width="8.88671875" style="308"/>
    <col min="5636" max="5636" width="4.33203125" style="308" customWidth="1"/>
    <col min="5637" max="5637" width="15.77734375" style="308" customWidth="1"/>
    <col min="5638" max="5638" width="13.109375" style="308" customWidth="1"/>
    <col min="5639" max="5639" width="27.33203125" style="308" customWidth="1"/>
    <col min="5640" max="5640" width="19.88671875" style="308" bestFit="1" customWidth="1"/>
    <col min="5641" max="5641" width="13.88671875" style="308" customWidth="1"/>
    <col min="5642" max="5642" width="11.77734375" style="308" customWidth="1"/>
    <col min="5643" max="5643" width="10.5546875" style="308" customWidth="1"/>
    <col min="5644" max="5644" width="14.77734375" style="308" bestFit="1" customWidth="1"/>
    <col min="5645" max="5646" width="0" style="308" hidden="1" customWidth="1"/>
    <col min="5647" max="5647" width="12.5546875" style="308" customWidth="1"/>
    <col min="5648" max="5649" width="8.88671875" style="308"/>
    <col min="5650" max="5650" width="13.33203125" style="308" bestFit="1" customWidth="1"/>
    <col min="5651" max="5891" width="8.88671875" style="308"/>
    <col min="5892" max="5892" width="4.33203125" style="308" customWidth="1"/>
    <col min="5893" max="5893" width="15.77734375" style="308" customWidth="1"/>
    <col min="5894" max="5894" width="13.109375" style="308" customWidth="1"/>
    <col min="5895" max="5895" width="27.33203125" style="308" customWidth="1"/>
    <col min="5896" max="5896" width="19.88671875" style="308" bestFit="1" customWidth="1"/>
    <col min="5897" max="5897" width="13.88671875" style="308" customWidth="1"/>
    <col min="5898" max="5898" width="11.77734375" style="308" customWidth="1"/>
    <col min="5899" max="5899" width="10.5546875" style="308" customWidth="1"/>
    <col min="5900" max="5900" width="14.77734375" style="308" bestFit="1" customWidth="1"/>
    <col min="5901" max="5902" width="0" style="308" hidden="1" customWidth="1"/>
    <col min="5903" max="5903" width="12.5546875" style="308" customWidth="1"/>
    <col min="5904" max="5905" width="8.88671875" style="308"/>
    <col min="5906" max="5906" width="13.33203125" style="308" bestFit="1" customWidth="1"/>
    <col min="5907" max="6147" width="8.88671875" style="308"/>
    <col min="6148" max="6148" width="4.33203125" style="308" customWidth="1"/>
    <col min="6149" max="6149" width="15.77734375" style="308" customWidth="1"/>
    <col min="6150" max="6150" width="13.109375" style="308" customWidth="1"/>
    <col min="6151" max="6151" width="27.33203125" style="308" customWidth="1"/>
    <col min="6152" max="6152" width="19.88671875" style="308" bestFit="1" customWidth="1"/>
    <col min="6153" max="6153" width="13.88671875" style="308" customWidth="1"/>
    <col min="6154" max="6154" width="11.77734375" style="308" customWidth="1"/>
    <col min="6155" max="6155" width="10.5546875" style="308" customWidth="1"/>
    <col min="6156" max="6156" width="14.77734375" style="308" bestFit="1" customWidth="1"/>
    <col min="6157" max="6158" width="0" style="308" hidden="1" customWidth="1"/>
    <col min="6159" max="6159" width="12.5546875" style="308" customWidth="1"/>
    <col min="6160" max="6161" width="8.88671875" style="308"/>
    <col min="6162" max="6162" width="13.33203125" style="308" bestFit="1" customWidth="1"/>
    <col min="6163" max="6403" width="8.88671875" style="308"/>
    <col min="6404" max="6404" width="4.33203125" style="308" customWidth="1"/>
    <col min="6405" max="6405" width="15.77734375" style="308" customWidth="1"/>
    <col min="6406" max="6406" width="13.109375" style="308" customWidth="1"/>
    <col min="6407" max="6407" width="27.33203125" style="308" customWidth="1"/>
    <col min="6408" max="6408" width="19.88671875" style="308" bestFit="1" customWidth="1"/>
    <col min="6409" max="6409" width="13.88671875" style="308" customWidth="1"/>
    <col min="6410" max="6410" width="11.77734375" style="308" customWidth="1"/>
    <col min="6411" max="6411" width="10.5546875" style="308" customWidth="1"/>
    <col min="6412" max="6412" width="14.77734375" style="308" bestFit="1" customWidth="1"/>
    <col min="6413" max="6414" width="0" style="308" hidden="1" customWidth="1"/>
    <col min="6415" max="6415" width="12.5546875" style="308" customWidth="1"/>
    <col min="6416" max="6417" width="8.88671875" style="308"/>
    <col min="6418" max="6418" width="13.33203125" style="308" bestFit="1" customWidth="1"/>
    <col min="6419" max="6659" width="8.88671875" style="308"/>
    <col min="6660" max="6660" width="4.33203125" style="308" customWidth="1"/>
    <col min="6661" max="6661" width="15.77734375" style="308" customWidth="1"/>
    <col min="6662" max="6662" width="13.109375" style="308" customWidth="1"/>
    <col min="6663" max="6663" width="27.33203125" style="308" customWidth="1"/>
    <col min="6664" max="6664" width="19.88671875" style="308" bestFit="1" customWidth="1"/>
    <col min="6665" max="6665" width="13.88671875" style="308" customWidth="1"/>
    <col min="6666" max="6666" width="11.77734375" style="308" customWidth="1"/>
    <col min="6667" max="6667" width="10.5546875" style="308" customWidth="1"/>
    <col min="6668" max="6668" width="14.77734375" style="308" bestFit="1" customWidth="1"/>
    <col min="6669" max="6670" width="0" style="308" hidden="1" customWidth="1"/>
    <col min="6671" max="6671" width="12.5546875" style="308" customWidth="1"/>
    <col min="6672" max="6673" width="8.88671875" style="308"/>
    <col min="6674" max="6674" width="13.33203125" style="308" bestFit="1" customWidth="1"/>
    <col min="6675" max="6915" width="8.88671875" style="308"/>
    <col min="6916" max="6916" width="4.33203125" style="308" customWidth="1"/>
    <col min="6917" max="6917" width="15.77734375" style="308" customWidth="1"/>
    <col min="6918" max="6918" width="13.109375" style="308" customWidth="1"/>
    <col min="6919" max="6919" width="27.33203125" style="308" customWidth="1"/>
    <col min="6920" max="6920" width="19.88671875" style="308" bestFit="1" customWidth="1"/>
    <col min="6921" max="6921" width="13.88671875" style="308" customWidth="1"/>
    <col min="6922" max="6922" width="11.77734375" style="308" customWidth="1"/>
    <col min="6923" max="6923" width="10.5546875" style="308" customWidth="1"/>
    <col min="6924" max="6924" width="14.77734375" style="308" bestFit="1" customWidth="1"/>
    <col min="6925" max="6926" width="0" style="308" hidden="1" customWidth="1"/>
    <col min="6927" max="6927" width="12.5546875" style="308" customWidth="1"/>
    <col min="6928" max="6929" width="8.88671875" style="308"/>
    <col min="6930" max="6930" width="13.33203125" style="308" bestFit="1" customWidth="1"/>
    <col min="6931" max="7171" width="8.88671875" style="308"/>
    <col min="7172" max="7172" width="4.33203125" style="308" customWidth="1"/>
    <col min="7173" max="7173" width="15.77734375" style="308" customWidth="1"/>
    <col min="7174" max="7174" width="13.109375" style="308" customWidth="1"/>
    <col min="7175" max="7175" width="27.33203125" style="308" customWidth="1"/>
    <col min="7176" max="7176" width="19.88671875" style="308" bestFit="1" customWidth="1"/>
    <col min="7177" max="7177" width="13.88671875" style="308" customWidth="1"/>
    <col min="7178" max="7178" width="11.77734375" style="308" customWidth="1"/>
    <col min="7179" max="7179" width="10.5546875" style="308" customWidth="1"/>
    <col min="7180" max="7180" width="14.77734375" style="308" bestFit="1" customWidth="1"/>
    <col min="7181" max="7182" width="0" style="308" hidden="1" customWidth="1"/>
    <col min="7183" max="7183" width="12.5546875" style="308" customWidth="1"/>
    <col min="7184" max="7185" width="8.88671875" style="308"/>
    <col min="7186" max="7186" width="13.33203125" style="308" bestFit="1" customWidth="1"/>
    <col min="7187" max="7427" width="8.88671875" style="308"/>
    <col min="7428" max="7428" width="4.33203125" style="308" customWidth="1"/>
    <col min="7429" max="7429" width="15.77734375" style="308" customWidth="1"/>
    <col min="7430" max="7430" width="13.109375" style="308" customWidth="1"/>
    <col min="7431" max="7431" width="27.33203125" style="308" customWidth="1"/>
    <col min="7432" max="7432" width="19.88671875" style="308" bestFit="1" customWidth="1"/>
    <col min="7433" max="7433" width="13.88671875" style="308" customWidth="1"/>
    <col min="7434" max="7434" width="11.77734375" style="308" customWidth="1"/>
    <col min="7435" max="7435" width="10.5546875" style="308" customWidth="1"/>
    <col min="7436" max="7436" width="14.77734375" style="308" bestFit="1" customWidth="1"/>
    <col min="7437" max="7438" width="0" style="308" hidden="1" customWidth="1"/>
    <col min="7439" max="7439" width="12.5546875" style="308" customWidth="1"/>
    <col min="7440" max="7441" width="8.88671875" style="308"/>
    <col min="7442" max="7442" width="13.33203125" style="308" bestFit="1" customWidth="1"/>
    <col min="7443" max="7683" width="8.88671875" style="308"/>
    <col min="7684" max="7684" width="4.33203125" style="308" customWidth="1"/>
    <col min="7685" max="7685" width="15.77734375" style="308" customWidth="1"/>
    <col min="7686" max="7686" width="13.109375" style="308" customWidth="1"/>
    <col min="7687" max="7687" width="27.33203125" style="308" customWidth="1"/>
    <col min="7688" max="7688" width="19.88671875" style="308" bestFit="1" customWidth="1"/>
    <col min="7689" max="7689" width="13.88671875" style="308" customWidth="1"/>
    <col min="7690" max="7690" width="11.77734375" style="308" customWidth="1"/>
    <col min="7691" max="7691" width="10.5546875" style="308" customWidth="1"/>
    <col min="7692" max="7692" width="14.77734375" style="308" bestFit="1" customWidth="1"/>
    <col min="7693" max="7694" width="0" style="308" hidden="1" customWidth="1"/>
    <col min="7695" max="7695" width="12.5546875" style="308" customWidth="1"/>
    <col min="7696" max="7697" width="8.88671875" style="308"/>
    <col min="7698" max="7698" width="13.33203125" style="308" bestFit="1" customWidth="1"/>
    <col min="7699" max="7939" width="8.88671875" style="308"/>
    <col min="7940" max="7940" width="4.33203125" style="308" customWidth="1"/>
    <col min="7941" max="7941" width="15.77734375" style="308" customWidth="1"/>
    <col min="7942" max="7942" width="13.109375" style="308" customWidth="1"/>
    <col min="7943" max="7943" width="27.33203125" style="308" customWidth="1"/>
    <col min="7944" max="7944" width="19.88671875" style="308" bestFit="1" customWidth="1"/>
    <col min="7945" max="7945" width="13.88671875" style="308" customWidth="1"/>
    <col min="7946" max="7946" width="11.77734375" style="308" customWidth="1"/>
    <col min="7947" max="7947" width="10.5546875" style="308" customWidth="1"/>
    <col min="7948" max="7948" width="14.77734375" style="308" bestFit="1" customWidth="1"/>
    <col min="7949" max="7950" width="0" style="308" hidden="1" customWidth="1"/>
    <col min="7951" max="7951" width="12.5546875" style="308" customWidth="1"/>
    <col min="7952" max="7953" width="8.88671875" style="308"/>
    <col min="7954" max="7954" width="13.33203125" style="308" bestFit="1" customWidth="1"/>
    <col min="7955" max="8195" width="8.88671875" style="308"/>
    <col min="8196" max="8196" width="4.33203125" style="308" customWidth="1"/>
    <col min="8197" max="8197" width="15.77734375" style="308" customWidth="1"/>
    <col min="8198" max="8198" width="13.109375" style="308" customWidth="1"/>
    <col min="8199" max="8199" width="27.33203125" style="308" customWidth="1"/>
    <col min="8200" max="8200" width="19.88671875" style="308" bestFit="1" customWidth="1"/>
    <col min="8201" max="8201" width="13.88671875" style="308" customWidth="1"/>
    <col min="8202" max="8202" width="11.77734375" style="308" customWidth="1"/>
    <col min="8203" max="8203" width="10.5546875" style="308" customWidth="1"/>
    <col min="8204" max="8204" width="14.77734375" style="308" bestFit="1" customWidth="1"/>
    <col min="8205" max="8206" width="0" style="308" hidden="1" customWidth="1"/>
    <col min="8207" max="8207" width="12.5546875" style="308" customWidth="1"/>
    <col min="8208" max="8209" width="8.88671875" style="308"/>
    <col min="8210" max="8210" width="13.33203125" style="308" bestFit="1" customWidth="1"/>
    <col min="8211" max="8451" width="8.88671875" style="308"/>
    <col min="8452" max="8452" width="4.33203125" style="308" customWidth="1"/>
    <col min="8453" max="8453" width="15.77734375" style="308" customWidth="1"/>
    <col min="8454" max="8454" width="13.109375" style="308" customWidth="1"/>
    <col min="8455" max="8455" width="27.33203125" style="308" customWidth="1"/>
    <col min="8456" max="8456" width="19.88671875" style="308" bestFit="1" customWidth="1"/>
    <col min="8457" max="8457" width="13.88671875" style="308" customWidth="1"/>
    <col min="8458" max="8458" width="11.77734375" style="308" customWidth="1"/>
    <col min="8459" max="8459" width="10.5546875" style="308" customWidth="1"/>
    <col min="8460" max="8460" width="14.77734375" style="308" bestFit="1" customWidth="1"/>
    <col min="8461" max="8462" width="0" style="308" hidden="1" customWidth="1"/>
    <col min="8463" max="8463" width="12.5546875" style="308" customWidth="1"/>
    <col min="8464" max="8465" width="8.88671875" style="308"/>
    <col min="8466" max="8466" width="13.33203125" style="308" bestFit="1" customWidth="1"/>
    <col min="8467" max="8707" width="8.88671875" style="308"/>
    <col min="8708" max="8708" width="4.33203125" style="308" customWidth="1"/>
    <col min="8709" max="8709" width="15.77734375" style="308" customWidth="1"/>
    <col min="8710" max="8710" width="13.109375" style="308" customWidth="1"/>
    <col min="8711" max="8711" width="27.33203125" style="308" customWidth="1"/>
    <col min="8712" max="8712" width="19.88671875" style="308" bestFit="1" customWidth="1"/>
    <col min="8713" max="8713" width="13.88671875" style="308" customWidth="1"/>
    <col min="8714" max="8714" width="11.77734375" style="308" customWidth="1"/>
    <col min="8715" max="8715" width="10.5546875" style="308" customWidth="1"/>
    <col min="8716" max="8716" width="14.77734375" style="308" bestFit="1" customWidth="1"/>
    <col min="8717" max="8718" width="0" style="308" hidden="1" customWidth="1"/>
    <col min="8719" max="8719" width="12.5546875" style="308" customWidth="1"/>
    <col min="8720" max="8721" width="8.88671875" style="308"/>
    <col min="8722" max="8722" width="13.33203125" style="308" bestFit="1" customWidth="1"/>
    <col min="8723" max="8963" width="8.88671875" style="308"/>
    <col min="8964" max="8964" width="4.33203125" style="308" customWidth="1"/>
    <col min="8965" max="8965" width="15.77734375" style="308" customWidth="1"/>
    <col min="8966" max="8966" width="13.109375" style="308" customWidth="1"/>
    <col min="8967" max="8967" width="27.33203125" style="308" customWidth="1"/>
    <col min="8968" max="8968" width="19.88671875" style="308" bestFit="1" customWidth="1"/>
    <col min="8969" max="8969" width="13.88671875" style="308" customWidth="1"/>
    <col min="8970" max="8970" width="11.77734375" style="308" customWidth="1"/>
    <col min="8971" max="8971" width="10.5546875" style="308" customWidth="1"/>
    <col min="8972" max="8972" width="14.77734375" style="308" bestFit="1" customWidth="1"/>
    <col min="8973" max="8974" width="0" style="308" hidden="1" customWidth="1"/>
    <col min="8975" max="8975" width="12.5546875" style="308" customWidth="1"/>
    <col min="8976" max="8977" width="8.88671875" style="308"/>
    <col min="8978" max="8978" width="13.33203125" style="308" bestFit="1" customWidth="1"/>
    <col min="8979" max="9219" width="8.88671875" style="308"/>
    <col min="9220" max="9220" width="4.33203125" style="308" customWidth="1"/>
    <col min="9221" max="9221" width="15.77734375" style="308" customWidth="1"/>
    <col min="9222" max="9222" width="13.109375" style="308" customWidth="1"/>
    <col min="9223" max="9223" width="27.33203125" style="308" customWidth="1"/>
    <col min="9224" max="9224" width="19.88671875" style="308" bestFit="1" customWidth="1"/>
    <col min="9225" max="9225" width="13.88671875" style="308" customWidth="1"/>
    <col min="9226" max="9226" width="11.77734375" style="308" customWidth="1"/>
    <col min="9227" max="9227" width="10.5546875" style="308" customWidth="1"/>
    <col min="9228" max="9228" width="14.77734375" style="308" bestFit="1" customWidth="1"/>
    <col min="9229" max="9230" width="0" style="308" hidden="1" customWidth="1"/>
    <col min="9231" max="9231" width="12.5546875" style="308" customWidth="1"/>
    <col min="9232" max="9233" width="8.88671875" style="308"/>
    <col min="9234" max="9234" width="13.33203125" style="308" bestFit="1" customWidth="1"/>
    <col min="9235" max="9475" width="8.88671875" style="308"/>
    <col min="9476" max="9476" width="4.33203125" style="308" customWidth="1"/>
    <col min="9477" max="9477" width="15.77734375" style="308" customWidth="1"/>
    <col min="9478" max="9478" width="13.109375" style="308" customWidth="1"/>
    <col min="9479" max="9479" width="27.33203125" style="308" customWidth="1"/>
    <col min="9480" max="9480" width="19.88671875" style="308" bestFit="1" customWidth="1"/>
    <col min="9481" max="9481" width="13.88671875" style="308" customWidth="1"/>
    <col min="9482" max="9482" width="11.77734375" style="308" customWidth="1"/>
    <col min="9483" max="9483" width="10.5546875" style="308" customWidth="1"/>
    <col min="9484" max="9484" width="14.77734375" style="308" bestFit="1" customWidth="1"/>
    <col min="9485" max="9486" width="0" style="308" hidden="1" customWidth="1"/>
    <col min="9487" max="9487" width="12.5546875" style="308" customWidth="1"/>
    <col min="9488" max="9489" width="8.88671875" style="308"/>
    <col min="9490" max="9490" width="13.33203125" style="308" bestFit="1" customWidth="1"/>
    <col min="9491" max="9731" width="8.88671875" style="308"/>
    <col min="9732" max="9732" width="4.33203125" style="308" customWidth="1"/>
    <col min="9733" max="9733" width="15.77734375" style="308" customWidth="1"/>
    <col min="9734" max="9734" width="13.109375" style="308" customWidth="1"/>
    <col min="9735" max="9735" width="27.33203125" style="308" customWidth="1"/>
    <col min="9736" max="9736" width="19.88671875" style="308" bestFit="1" customWidth="1"/>
    <col min="9737" max="9737" width="13.88671875" style="308" customWidth="1"/>
    <col min="9738" max="9738" width="11.77734375" style="308" customWidth="1"/>
    <col min="9739" max="9739" width="10.5546875" style="308" customWidth="1"/>
    <col min="9740" max="9740" width="14.77734375" style="308" bestFit="1" customWidth="1"/>
    <col min="9741" max="9742" width="0" style="308" hidden="1" customWidth="1"/>
    <col min="9743" max="9743" width="12.5546875" style="308" customWidth="1"/>
    <col min="9744" max="9745" width="8.88671875" style="308"/>
    <col min="9746" max="9746" width="13.33203125" style="308" bestFit="1" customWidth="1"/>
    <col min="9747" max="9987" width="8.88671875" style="308"/>
    <col min="9988" max="9988" width="4.33203125" style="308" customWidth="1"/>
    <col min="9989" max="9989" width="15.77734375" style="308" customWidth="1"/>
    <col min="9990" max="9990" width="13.109375" style="308" customWidth="1"/>
    <col min="9991" max="9991" width="27.33203125" style="308" customWidth="1"/>
    <col min="9992" max="9992" width="19.88671875" style="308" bestFit="1" customWidth="1"/>
    <col min="9993" max="9993" width="13.88671875" style="308" customWidth="1"/>
    <col min="9994" max="9994" width="11.77734375" style="308" customWidth="1"/>
    <col min="9995" max="9995" width="10.5546875" style="308" customWidth="1"/>
    <col min="9996" max="9996" width="14.77734375" style="308" bestFit="1" customWidth="1"/>
    <col min="9997" max="9998" width="0" style="308" hidden="1" customWidth="1"/>
    <col min="9999" max="9999" width="12.5546875" style="308" customWidth="1"/>
    <col min="10000" max="10001" width="8.88671875" style="308"/>
    <col min="10002" max="10002" width="13.33203125" style="308" bestFit="1" customWidth="1"/>
    <col min="10003" max="10243" width="8.88671875" style="308"/>
    <col min="10244" max="10244" width="4.33203125" style="308" customWidth="1"/>
    <col min="10245" max="10245" width="15.77734375" style="308" customWidth="1"/>
    <col min="10246" max="10246" width="13.109375" style="308" customWidth="1"/>
    <col min="10247" max="10247" width="27.33203125" style="308" customWidth="1"/>
    <col min="10248" max="10248" width="19.88671875" style="308" bestFit="1" customWidth="1"/>
    <col min="10249" max="10249" width="13.88671875" style="308" customWidth="1"/>
    <col min="10250" max="10250" width="11.77734375" style="308" customWidth="1"/>
    <col min="10251" max="10251" width="10.5546875" style="308" customWidth="1"/>
    <col min="10252" max="10252" width="14.77734375" style="308" bestFit="1" customWidth="1"/>
    <col min="10253" max="10254" width="0" style="308" hidden="1" customWidth="1"/>
    <col min="10255" max="10255" width="12.5546875" style="308" customWidth="1"/>
    <col min="10256" max="10257" width="8.88671875" style="308"/>
    <col min="10258" max="10258" width="13.33203125" style="308" bestFit="1" customWidth="1"/>
    <col min="10259" max="10499" width="8.88671875" style="308"/>
    <col min="10500" max="10500" width="4.33203125" style="308" customWidth="1"/>
    <col min="10501" max="10501" width="15.77734375" style="308" customWidth="1"/>
    <col min="10502" max="10502" width="13.109375" style="308" customWidth="1"/>
    <col min="10503" max="10503" width="27.33203125" style="308" customWidth="1"/>
    <col min="10504" max="10504" width="19.88671875" style="308" bestFit="1" customWidth="1"/>
    <col min="10505" max="10505" width="13.88671875" style="308" customWidth="1"/>
    <col min="10506" max="10506" width="11.77734375" style="308" customWidth="1"/>
    <col min="10507" max="10507" width="10.5546875" style="308" customWidth="1"/>
    <col min="10508" max="10508" width="14.77734375" style="308" bestFit="1" customWidth="1"/>
    <col min="10509" max="10510" width="0" style="308" hidden="1" customWidth="1"/>
    <col min="10511" max="10511" width="12.5546875" style="308" customWidth="1"/>
    <col min="10512" max="10513" width="8.88671875" style="308"/>
    <col min="10514" max="10514" width="13.33203125" style="308" bestFit="1" customWidth="1"/>
    <col min="10515" max="10755" width="8.88671875" style="308"/>
    <col min="10756" max="10756" width="4.33203125" style="308" customWidth="1"/>
    <col min="10757" max="10757" width="15.77734375" style="308" customWidth="1"/>
    <col min="10758" max="10758" width="13.109375" style="308" customWidth="1"/>
    <col min="10759" max="10759" width="27.33203125" style="308" customWidth="1"/>
    <col min="10760" max="10760" width="19.88671875" style="308" bestFit="1" customWidth="1"/>
    <col min="10761" max="10761" width="13.88671875" style="308" customWidth="1"/>
    <col min="10762" max="10762" width="11.77734375" style="308" customWidth="1"/>
    <col min="10763" max="10763" width="10.5546875" style="308" customWidth="1"/>
    <col min="10764" max="10764" width="14.77734375" style="308" bestFit="1" customWidth="1"/>
    <col min="10765" max="10766" width="0" style="308" hidden="1" customWidth="1"/>
    <col min="10767" max="10767" width="12.5546875" style="308" customWidth="1"/>
    <col min="10768" max="10769" width="8.88671875" style="308"/>
    <col min="10770" max="10770" width="13.33203125" style="308" bestFit="1" customWidth="1"/>
    <col min="10771" max="11011" width="8.88671875" style="308"/>
    <col min="11012" max="11012" width="4.33203125" style="308" customWidth="1"/>
    <col min="11013" max="11013" width="15.77734375" style="308" customWidth="1"/>
    <col min="11014" max="11014" width="13.109375" style="308" customWidth="1"/>
    <col min="11015" max="11015" width="27.33203125" style="308" customWidth="1"/>
    <col min="11016" max="11016" width="19.88671875" style="308" bestFit="1" customWidth="1"/>
    <col min="11017" max="11017" width="13.88671875" style="308" customWidth="1"/>
    <col min="11018" max="11018" width="11.77734375" style="308" customWidth="1"/>
    <col min="11019" max="11019" width="10.5546875" style="308" customWidth="1"/>
    <col min="11020" max="11020" width="14.77734375" style="308" bestFit="1" customWidth="1"/>
    <col min="11021" max="11022" width="0" style="308" hidden="1" customWidth="1"/>
    <col min="11023" max="11023" width="12.5546875" style="308" customWidth="1"/>
    <col min="11024" max="11025" width="8.88671875" style="308"/>
    <col min="11026" max="11026" width="13.33203125" style="308" bestFit="1" customWidth="1"/>
    <col min="11027" max="11267" width="8.88671875" style="308"/>
    <col min="11268" max="11268" width="4.33203125" style="308" customWidth="1"/>
    <col min="11269" max="11269" width="15.77734375" style="308" customWidth="1"/>
    <col min="11270" max="11270" width="13.109375" style="308" customWidth="1"/>
    <col min="11271" max="11271" width="27.33203125" style="308" customWidth="1"/>
    <col min="11272" max="11272" width="19.88671875" style="308" bestFit="1" customWidth="1"/>
    <col min="11273" max="11273" width="13.88671875" style="308" customWidth="1"/>
    <col min="11274" max="11274" width="11.77734375" style="308" customWidth="1"/>
    <col min="11275" max="11275" width="10.5546875" style="308" customWidth="1"/>
    <col min="11276" max="11276" width="14.77734375" style="308" bestFit="1" customWidth="1"/>
    <col min="11277" max="11278" width="0" style="308" hidden="1" customWidth="1"/>
    <col min="11279" max="11279" width="12.5546875" style="308" customWidth="1"/>
    <col min="11280" max="11281" width="8.88671875" style="308"/>
    <col min="11282" max="11282" width="13.33203125" style="308" bestFit="1" customWidth="1"/>
    <col min="11283" max="11523" width="8.88671875" style="308"/>
    <col min="11524" max="11524" width="4.33203125" style="308" customWidth="1"/>
    <col min="11525" max="11525" width="15.77734375" style="308" customWidth="1"/>
    <col min="11526" max="11526" width="13.109375" style="308" customWidth="1"/>
    <col min="11527" max="11527" width="27.33203125" style="308" customWidth="1"/>
    <col min="11528" max="11528" width="19.88671875" style="308" bestFit="1" customWidth="1"/>
    <col min="11529" max="11529" width="13.88671875" style="308" customWidth="1"/>
    <col min="11530" max="11530" width="11.77734375" style="308" customWidth="1"/>
    <col min="11531" max="11531" width="10.5546875" style="308" customWidth="1"/>
    <col min="11532" max="11532" width="14.77734375" style="308" bestFit="1" customWidth="1"/>
    <col min="11533" max="11534" width="0" style="308" hidden="1" customWidth="1"/>
    <col min="11535" max="11535" width="12.5546875" style="308" customWidth="1"/>
    <col min="11536" max="11537" width="8.88671875" style="308"/>
    <col min="11538" max="11538" width="13.33203125" style="308" bestFit="1" customWidth="1"/>
    <col min="11539" max="11779" width="8.88671875" style="308"/>
    <col min="11780" max="11780" width="4.33203125" style="308" customWidth="1"/>
    <col min="11781" max="11781" width="15.77734375" style="308" customWidth="1"/>
    <col min="11782" max="11782" width="13.109375" style="308" customWidth="1"/>
    <col min="11783" max="11783" width="27.33203125" style="308" customWidth="1"/>
    <col min="11784" max="11784" width="19.88671875" style="308" bestFit="1" customWidth="1"/>
    <col min="11785" max="11785" width="13.88671875" style="308" customWidth="1"/>
    <col min="11786" max="11786" width="11.77734375" style="308" customWidth="1"/>
    <col min="11787" max="11787" width="10.5546875" style="308" customWidth="1"/>
    <col min="11788" max="11788" width="14.77734375" style="308" bestFit="1" customWidth="1"/>
    <col min="11789" max="11790" width="0" style="308" hidden="1" customWidth="1"/>
    <col min="11791" max="11791" width="12.5546875" style="308" customWidth="1"/>
    <col min="11792" max="11793" width="8.88671875" style="308"/>
    <col min="11794" max="11794" width="13.33203125" style="308" bestFit="1" customWidth="1"/>
    <col min="11795" max="12035" width="8.88671875" style="308"/>
    <col min="12036" max="12036" width="4.33203125" style="308" customWidth="1"/>
    <col min="12037" max="12037" width="15.77734375" style="308" customWidth="1"/>
    <col min="12038" max="12038" width="13.109375" style="308" customWidth="1"/>
    <col min="12039" max="12039" width="27.33203125" style="308" customWidth="1"/>
    <col min="12040" max="12040" width="19.88671875" style="308" bestFit="1" customWidth="1"/>
    <col min="12041" max="12041" width="13.88671875" style="308" customWidth="1"/>
    <col min="12042" max="12042" width="11.77734375" style="308" customWidth="1"/>
    <col min="12043" max="12043" width="10.5546875" style="308" customWidth="1"/>
    <col min="12044" max="12044" width="14.77734375" style="308" bestFit="1" customWidth="1"/>
    <col min="12045" max="12046" width="0" style="308" hidden="1" customWidth="1"/>
    <col min="12047" max="12047" width="12.5546875" style="308" customWidth="1"/>
    <col min="12048" max="12049" width="8.88671875" style="308"/>
    <col min="12050" max="12050" width="13.33203125" style="308" bestFit="1" customWidth="1"/>
    <col min="12051" max="12291" width="8.88671875" style="308"/>
    <col min="12292" max="12292" width="4.33203125" style="308" customWidth="1"/>
    <col min="12293" max="12293" width="15.77734375" style="308" customWidth="1"/>
    <col min="12294" max="12294" width="13.109375" style="308" customWidth="1"/>
    <col min="12295" max="12295" width="27.33203125" style="308" customWidth="1"/>
    <col min="12296" max="12296" width="19.88671875" style="308" bestFit="1" customWidth="1"/>
    <col min="12297" max="12297" width="13.88671875" style="308" customWidth="1"/>
    <col min="12298" max="12298" width="11.77734375" style="308" customWidth="1"/>
    <col min="12299" max="12299" width="10.5546875" style="308" customWidth="1"/>
    <col min="12300" max="12300" width="14.77734375" style="308" bestFit="1" customWidth="1"/>
    <col min="12301" max="12302" width="0" style="308" hidden="1" customWidth="1"/>
    <col min="12303" max="12303" width="12.5546875" style="308" customWidth="1"/>
    <col min="12304" max="12305" width="8.88671875" style="308"/>
    <col min="12306" max="12306" width="13.33203125" style="308" bestFit="1" customWidth="1"/>
    <col min="12307" max="12547" width="8.88671875" style="308"/>
    <col min="12548" max="12548" width="4.33203125" style="308" customWidth="1"/>
    <col min="12549" max="12549" width="15.77734375" style="308" customWidth="1"/>
    <col min="12550" max="12550" width="13.109375" style="308" customWidth="1"/>
    <col min="12551" max="12551" width="27.33203125" style="308" customWidth="1"/>
    <col min="12552" max="12552" width="19.88671875" style="308" bestFit="1" customWidth="1"/>
    <col min="12553" max="12553" width="13.88671875" style="308" customWidth="1"/>
    <col min="12554" max="12554" width="11.77734375" style="308" customWidth="1"/>
    <col min="12555" max="12555" width="10.5546875" style="308" customWidth="1"/>
    <col min="12556" max="12556" width="14.77734375" style="308" bestFit="1" customWidth="1"/>
    <col min="12557" max="12558" width="0" style="308" hidden="1" customWidth="1"/>
    <col min="12559" max="12559" width="12.5546875" style="308" customWidth="1"/>
    <col min="12560" max="12561" width="8.88671875" style="308"/>
    <col min="12562" max="12562" width="13.33203125" style="308" bestFit="1" customWidth="1"/>
    <col min="12563" max="12803" width="8.88671875" style="308"/>
    <col min="12804" max="12804" width="4.33203125" style="308" customWidth="1"/>
    <col min="12805" max="12805" width="15.77734375" style="308" customWidth="1"/>
    <col min="12806" max="12806" width="13.109375" style="308" customWidth="1"/>
    <col min="12807" max="12807" width="27.33203125" style="308" customWidth="1"/>
    <col min="12808" max="12808" width="19.88671875" style="308" bestFit="1" customWidth="1"/>
    <col min="12809" max="12809" width="13.88671875" style="308" customWidth="1"/>
    <col min="12810" max="12810" width="11.77734375" style="308" customWidth="1"/>
    <col min="12811" max="12811" width="10.5546875" style="308" customWidth="1"/>
    <col min="12812" max="12812" width="14.77734375" style="308" bestFit="1" customWidth="1"/>
    <col min="12813" max="12814" width="0" style="308" hidden="1" customWidth="1"/>
    <col min="12815" max="12815" width="12.5546875" style="308" customWidth="1"/>
    <col min="12816" max="12817" width="8.88671875" style="308"/>
    <col min="12818" max="12818" width="13.33203125" style="308" bestFit="1" customWidth="1"/>
    <col min="12819" max="13059" width="8.88671875" style="308"/>
    <col min="13060" max="13060" width="4.33203125" style="308" customWidth="1"/>
    <col min="13061" max="13061" width="15.77734375" style="308" customWidth="1"/>
    <col min="13062" max="13062" width="13.109375" style="308" customWidth="1"/>
    <col min="13063" max="13063" width="27.33203125" style="308" customWidth="1"/>
    <col min="13064" max="13064" width="19.88671875" style="308" bestFit="1" customWidth="1"/>
    <col min="13065" max="13065" width="13.88671875" style="308" customWidth="1"/>
    <col min="13066" max="13066" width="11.77734375" style="308" customWidth="1"/>
    <col min="13067" max="13067" width="10.5546875" style="308" customWidth="1"/>
    <col min="13068" max="13068" width="14.77734375" style="308" bestFit="1" customWidth="1"/>
    <col min="13069" max="13070" width="0" style="308" hidden="1" customWidth="1"/>
    <col min="13071" max="13071" width="12.5546875" style="308" customWidth="1"/>
    <col min="13072" max="13073" width="8.88671875" style="308"/>
    <col min="13074" max="13074" width="13.33203125" style="308" bestFit="1" customWidth="1"/>
    <col min="13075" max="13315" width="8.88671875" style="308"/>
    <col min="13316" max="13316" width="4.33203125" style="308" customWidth="1"/>
    <col min="13317" max="13317" width="15.77734375" style="308" customWidth="1"/>
    <col min="13318" max="13318" width="13.109375" style="308" customWidth="1"/>
    <col min="13319" max="13319" width="27.33203125" style="308" customWidth="1"/>
    <col min="13320" max="13320" width="19.88671875" style="308" bestFit="1" customWidth="1"/>
    <col min="13321" max="13321" width="13.88671875" style="308" customWidth="1"/>
    <col min="13322" max="13322" width="11.77734375" style="308" customWidth="1"/>
    <col min="13323" max="13323" width="10.5546875" style="308" customWidth="1"/>
    <col min="13324" max="13324" width="14.77734375" style="308" bestFit="1" customWidth="1"/>
    <col min="13325" max="13326" width="0" style="308" hidden="1" customWidth="1"/>
    <col min="13327" max="13327" width="12.5546875" style="308" customWidth="1"/>
    <col min="13328" max="13329" width="8.88671875" style="308"/>
    <col min="13330" max="13330" width="13.33203125" style="308" bestFit="1" customWidth="1"/>
    <col min="13331" max="13571" width="8.88671875" style="308"/>
    <col min="13572" max="13572" width="4.33203125" style="308" customWidth="1"/>
    <col min="13573" max="13573" width="15.77734375" style="308" customWidth="1"/>
    <col min="13574" max="13574" width="13.109375" style="308" customWidth="1"/>
    <col min="13575" max="13575" width="27.33203125" style="308" customWidth="1"/>
    <col min="13576" max="13576" width="19.88671875" style="308" bestFit="1" customWidth="1"/>
    <col min="13577" max="13577" width="13.88671875" style="308" customWidth="1"/>
    <col min="13578" max="13578" width="11.77734375" style="308" customWidth="1"/>
    <col min="13579" max="13579" width="10.5546875" style="308" customWidth="1"/>
    <col min="13580" max="13580" width="14.77734375" style="308" bestFit="1" customWidth="1"/>
    <col min="13581" max="13582" width="0" style="308" hidden="1" customWidth="1"/>
    <col min="13583" max="13583" width="12.5546875" style="308" customWidth="1"/>
    <col min="13584" max="13585" width="8.88671875" style="308"/>
    <col min="13586" max="13586" width="13.33203125" style="308" bestFit="1" customWidth="1"/>
    <col min="13587" max="13827" width="8.88671875" style="308"/>
    <col min="13828" max="13828" width="4.33203125" style="308" customWidth="1"/>
    <col min="13829" max="13829" width="15.77734375" style="308" customWidth="1"/>
    <col min="13830" max="13830" width="13.109375" style="308" customWidth="1"/>
    <col min="13831" max="13831" width="27.33203125" style="308" customWidth="1"/>
    <col min="13832" max="13832" width="19.88671875" style="308" bestFit="1" customWidth="1"/>
    <col min="13833" max="13833" width="13.88671875" style="308" customWidth="1"/>
    <col min="13834" max="13834" width="11.77734375" style="308" customWidth="1"/>
    <col min="13835" max="13835" width="10.5546875" style="308" customWidth="1"/>
    <col min="13836" max="13836" width="14.77734375" style="308" bestFit="1" customWidth="1"/>
    <col min="13837" max="13838" width="0" style="308" hidden="1" customWidth="1"/>
    <col min="13839" max="13839" width="12.5546875" style="308" customWidth="1"/>
    <col min="13840" max="13841" width="8.88671875" style="308"/>
    <col min="13842" max="13842" width="13.33203125" style="308" bestFit="1" customWidth="1"/>
    <col min="13843" max="14083" width="8.88671875" style="308"/>
    <col min="14084" max="14084" width="4.33203125" style="308" customWidth="1"/>
    <col min="14085" max="14085" width="15.77734375" style="308" customWidth="1"/>
    <col min="14086" max="14086" width="13.109375" style="308" customWidth="1"/>
    <col min="14087" max="14087" width="27.33203125" style="308" customWidth="1"/>
    <col min="14088" max="14088" width="19.88671875" style="308" bestFit="1" customWidth="1"/>
    <col min="14089" max="14089" width="13.88671875" style="308" customWidth="1"/>
    <col min="14090" max="14090" width="11.77734375" style="308" customWidth="1"/>
    <col min="14091" max="14091" width="10.5546875" style="308" customWidth="1"/>
    <col min="14092" max="14092" width="14.77734375" style="308" bestFit="1" customWidth="1"/>
    <col min="14093" max="14094" width="0" style="308" hidden="1" customWidth="1"/>
    <col min="14095" max="14095" width="12.5546875" style="308" customWidth="1"/>
    <col min="14096" max="14097" width="8.88671875" style="308"/>
    <col min="14098" max="14098" width="13.33203125" style="308" bestFit="1" customWidth="1"/>
    <col min="14099" max="14339" width="8.88671875" style="308"/>
    <col min="14340" max="14340" width="4.33203125" style="308" customWidth="1"/>
    <col min="14341" max="14341" width="15.77734375" style="308" customWidth="1"/>
    <col min="14342" max="14342" width="13.109375" style="308" customWidth="1"/>
    <col min="14343" max="14343" width="27.33203125" style="308" customWidth="1"/>
    <col min="14344" max="14344" width="19.88671875" style="308" bestFit="1" customWidth="1"/>
    <col min="14345" max="14345" width="13.88671875" style="308" customWidth="1"/>
    <col min="14346" max="14346" width="11.77734375" style="308" customWidth="1"/>
    <col min="14347" max="14347" width="10.5546875" style="308" customWidth="1"/>
    <col min="14348" max="14348" width="14.77734375" style="308" bestFit="1" customWidth="1"/>
    <col min="14349" max="14350" width="0" style="308" hidden="1" customWidth="1"/>
    <col min="14351" max="14351" width="12.5546875" style="308" customWidth="1"/>
    <col min="14352" max="14353" width="8.88671875" style="308"/>
    <col min="14354" max="14354" width="13.33203125" style="308" bestFit="1" customWidth="1"/>
    <col min="14355" max="14595" width="8.88671875" style="308"/>
    <col min="14596" max="14596" width="4.33203125" style="308" customWidth="1"/>
    <col min="14597" max="14597" width="15.77734375" style="308" customWidth="1"/>
    <col min="14598" max="14598" width="13.109375" style="308" customWidth="1"/>
    <col min="14599" max="14599" width="27.33203125" style="308" customWidth="1"/>
    <col min="14600" max="14600" width="19.88671875" style="308" bestFit="1" customWidth="1"/>
    <col min="14601" max="14601" width="13.88671875" style="308" customWidth="1"/>
    <col min="14602" max="14602" width="11.77734375" style="308" customWidth="1"/>
    <col min="14603" max="14603" width="10.5546875" style="308" customWidth="1"/>
    <col min="14604" max="14604" width="14.77734375" style="308" bestFit="1" customWidth="1"/>
    <col min="14605" max="14606" width="0" style="308" hidden="1" customWidth="1"/>
    <col min="14607" max="14607" width="12.5546875" style="308" customWidth="1"/>
    <col min="14608" max="14609" width="8.88671875" style="308"/>
    <col min="14610" max="14610" width="13.33203125" style="308" bestFit="1" customWidth="1"/>
    <col min="14611" max="14851" width="8.88671875" style="308"/>
    <col min="14852" max="14852" width="4.33203125" style="308" customWidth="1"/>
    <col min="14853" max="14853" width="15.77734375" style="308" customWidth="1"/>
    <col min="14854" max="14854" width="13.109375" style="308" customWidth="1"/>
    <col min="14855" max="14855" width="27.33203125" style="308" customWidth="1"/>
    <col min="14856" max="14856" width="19.88671875" style="308" bestFit="1" customWidth="1"/>
    <col min="14857" max="14857" width="13.88671875" style="308" customWidth="1"/>
    <col min="14858" max="14858" width="11.77734375" style="308" customWidth="1"/>
    <col min="14859" max="14859" width="10.5546875" style="308" customWidth="1"/>
    <col min="14860" max="14860" width="14.77734375" style="308" bestFit="1" customWidth="1"/>
    <col min="14861" max="14862" width="0" style="308" hidden="1" customWidth="1"/>
    <col min="14863" max="14863" width="12.5546875" style="308" customWidth="1"/>
    <col min="14864" max="14865" width="8.88671875" style="308"/>
    <col min="14866" max="14866" width="13.33203125" style="308" bestFit="1" customWidth="1"/>
    <col min="14867" max="15107" width="8.88671875" style="308"/>
    <col min="15108" max="15108" width="4.33203125" style="308" customWidth="1"/>
    <col min="15109" max="15109" width="15.77734375" style="308" customWidth="1"/>
    <col min="15110" max="15110" width="13.109375" style="308" customWidth="1"/>
    <col min="15111" max="15111" width="27.33203125" style="308" customWidth="1"/>
    <col min="15112" max="15112" width="19.88671875" style="308" bestFit="1" customWidth="1"/>
    <col min="15113" max="15113" width="13.88671875" style="308" customWidth="1"/>
    <col min="15114" max="15114" width="11.77734375" style="308" customWidth="1"/>
    <col min="15115" max="15115" width="10.5546875" style="308" customWidth="1"/>
    <col min="15116" max="15116" width="14.77734375" style="308" bestFit="1" customWidth="1"/>
    <col min="15117" max="15118" width="0" style="308" hidden="1" customWidth="1"/>
    <col min="15119" max="15119" width="12.5546875" style="308" customWidth="1"/>
    <col min="15120" max="15121" width="8.88671875" style="308"/>
    <col min="15122" max="15122" width="13.33203125" style="308" bestFit="1" customWidth="1"/>
    <col min="15123" max="15363" width="8.88671875" style="308"/>
    <col min="15364" max="15364" width="4.33203125" style="308" customWidth="1"/>
    <col min="15365" max="15365" width="15.77734375" style="308" customWidth="1"/>
    <col min="15366" max="15366" width="13.109375" style="308" customWidth="1"/>
    <col min="15367" max="15367" width="27.33203125" style="308" customWidth="1"/>
    <col min="15368" max="15368" width="19.88671875" style="308" bestFit="1" customWidth="1"/>
    <col min="15369" max="15369" width="13.88671875" style="308" customWidth="1"/>
    <col min="15370" max="15370" width="11.77734375" style="308" customWidth="1"/>
    <col min="15371" max="15371" width="10.5546875" style="308" customWidth="1"/>
    <col min="15372" max="15372" width="14.77734375" style="308" bestFit="1" customWidth="1"/>
    <col min="15373" max="15374" width="0" style="308" hidden="1" customWidth="1"/>
    <col min="15375" max="15375" width="12.5546875" style="308" customWidth="1"/>
    <col min="15376" max="15377" width="8.88671875" style="308"/>
    <col min="15378" max="15378" width="13.33203125" style="308" bestFit="1" customWidth="1"/>
    <col min="15379" max="15619" width="8.88671875" style="308"/>
    <col min="15620" max="15620" width="4.33203125" style="308" customWidth="1"/>
    <col min="15621" max="15621" width="15.77734375" style="308" customWidth="1"/>
    <col min="15622" max="15622" width="13.109375" style="308" customWidth="1"/>
    <col min="15623" max="15623" width="27.33203125" style="308" customWidth="1"/>
    <col min="15624" max="15624" width="19.88671875" style="308" bestFit="1" customWidth="1"/>
    <col min="15625" max="15625" width="13.88671875" style="308" customWidth="1"/>
    <col min="15626" max="15626" width="11.77734375" style="308" customWidth="1"/>
    <col min="15627" max="15627" width="10.5546875" style="308" customWidth="1"/>
    <col min="15628" max="15628" width="14.77734375" style="308" bestFit="1" customWidth="1"/>
    <col min="15629" max="15630" width="0" style="308" hidden="1" customWidth="1"/>
    <col min="15631" max="15631" width="12.5546875" style="308" customWidth="1"/>
    <col min="15632" max="15633" width="8.88671875" style="308"/>
    <col min="15634" max="15634" width="13.33203125" style="308" bestFit="1" customWidth="1"/>
    <col min="15635" max="15875" width="8.88671875" style="308"/>
    <col min="15876" max="15876" width="4.33203125" style="308" customWidth="1"/>
    <col min="15877" max="15877" width="15.77734375" style="308" customWidth="1"/>
    <col min="15878" max="15878" width="13.109375" style="308" customWidth="1"/>
    <col min="15879" max="15879" width="27.33203125" style="308" customWidth="1"/>
    <col min="15880" max="15880" width="19.88671875" style="308" bestFit="1" customWidth="1"/>
    <col min="15881" max="15881" width="13.88671875" style="308" customWidth="1"/>
    <col min="15882" max="15882" width="11.77734375" style="308" customWidth="1"/>
    <col min="15883" max="15883" width="10.5546875" style="308" customWidth="1"/>
    <col min="15884" max="15884" width="14.77734375" style="308" bestFit="1" customWidth="1"/>
    <col min="15885" max="15886" width="0" style="308" hidden="1" customWidth="1"/>
    <col min="15887" max="15887" width="12.5546875" style="308" customWidth="1"/>
    <col min="15888" max="15889" width="8.88671875" style="308"/>
    <col min="15890" max="15890" width="13.33203125" style="308" bestFit="1" customWidth="1"/>
    <col min="15891" max="16131" width="8.88671875" style="308"/>
    <col min="16132" max="16132" width="4.33203125" style="308" customWidth="1"/>
    <col min="16133" max="16133" width="15.77734375" style="308" customWidth="1"/>
    <col min="16134" max="16134" width="13.109375" style="308" customWidth="1"/>
    <col min="16135" max="16135" width="27.33203125" style="308" customWidth="1"/>
    <col min="16136" max="16136" width="19.88671875" style="308" bestFit="1" customWidth="1"/>
    <col min="16137" max="16137" width="13.88671875" style="308" customWidth="1"/>
    <col min="16138" max="16138" width="11.77734375" style="308" customWidth="1"/>
    <col min="16139" max="16139" width="10.5546875" style="308" customWidth="1"/>
    <col min="16140" max="16140" width="14.77734375" style="308" bestFit="1" customWidth="1"/>
    <col min="16141" max="16142" width="0" style="308" hidden="1" customWidth="1"/>
    <col min="16143" max="16143" width="12.5546875" style="308" customWidth="1"/>
    <col min="16144" max="16145" width="8.88671875" style="308"/>
    <col min="16146" max="16146" width="13.33203125" style="308" bestFit="1" customWidth="1"/>
    <col min="16147" max="16384" width="8.88671875" style="308"/>
  </cols>
  <sheetData>
    <row r="1" spans="1:17" ht="12.75" customHeight="1" x14ac:dyDescent="0.15"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</row>
    <row r="2" spans="1:17" s="309" customFormat="1" ht="38.1" customHeight="1" x14ac:dyDescent="0.15">
      <c r="A2" s="439" t="s">
        <v>138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</row>
    <row r="3" spans="1:17" ht="16.5" customHeight="1" x14ac:dyDescent="0.15">
      <c r="F3" s="440" t="s">
        <v>139</v>
      </c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</row>
    <row r="4" spans="1:17" ht="18.95" customHeight="1" thickBot="1" x14ac:dyDescent="0.2">
      <c r="F4" s="310"/>
      <c r="G4" s="441" t="s">
        <v>140</v>
      </c>
      <c r="H4" s="441"/>
      <c r="I4" s="441"/>
      <c r="J4" s="441"/>
      <c r="K4" s="441"/>
      <c r="L4" s="441"/>
      <c r="M4" s="441"/>
      <c r="N4" s="310"/>
      <c r="O4" s="310"/>
      <c r="P4" s="310"/>
      <c r="Q4" s="310"/>
    </row>
    <row r="5" spans="1:17" s="305" customFormat="1" ht="32.25" customHeight="1" x14ac:dyDescent="0.15">
      <c r="A5" s="311" t="s">
        <v>141</v>
      </c>
      <c r="B5" s="312" t="s">
        <v>142</v>
      </c>
      <c r="C5" s="311" t="s">
        <v>143</v>
      </c>
      <c r="D5" s="311" t="s">
        <v>144</v>
      </c>
      <c r="E5" s="313" t="s">
        <v>145</v>
      </c>
      <c r="F5" s="313" t="s">
        <v>146</v>
      </c>
      <c r="G5" s="314" t="s">
        <v>147</v>
      </c>
      <c r="H5" s="314" t="s">
        <v>128</v>
      </c>
      <c r="I5" s="314" t="s">
        <v>129</v>
      </c>
      <c r="J5" s="314" t="s">
        <v>148</v>
      </c>
      <c r="K5" s="315" t="s">
        <v>131</v>
      </c>
      <c r="L5" s="316" t="s">
        <v>149</v>
      </c>
      <c r="M5" s="317" t="s">
        <v>150</v>
      </c>
      <c r="N5" s="313" t="s">
        <v>151</v>
      </c>
      <c r="O5" s="312" t="s">
        <v>152</v>
      </c>
      <c r="P5" s="312" t="s">
        <v>153</v>
      </c>
      <c r="Q5" s="318" t="s">
        <v>154</v>
      </c>
    </row>
    <row r="6" spans="1:17" s="305" customFormat="1" ht="18.95" customHeight="1" x14ac:dyDescent="0.15">
      <c r="A6" s="319">
        <v>1</v>
      </c>
      <c r="B6" s="320"/>
      <c r="C6" s="321"/>
      <c r="D6" s="322"/>
      <c r="E6" s="322"/>
      <c r="F6" s="322"/>
      <c r="G6" s="322"/>
      <c r="H6" s="322"/>
      <c r="I6" s="322"/>
      <c r="J6" s="322"/>
      <c r="K6" s="322"/>
      <c r="L6" s="320"/>
      <c r="M6" s="323"/>
      <c r="N6" s="324"/>
      <c r="O6" s="325"/>
      <c r="P6" s="325"/>
      <c r="Q6" s="326"/>
    </row>
    <row r="7" spans="1:17" s="305" customFormat="1" ht="18.95" customHeight="1" x14ac:dyDescent="0.15">
      <c r="A7" s="319">
        <v>2</v>
      </c>
      <c r="B7" s="322"/>
      <c r="C7" s="321"/>
      <c r="D7" s="322"/>
      <c r="E7" s="322"/>
      <c r="F7" s="322"/>
      <c r="G7" s="322"/>
      <c r="H7" s="322"/>
      <c r="I7" s="322"/>
      <c r="J7" s="322"/>
      <c r="K7" s="322"/>
      <c r="L7" s="322"/>
      <c r="M7" s="323"/>
      <c r="N7" s="324"/>
      <c r="O7" s="325"/>
      <c r="P7" s="325"/>
      <c r="Q7" s="326"/>
    </row>
    <row r="8" spans="1:17" s="305" customFormat="1" ht="18.95" customHeight="1" x14ac:dyDescent="0.15">
      <c r="A8" s="319">
        <v>3</v>
      </c>
      <c r="B8" s="322"/>
      <c r="C8" s="321"/>
      <c r="D8" s="322"/>
      <c r="E8" s="322"/>
      <c r="F8" s="322"/>
      <c r="G8" s="322"/>
      <c r="H8" s="322"/>
      <c r="I8" s="322"/>
      <c r="J8" s="322"/>
      <c r="K8" s="322"/>
      <c r="L8" s="327"/>
      <c r="M8" s="328"/>
      <c r="N8" s="329"/>
      <c r="O8" s="330"/>
      <c r="P8" s="330"/>
      <c r="Q8" s="326"/>
    </row>
    <row r="9" spans="1:17" s="305" customFormat="1" ht="18.95" customHeight="1" x14ac:dyDescent="0.15">
      <c r="A9" s="319">
        <v>4</v>
      </c>
      <c r="B9" s="322"/>
      <c r="C9" s="321"/>
      <c r="D9" s="322"/>
      <c r="E9" s="322"/>
      <c r="F9" s="322"/>
      <c r="G9" s="322"/>
      <c r="H9" s="322"/>
      <c r="I9" s="322"/>
      <c r="J9" s="322"/>
      <c r="K9" s="331"/>
      <c r="L9" s="327"/>
      <c r="M9" s="328"/>
      <c r="N9" s="329"/>
      <c r="O9" s="330"/>
      <c r="P9" s="330"/>
      <c r="Q9" s="326"/>
    </row>
    <row r="10" spans="1:17" s="305" customFormat="1" ht="18.95" customHeight="1" x14ac:dyDescent="0.15">
      <c r="A10" s="319">
        <v>5</v>
      </c>
      <c r="B10" s="322"/>
      <c r="C10" s="321"/>
      <c r="D10" s="322"/>
      <c r="E10" s="322"/>
      <c r="F10" s="322"/>
      <c r="G10" s="322"/>
      <c r="H10" s="322"/>
      <c r="I10" s="322"/>
      <c r="J10" s="322"/>
      <c r="K10" s="331"/>
      <c r="L10" s="327"/>
      <c r="M10" s="328"/>
      <c r="N10" s="329"/>
      <c r="O10" s="330"/>
      <c r="P10" s="330"/>
      <c r="Q10" s="326"/>
    </row>
    <row r="11" spans="1:17" s="305" customFormat="1" ht="18.95" customHeight="1" x14ac:dyDescent="0.15">
      <c r="A11" s="319">
        <v>6</v>
      </c>
      <c r="B11" s="322"/>
      <c r="C11" s="321"/>
      <c r="D11" s="322"/>
      <c r="E11" s="322"/>
      <c r="F11" s="322"/>
      <c r="G11" s="322"/>
      <c r="H11" s="322"/>
      <c r="I11" s="322"/>
      <c r="J11" s="322"/>
      <c r="K11" s="331"/>
      <c r="L11" s="327"/>
      <c r="M11" s="328"/>
      <c r="N11" s="329"/>
      <c r="O11" s="330"/>
      <c r="P11" s="330"/>
      <c r="Q11" s="326"/>
    </row>
    <row r="12" spans="1:17" s="305" customFormat="1" ht="18.95" customHeight="1" x14ac:dyDescent="0.15">
      <c r="A12" s="319">
        <v>7</v>
      </c>
      <c r="B12" s="322"/>
      <c r="C12" s="321"/>
      <c r="D12" s="322"/>
      <c r="E12" s="322"/>
      <c r="F12" s="322"/>
      <c r="G12" s="322"/>
      <c r="H12" s="322"/>
      <c r="I12" s="322"/>
      <c r="J12" s="322"/>
      <c r="K12" s="331"/>
      <c r="L12" s="327"/>
      <c r="M12" s="328"/>
      <c r="N12" s="329"/>
      <c r="O12" s="330"/>
      <c r="P12" s="330"/>
      <c r="Q12" s="326"/>
    </row>
    <row r="13" spans="1:17" s="305" customFormat="1" ht="18.95" customHeight="1" x14ac:dyDescent="0.15">
      <c r="A13" s="319">
        <v>8</v>
      </c>
      <c r="B13" s="322"/>
      <c r="C13" s="321"/>
      <c r="D13" s="322"/>
      <c r="E13" s="322"/>
      <c r="F13" s="322"/>
      <c r="G13" s="322"/>
      <c r="H13" s="322"/>
      <c r="I13" s="322"/>
      <c r="J13" s="322"/>
      <c r="K13" s="331"/>
      <c r="L13" s="327"/>
      <c r="M13" s="328"/>
      <c r="N13" s="329"/>
      <c r="O13" s="330"/>
      <c r="P13" s="330"/>
      <c r="Q13" s="326"/>
    </row>
    <row r="14" spans="1:17" s="305" customFormat="1" ht="18.95" customHeight="1" x14ac:dyDescent="0.15">
      <c r="A14" s="319">
        <v>9</v>
      </c>
      <c r="B14" s="322"/>
      <c r="C14" s="321"/>
      <c r="D14" s="322"/>
      <c r="E14" s="322"/>
      <c r="F14" s="322"/>
      <c r="G14" s="322"/>
      <c r="H14" s="322"/>
      <c r="I14" s="322"/>
      <c r="J14" s="322"/>
      <c r="K14" s="331"/>
      <c r="L14" s="327"/>
      <c r="M14" s="328"/>
      <c r="N14" s="329"/>
      <c r="O14" s="330"/>
      <c r="P14" s="330"/>
      <c r="Q14" s="326"/>
    </row>
    <row r="15" spans="1:17" s="305" customFormat="1" ht="18.95" customHeight="1" x14ac:dyDescent="0.15">
      <c r="A15" s="319">
        <v>10</v>
      </c>
      <c r="B15" s="322"/>
      <c r="C15" s="321"/>
      <c r="D15" s="322"/>
      <c r="E15" s="322"/>
      <c r="F15" s="322"/>
      <c r="G15" s="322"/>
      <c r="H15" s="322"/>
      <c r="I15" s="322"/>
      <c r="J15" s="322"/>
      <c r="K15" s="331"/>
      <c r="L15" s="327"/>
      <c r="M15" s="328"/>
      <c r="N15" s="329"/>
      <c r="O15" s="330"/>
      <c r="P15" s="330"/>
      <c r="Q15" s="326"/>
    </row>
    <row r="16" spans="1:17" s="305" customFormat="1" ht="18.95" customHeight="1" x14ac:dyDescent="0.15">
      <c r="A16" s="319">
        <v>11</v>
      </c>
      <c r="B16" s="322"/>
      <c r="C16" s="321"/>
      <c r="D16" s="322"/>
      <c r="E16" s="322"/>
      <c r="F16" s="322"/>
      <c r="G16" s="322"/>
      <c r="H16" s="322"/>
      <c r="I16" s="322"/>
      <c r="J16" s="322"/>
      <c r="K16" s="331"/>
      <c r="L16" s="327"/>
      <c r="M16" s="328"/>
      <c r="N16" s="329"/>
      <c r="O16" s="330"/>
      <c r="P16" s="330"/>
      <c r="Q16" s="326"/>
    </row>
    <row r="17" spans="1:17" s="305" customFormat="1" ht="18.95" customHeight="1" x14ac:dyDescent="0.15">
      <c r="A17" s="319">
        <v>12</v>
      </c>
      <c r="B17" s="322"/>
      <c r="C17" s="321"/>
      <c r="D17" s="322"/>
      <c r="E17" s="322"/>
      <c r="F17" s="322"/>
      <c r="G17" s="322"/>
      <c r="H17" s="322"/>
      <c r="I17" s="322"/>
      <c r="J17" s="322"/>
      <c r="K17" s="331"/>
      <c r="L17" s="327"/>
      <c r="M17" s="328"/>
      <c r="N17" s="329"/>
      <c r="O17" s="330"/>
      <c r="P17" s="330"/>
      <c r="Q17" s="326"/>
    </row>
    <row r="18" spans="1:17" s="305" customFormat="1" ht="18.95" customHeight="1" x14ac:dyDescent="0.15">
      <c r="A18" s="319">
        <v>13</v>
      </c>
      <c r="B18" s="322"/>
      <c r="C18" s="321"/>
      <c r="D18" s="322"/>
      <c r="E18" s="322"/>
      <c r="F18" s="322"/>
      <c r="G18" s="322"/>
      <c r="H18" s="322"/>
      <c r="I18" s="322"/>
      <c r="J18" s="322"/>
      <c r="K18" s="331"/>
      <c r="L18" s="327"/>
      <c r="M18" s="328"/>
      <c r="N18" s="329"/>
      <c r="O18" s="330"/>
      <c r="P18" s="330"/>
      <c r="Q18" s="326"/>
    </row>
    <row r="19" spans="1:17" s="305" customFormat="1" ht="20.100000000000001" customHeight="1" thickBot="1" x14ac:dyDescent="0.2">
      <c r="A19" s="332"/>
      <c r="B19" s="333" t="s">
        <v>155</v>
      </c>
      <c r="C19" s="334"/>
      <c r="D19" s="335"/>
      <c r="E19" s="332"/>
      <c r="F19" s="332"/>
      <c r="G19" s="332">
        <f t="shared" ref="G19:Q19" si="0">SUM(G6:G18)</f>
        <v>0</v>
      </c>
      <c r="H19" s="332">
        <f t="shared" si="0"/>
        <v>0</v>
      </c>
      <c r="I19" s="332">
        <f t="shared" si="0"/>
        <v>0</v>
      </c>
      <c r="J19" s="332">
        <f t="shared" si="0"/>
        <v>0</v>
      </c>
      <c r="K19" s="332">
        <f t="shared" si="0"/>
        <v>0</v>
      </c>
      <c r="L19" s="336">
        <f t="shared" si="0"/>
        <v>0</v>
      </c>
      <c r="M19" s="337">
        <f t="shared" si="0"/>
        <v>0</v>
      </c>
      <c r="N19" s="338">
        <f t="shared" si="0"/>
        <v>0</v>
      </c>
      <c r="O19" s="338">
        <f t="shared" si="0"/>
        <v>0</v>
      </c>
      <c r="P19" s="338">
        <f t="shared" si="0"/>
        <v>0</v>
      </c>
      <c r="Q19" s="339">
        <f t="shared" si="0"/>
        <v>0</v>
      </c>
    </row>
    <row r="21" spans="1:17" ht="38.1" customHeight="1" thickBot="1" x14ac:dyDescent="0.2">
      <c r="A21" s="439" t="s">
        <v>156</v>
      </c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</row>
    <row r="22" spans="1:17" ht="18.95" customHeight="1" x14ac:dyDescent="0.15">
      <c r="A22" s="340" t="s">
        <v>141</v>
      </c>
      <c r="B22" s="442" t="s">
        <v>144</v>
      </c>
      <c r="C22" s="442"/>
      <c r="D22" s="443"/>
      <c r="E22" s="444" t="s">
        <v>157</v>
      </c>
      <c r="F22" s="442"/>
      <c r="G22" s="442"/>
      <c r="H22" s="442"/>
      <c r="I22" s="442"/>
      <c r="J22" s="442"/>
      <c r="K22" s="442"/>
      <c r="L22" s="442"/>
      <c r="M22" s="442"/>
      <c r="N22" s="442" t="s">
        <v>158</v>
      </c>
      <c r="O22" s="442"/>
      <c r="P22" s="442" t="s">
        <v>159</v>
      </c>
      <c r="Q22" s="445"/>
    </row>
    <row r="23" spans="1:17" ht="18.75" customHeight="1" x14ac:dyDescent="0.15">
      <c r="A23" s="341">
        <v>1</v>
      </c>
      <c r="B23" s="433">
        <f t="shared" ref="B23:B35" si="1">D6</f>
        <v>0</v>
      </c>
      <c r="C23" s="434"/>
      <c r="D23" s="434"/>
      <c r="E23" s="435"/>
      <c r="F23" s="436"/>
      <c r="G23" s="436"/>
      <c r="H23" s="436"/>
      <c r="I23" s="436"/>
      <c r="J23" s="436"/>
      <c r="K23" s="436"/>
      <c r="L23" s="436"/>
      <c r="M23" s="436"/>
      <c r="N23" s="437"/>
      <c r="O23" s="437"/>
      <c r="P23" s="437"/>
      <c r="Q23" s="438"/>
    </row>
    <row r="24" spans="1:17" ht="18.95" customHeight="1" x14ac:dyDescent="0.15">
      <c r="A24" s="341">
        <v>2</v>
      </c>
      <c r="B24" s="433">
        <f t="shared" si="1"/>
        <v>0</v>
      </c>
      <c r="C24" s="434"/>
      <c r="D24" s="434"/>
      <c r="E24" s="435"/>
      <c r="F24" s="436"/>
      <c r="G24" s="436"/>
      <c r="H24" s="436"/>
      <c r="I24" s="436"/>
      <c r="J24" s="436"/>
      <c r="K24" s="436"/>
      <c r="L24" s="436"/>
      <c r="M24" s="436"/>
      <c r="N24" s="437"/>
      <c r="O24" s="437"/>
      <c r="P24" s="437"/>
      <c r="Q24" s="438"/>
    </row>
    <row r="25" spans="1:17" ht="18.95" customHeight="1" x14ac:dyDescent="0.15">
      <c r="A25" s="341">
        <v>3</v>
      </c>
      <c r="B25" s="433">
        <f t="shared" si="1"/>
        <v>0</v>
      </c>
      <c r="C25" s="434"/>
      <c r="D25" s="434"/>
      <c r="E25" s="435"/>
      <c r="F25" s="436"/>
      <c r="G25" s="436"/>
      <c r="H25" s="436"/>
      <c r="I25" s="436"/>
      <c r="J25" s="436"/>
      <c r="K25" s="436"/>
      <c r="L25" s="436"/>
      <c r="M25" s="436"/>
      <c r="N25" s="437"/>
      <c r="O25" s="437"/>
      <c r="P25" s="437"/>
      <c r="Q25" s="438"/>
    </row>
    <row r="26" spans="1:17" ht="18.95" customHeight="1" x14ac:dyDescent="0.15">
      <c r="A26" s="341">
        <v>4</v>
      </c>
      <c r="B26" s="433">
        <f t="shared" si="1"/>
        <v>0</v>
      </c>
      <c r="C26" s="434"/>
      <c r="D26" s="434"/>
      <c r="E26" s="435"/>
      <c r="F26" s="436"/>
      <c r="G26" s="436"/>
      <c r="H26" s="436"/>
      <c r="I26" s="436"/>
      <c r="J26" s="436"/>
      <c r="K26" s="436"/>
      <c r="L26" s="436"/>
      <c r="M26" s="436"/>
      <c r="N26" s="437"/>
      <c r="O26" s="437"/>
      <c r="P26" s="437"/>
      <c r="Q26" s="438"/>
    </row>
    <row r="27" spans="1:17" ht="18.95" customHeight="1" x14ac:dyDescent="0.15">
      <c r="A27" s="341">
        <v>5</v>
      </c>
      <c r="B27" s="433">
        <f t="shared" si="1"/>
        <v>0</v>
      </c>
      <c r="C27" s="434"/>
      <c r="D27" s="434"/>
      <c r="E27" s="435"/>
      <c r="F27" s="436"/>
      <c r="G27" s="436"/>
      <c r="H27" s="436"/>
      <c r="I27" s="436"/>
      <c r="J27" s="436"/>
      <c r="K27" s="436"/>
      <c r="L27" s="436"/>
      <c r="M27" s="436"/>
      <c r="N27" s="437"/>
      <c r="O27" s="437"/>
      <c r="P27" s="437"/>
      <c r="Q27" s="438"/>
    </row>
    <row r="28" spans="1:17" ht="18.95" customHeight="1" x14ac:dyDescent="0.15">
      <c r="A28" s="341">
        <v>6</v>
      </c>
      <c r="B28" s="433">
        <f t="shared" si="1"/>
        <v>0</v>
      </c>
      <c r="C28" s="434"/>
      <c r="D28" s="434"/>
      <c r="E28" s="435"/>
      <c r="F28" s="436"/>
      <c r="G28" s="436"/>
      <c r="H28" s="436"/>
      <c r="I28" s="436"/>
      <c r="J28" s="436"/>
      <c r="K28" s="436"/>
      <c r="L28" s="436"/>
      <c r="M28" s="436"/>
      <c r="N28" s="437"/>
      <c r="O28" s="437"/>
      <c r="P28" s="437"/>
      <c r="Q28" s="438"/>
    </row>
    <row r="29" spans="1:17" ht="18.95" customHeight="1" x14ac:dyDescent="0.15">
      <c r="A29" s="341">
        <v>7</v>
      </c>
      <c r="B29" s="433">
        <f t="shared" si="1"/>
        <v>0</v>
      </c>
      <c r="C29" s="434"/>
      <c r="D29" s="434"/>
      <c r="E29" s="435"/>
      <c r="F29" s="436"/>
      <c r="G29" s="436"/>
      <c r="H29" s="436"/>
      <c r="I29" s="436"/>
      <c r="J29" s="436"/>
      <c r="K29" s="436"/>
      <c r="L29" s="436"/>
      <c r="M29" s="436"/>
      <c r="N29" s="437"/>
      <c r="O29" s="437"/>
      <c r="P29" s="437"/>
      <c r="Q29" s="438"/>
    </row>
    <row r="30" spans="1:17" ht="18.95" customHeight="1" x14ac:dyDescent="0.15">
      <c r="A30" s="341">
        <v>8</v>
      </c>
      <c r="B30" s="433">
        <f t="shared" si="1"/>
        <v>0</v>
      </c>
      <c r="C30" s="434"/>
      <c r="D30" s="434"/>
      <c r="E30" s="435"/>
      <c r="F30" s="436"/>
      <c r="G30" s="436"/>
      <c r="H30" s="436"/>
      <c r="I30" s="436"/>
      <c r="J30" s="436"/>
      <c r="K30" s="436"/>
      <c r="L30" s="436"/>
      <c r="M30" s="436"/>
      <c r="N30" s="437"/>
      <c r="O30" s="437"/>
      <c r="P30" s="437"/>
      <c r="Q30" s="438"/>
    </row>
    <row r="31" spans="1:17" ht="18.95" customHeight="1" x14ac:dyDescent="0.15">
      <c r="A31" s="341">
        <v>9</v>
      </c>
      <c r="B31" s="433">
        <f t="shared" si="1"/>
        <v>0</v>
      </c>
      <c r="C31" s="434"/>
      <c r="D31" s="434"/>
      <c r="E31" s="435"/>
      <c r="F31" s="436"/>
      <c r="G31" s="436"/>
      <c r="H31" s="436"/>
      <c r="I31" s="436"/>
      <c r="J31" s="436"/>
      <c r="K31" s="436"/>
      <c r="L31" s="436"/>
      <c r="M31" s="436"/>
      <c r="N31" s="437"/>
      <c r="O31" s="437"/>
      <c r="P31" s="437"/>
      <c r="Q31" s="438"/>
    </row>
    <row r="32" spans="1:17" ht="18.95" customHeight="1" x14ac:dyDescent="0.15">
      <c r="A32" s="341">
        <v>10</v>
      </c>
      <c r="B32" s="433">
        <f t="shared" si="1"/>
        <v>0</v>
      </c>
      <c r="C32" s="434"/>
      <c r="D32" s="434"/>
      <c r="E32" s="435"/>
      <c r="F32" s="436"/>
      <c r="G32" s="436"/>
      <c r="H32" s="436"/>
      <c r="I32" s="436"/>
      <c r="J32" s="436"/>
      <c r="K32" s="436"/>
      <c r="L32" s="436"/>
      <c r="M32" s="436"/>
      <c r="N32" s="437"/>
      <c r="O32" s="437"/>
      <c r="P32" s="437"/>
      <c r="Q32" s="438"/>
    </row>
    <row r="33" spans="1:17" ht="18.95" customHeight="1" x14ac:dyDescent="0.15">
      <c r="A33" s="341">
        <v>11</v>
      </c>
      <c r="B33" s="433">
        <f t="shared" si="1"/>
        <v>0</v>
      </c>
      <c r="C33" s="434"/>
      <c r="D33" s="434"/>
      <c r="E33" s="435"/>
      <c r="F33" s="436"/>
      <c r="G33" s="436"/>
      <c r="H33" s="436"/>
      <c r="I33" s="436"/>
      <c r="J33" s="436"/>
      <c r="K33" s="436"/>
      <c r="L33" s="436"/>
      <c r="M33" s="436"/>
      <c r="N33" s="437"/>
      <c r="O33" s="437"/>
      <c r="P33" s="437"/>
      <c r="Q33" s="438"/>
    </row>
    <row r="34" spans="1:17" ht="18.95" customHeight="1" x14ac:dyDescent="0.15">
      <c r="A34" s="341">
        <v>12</v>
      </c>
      <c r="B34" s="433">
        <f t="shared" si="1"/>
        <v>0</v>
      </c>
      <c r="C34" s="434"/>
      <c r="D34" s="434"/>
      <c r="E34" s="435"/>
      <c r="F34" s="436"/>
      <c r="G34" s="436"/>
      <c r="H34" s="436"/>
      <c r="I34" s="436"/>
      <c r="J34" s="436"/>
      <c r="K34" s="436"/>
      <c r="L34" s="436"/>
      <c r="M34" s="436"/>
      <c r="N34" s="437"/>
      <c r="O34" s="437"/>
      <c r="P34" s="437"/>
      <c r="Q34" s="438"/>
    </row>
    <row r="35" spans="1:17" ht="18.95" customHeight="1" thickBot="1" x14ac:dyDescent="0.2">
      <c r="A35" s="342">
        <v>13</v>
      </c>
      <c r="B35" s="409">
        <f t="shared" si="1"/>
        <v>0</v>
      </c>
      <c r="C35" s="410"/>
      <c r="D35" s="410"/>
      <c r="E35" s="411"/>
      <c r="F35" s="412"/>
      <c r="G35" s="412"/>
      <c r="H35" s="412"/>
      <c r="I35" s="412"/>
      <c r="J35" s="412"/>
      <c r="K35" s="412"/>
      <c r="L35" s="412"/>
      <c r="M35" s="412"/>
      <c r="N35" s="413"/>
      <c r="O35" s="413"/>
      <c r="P35" s="413"/>
      <c r="Q35" s="414"/>
    </row>
    <row r="36" spans="1:17" ht="18.95" customHeight="1" x14ac:dyDescent="0.15">
      <c r="A36" s="415"/>
      <c r="B36" s="417"/>
      <c r="C36" s="418"/>
      <c r="D36" s="419"/>
      <c r="E36" s="423" t="s">
        <v>155</v>
      </c>
      <c r="F36" s="424"/>
      <c r="G36" s="424"/>
      <c r="H36" s="424"/>
      <c r="I36" s="424"/>
      <c r="J36" s="424"/>
      <c r="K36" s="424"/>
      <c r="L36" s="424"/>
      <c r="M36" s="425"/>
      <c r="N36" s="429">
        <f>SUM(N23:O35)</f>
        <v>0</v>
      </c>
      <c r="O36" s="429"/>
      <c r="P36" s="429">
        <f>SUM(P23:Q35)</f>
        <v>0</v>
      </c>
      <c r="Q36" s="430"/>
    </row>
    <row r="37" spans="1:17" ht="18.95" customHeight="1" thickBot="1" x14ac:dyDescent="0.2">
      <c r="A37" s="416"/>
      <c r="B37" s="420"/>
      <c r="C37" s="421"/>
      <c r="D37" s="422"/>
      <c r="E37" s="426"/>
      <c r="F37" s="427"/>
      <c r="G37" s="427"/>
      <c r="H37" s="427"/>
      <c r="I37" s="427"/>
      <c r="J37" s="427"/>
      <c r="K37" s="427"/>
      <c r="L37" s="427"/>
      <c r="M37" s="428"/>
      <c r="N37" s="431"/>
      <c r="O37" s="431"/>
      <c r="P37" s="431"/>
      <c r="Q37" s="432"/>
    </row>
  </sheetData>
  <mergeCells count="66">
    <mergeCell ref="A2:P2"/>
    <mergeCell ref="F3:Q3"/>
    <mergeCell ref="G4:M4"/>
    <mergeCell ref="A21:Q21"/>
    <mergeCell ref="B22:D22"/>
    <mergeCell ref="E22:M22"/>
    <mergeCell ref="N22:O22"/>
    <mergeCell ref="P22:Q22"/>
    <mergeCell ref="B23:D23"/>
    <mergeCell ref="E23:M23"/>
    <mergeCell ref="N23:O23"/>
    <mergeCell ref="P23:Q23"/>
    <mergeCell ref="B24:D24"/>
    <mergeCell ref="E24:M24"/>
    <mergeCell ref="N24:O24"/>
    <mergeCell ref="P24:Q24"/>
    <mergeCell ref="B25:D25"/>
    <mergeCell ref="E25:M25"/>
    <mergeCell ref="N25:O25"/>
    <mergeCell ref="P25:Q25"/>
    <mergeCell ref="B26:D26"/>
    <mergeCell ref="E26:M26"/>
    <mergeCell ref="N26:O26"/>
    <mergeCell ref="P26:Q26"/>
    <mergeCell ref="B27:D27"/>
    <mergeCell ref="E27:M27"/>
    <mergeCell ref="N27:O27"/>
    <mergeCell ref="P27:Q27"/>
    <mergeCell ref="B28:D28"/>
    <mergeCell ref="E28:M28"/>
    <mergeCell ref="N28:O28"/>
    <mergeCell ref="P28:Q28"/>
    <mergeCell ref="B29:D29"/>
    <mergeCell ref="E29:M29"/>
    <mergeCell ref="N29:O29"/>
    <mergeCell ref="P29:Q29"/>
    <mergeCell ref="B30:D30"/>
    <mergeCell ref="E30:M30"/>
    <mergeCell ref="N30:O30"/>
    <mergeCell ref="P30:Q30"/>
    <mergeCell ref="B31:D31"/>
    <mergeCell ref="E31:M31"/>
    <mergeCell ref="N31:O31"/>
    <mergeCell ref="P31:Q31"/>
    <mergeCell ref="B32:D32"/>
    <mergeCell ref="E32:M32"/>
    <mergeCell ref="N32:O32"/>
    <mergeCell ref="P32:Q32"/>
    <mergeCell ref="B33:D33"/>
    <mergeCell ref="E33:M33"/>
    <mergeCell ref="N33:O33"/>
    <mergeCell ref="P33:Q33"/>
    <mergeCell ref="B34:D34"/>
    <mergeCell ref="E34:M34"/>
    <mergeCell ref="N34:O34"/>
    <mergeCell ref="P34:Q34"/>
    <mergeCell ref="B35:D35"/>
    <mergeCell ref="E35:M35"/>
    <mergeCell ref="N35:O35"/>
    <mergeCell ref="P35:Q35"/>
    <mergeCell ref="A36:A37"/>
    <mergeCell ref="B36:D37"/>
    <mergeCell ref="E36:M37"/>
    <mergeCell ref="N36:O36"/>
    <mergeCell ref="P36:Q36"/>
    <mergeCell ref="N37:Q37"/>
  </mergeCells>
  <phoneticPr fontId="12" type="noConversion"/>
  <conditionalFormatting sqref="N1:Q2 N6:Q18 N20:Q20 N38:Q1048576">
    <cfRule type="cellIs" dxfId="0" priority="1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오더지(양식)</vt:lpstr>
      <vt:lpstr>매출(양식)</vt:lpstr>
      <vt:lpstr>'매출(양식)'!Print_Area</vt:lpstr>
      <vt:lpstr>'오더지(양식)'!Print_Area</vt:lpstr>
      <vt:lpstr>'매출(양식)'!Print_Titles</vt:lpstr>
      <vt:lpstr>'오더지(양식)'!Print_Titles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정현정</dc:creator>
  <cp:lastModifiedBy>정현정</cp:lastModifiedBy>
  <dcterms:created xsi:type="dcterms:W3CDTF">2026-03-31T04:18:25Z</dcterms:created>
  <dcterms:modified xsi:type="dcterms:W3CDTF">2026-04-24T07:06:30Z</dcterms:modified>
</cp:coreProperties>
</file>